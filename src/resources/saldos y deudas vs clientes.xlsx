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8163D9F-F844-4BAB-AE45-8E990556D254}" xr6:coauthVersionLast="47" xr6:coauthVersionMax="47" xr10:uidLastSave="{00000000-0000-0000-0000-000000000000}"/>
  <bookViews>
    <workbookView xWindow="-120" yWindow="-120" windowWidth="29040" windowHeight="15840" xr2:uid="{3E523EF8-AC57-4B88-9607-D2A93B599E26}"/>
  </bookViews>
  <sheets>
    <sheet name="Clientes activos" sheetId="4" r:id="rId1"/>
    <sheet name="Clientes" sheetId="2" state="hidden" r:id="rId2"/>
    <sheet name="Hoja4" sheetId="5" state="hidden" r:id="rId3"/>
  </sheets>
  <definedNames>
    <definedName name="_xlnm._FilterDatabase" localSheetId="1" hidden="1">Clientes!$A$1:$K$1310</definedName>
  </definedNames>
  <calcPr calcId="191029"/>
  <pivotCaches>
    <pivotCache cacheId="6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" l="1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2" i="4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4" i="5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152" i="4"/>
  <c r="U153" i="4"/>
  <c r="U154" i="4"/>
  <c r="U155" i="4"/>
  <c r="U156" i="4"/>
  <c r="U157" i="4"/>
  <c r="U158" i="4"/>
  <c r="U159" i="4"/>
  <c r="U160" i="4"/>
  <c r="U161" i="4"/>
  <c r="U162" i="4"/>
  <c r="U163" i="4"/>
  <c r="U164" i="4"/>
  <c r="U165" i="4"/>
  <c r="U166" i="4"/>
  <c r="U167" i="4"/>
  <c r="U168" i="4"/>
  <c r="U169" i="4"/>
  <c r="U170" i="4"/>
  <c r="U171" i="4"/>
  <c r="U172" i="4"/>
  <c r="U173" i="4"/>
  <c r="U174" i="4"/>
  <c r="U175" i="4"/>
  <c r="U176" i="4"/>
  <c r="U177" i="4"/>
  <c r="U178" i="4"/>
  <c r="U179" i="4"/>
  <c r="U180" i="4"/>
  <c r="U181" i="4"/>
  <c r="U182" i="4"/>
  <c r="U183" i="4"/>
  <c r="U184" i="4"/>
  <c r="U185" i="4"/>
  <c r="U186" i="4"/>
  <c r="U187" i="4"/>
  <c r="U188" i="4"/>
  <c r="U189" i="4"/>
  <c r="U190" i="4"/>
  <c r="U191" i="4"/>
  <c r="U192" i="4"/>
  <c r="U193" i="4"/>
  <c r="U194" i="4"/>
  <c r="U195" i="4"/>
  <c r="U196" i="4"/>
  <c r="U197" i="4"/>
  <c r="U198" i="4"/>
  <c r="U199" i="4"/>
  <c r="U200" i="4"/>
  <c r="U201" i="4"/>
  <c r="U202" i="4"/>
  <c r="U203" i="4"/>
  <c r="U204" i="4"/>
  <c r="U205" i="4"/>
  <c r="U206" i="4"/>
  <c r="U207" i="4"/>
  <c r="U208" i="4"/>
  <c r="U209" i="4"/>
  <c r="U210" i="4"/>
  <c r="U211" i="4"/>
  <c r="U212" i="4"/>
  <c r="U213" i="4"/>
  <c r="U214" i="4"/>
  <c r="U215" i="4"/>
  <c r="U216" i="4"/>
  <c r="U217" i="4"/>
  <c r="U218" i="4"/>
  <c r="U219" i="4"/>
  <c r="U220" i="4"/>
  <c r="U221" i="4"/>
  <c r="U222" i="4"/>
  <c r="U223" i="4"/>
  <c r="U224" i="4"/>
  <c r="U225" i="4"/>
  <c r="U226" i="4"/>
  <c r="U227" i="4"/>
  <c r="U228" i="4"/>
  <c r="U229" i="4"/>
  <c r="U230" i="4"/>
  <c r="U231" i="4"/>
  <c r="U232" i="4"/>
  <c r="U233" i="4"/>
  <c r="U234" i="4"/>
  <c r="U235" i="4"/>
  <c r="U236" i="4"/>
  <c r="U237" i="4"/>
  <c r="U238" i="4"/>
  <c r="U239" i="4"/>
  <c r="U240" i="4"/>
  <c r="U241" i="4"/>
  <c r="U242" i="4"/>
  <c r="U243" i="4"/>
  <c r="U244" i="4"/>
  <c r="U245" i="4"/>
  <c r="U246" i="4"/>
  <c r="U247" i="4"/>
  <c r="U248" i="4"/>
  <c r="U249" i="4"/>
  <c r="U250" i="4"/>
  <c r="U251" i="4"/>
  <c r="U252" i="4"/>
  <c r="U253" i="4"/>
  <c r="U254" i="4"/>
  <c r="U255" i="4"/>
  <c r="U256" i="4"/>
  <c r="U257" i="4"/>
  <c r="U258" i="4"/>
  <c r="U259" i="4"/>
  <c r="U260" i="4"/>
  <c r="U261" i="4"/>
  <c r="U262" i="4"/>
  <c r="U263" i="4"/>
  <c r="U264" i="4"/>
  <c r="U265" i="4"/>
  <c r="U266" i="4"/>
  <c r="U267" i="4"/>
  <c r="U268" i="4"/>
  <c r="U269" i="4"/>
  <c r="U270" i="4"/>
  <c r="U271" i="4"/>
  <c r="U272" i="4"/>
  <c r="U273" i="4"/>
  <c r="U274" i="4"/>
  <c r="U275" i="4"/>
  <c r="U276" i="4"/>
  <c r="U277" i="4"/>
  <c r="U278" i="4"/>
  <c r="U279" i="4"/>
  <c r="U280" i="4"/>
  <c r="U281" i="4"/>
  <c r="U282" i="4"/>
  <c r="U283" i="4"/>
  <c r="U284" i="4"/>
  <c r="U285" i="4"/>
  <c r="U286" i="4"/>
  <c r="U287" i="4"/>
  <c r="U288" i="4"/>
  <c r="U289" i="4"/>
  <c r="U290" i="4"/>
  <c r="U291" i="4"/>
  <c r="U292" i="4"/>
  <c r="U293" i="4"/>
  <c r="U294" i="4"/>
  <c r="U295" i="4"/>
  <c r="U296" i="4"/>
  <c r="U297" i="4"/>
  <c r="U298" i="4"/>
  <c r="U299" i="4"/>
  <c r="U300" i="4"/>
  <c r="U301" i="4"/>
  <c r="U302" i="4"/>
  <c r="U303" i="4"/>
  <c r="U304" i="4"/>
  <c r="U305" i="4"/>
  <c r="U306" i="4"/>
  <c r="U307" i="4"/>
  <c r="U308" i="4"/>
  <c r="U309" i="4"/>
  <c r="U310" i="4"/>
  <c r="U311" i="4"/>
  <c r="U312" i="4"/>
  <c r="U313" i="4"/>
  <c r="U314" i="4"/>
  <c r="U315" i="4"/>
  <c r="U316" i="4"/>
  <c r="U317" i="4"/>
  <c r="U318" i="4"/>
  <c r="U319" i="4"/>
  <c r="U320" i="4"/>
  <c r="U321" i="4"/>
  <c r="U322" i="4"/>
  <c r="U323" i="4"/>
  <c r="U324" i="4"/>
  <c r="U325" i="4"/>
  <c r="U326" i="4"/>
  <c r="U327" i="4"/>
  <c r="U328" i="4"/>
  <c r="U329" i="4"/>
  <c r="U330" i="4"/>
  <c r="U331" i="4"/>
  <c r="U332" i="4"/>
  <c r="U333" i="4"/>
  <c r="U334" i="4"/>
  <c r="U335" i="4"/>
  <c r="U336" i="4"/>
  <c r="U337" i="4"/>
  <c r="U338" i="4"/>
  <c r="U339" i="4"/>
  <c r="U340" i="4"/>
  <c r="U341" i="4"/>
  <c r="U342" i="4"/>
  <c r="U343" i="4"/>
  <c r="U344" i="4"/>
  <c r="U345" i="4"/>
  <c r="U346" i="4"/>
  <c r="U347" i="4"/>
  <c r="U348" i="4"/>
  <c r="U349" i="4"/>
  <c r="U350" i="4"/>
  <c r="U351" i="4"/>
  <c r="U352" i="4"/>
  <c r="U353" i="4"/>
  <c r="U354" i="4"/>
  <c r="U355" i="4"/>
  <c r="U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5C70B1-5233-4C2C-929C-FEA19209EDF5}" keepAlive="1" name="Consulta - Clientes activos" description="Conexión a la consulta 'Clientes activos' en el libro." type="5" refreshedVersion="0" background="1">
    <dbPr connection="Provider=Microsoft.Mashup.OleDb.1;Data Source=$Workbook$;Location=&quot;Clientes activos&quot;;Extended Properties=&quot;&quot;" command="SELECT * FROM [Clientes activos]"/>
  </connection>
  <connection id="2" xr16:uid="{6040AD7B-36EA-4610-94EB-3CB2B160BC5A}" keepAlive="1" name="Consulta - Clientes activos (2)" description="Conexión a la consulta 'Clientes activos (2)' en el libro." type="5" refreshedVersion="8" background="1" saveData="1">
    <dbPr connection="Provider=Microsoft.Mashup.OleDb.1;Data Source=$Workbook$;Location=&quot;Clientes activos (2)&quot;;Extended Properties=&quot;&quot;" command="SELECT * FROM [Clientes activos (2)]"/>
  </connection>
  <connection id="3" xr16:uid="{D7E1C0AE-BB49-4EC7-998B-A35B9783CC0A}" keepAlive="1" name="Consulta - ESTADO_CUENTA" description="Conexión a la consulta 'ESTADO_CUENTA' en el libro." type="5" refreshedVersion="8" background="1" saveData="1">
    <dbPr connection="Provider=Microsoft.Mashup.OleDb.1;Data Source=$Workbook$;Location=ESTADO_CUENTA;Extended Properties=&quot;&quot;" command="SELECT * FROM [ESTADO_CUENTA]"/>
  </connection>
  <connection id="4" xr16:uid="{0B2EC6B0-3853-4B09-A0FD-F3C58497BAFE}" keepAlive="1" name="Consulta - Inactivos" description="Conexión a la consulta 'Inactivos' en el libro." type="5" refreshedVersion="0" background="1">
    <dbPr connection="Provider=Microsoft.Mashup.OleDb.1;Data Source=$Workbook$;Location=Inactivos;Extended Properties=&quot;&quot;" command="SELECT * FROM [Inactivos]"/>
  </connection>
  <connection id="5" xr16:uid="{9FF865CC-4F44-42AA-9C87-093009401F3D}" keepAlive="1" name="Consulta - Inactivos (2)" description="Conexión a la consulta 'Inactivos (2)' en el libro." type="5" refreshedVersion="0" background="1">
    <dbPr connection="Provider=Microsoft.Mashup.OleDb.1;Data Source=$Workbook$;Location=&quot;Inactivos (2)&quot;;Extended Properties=&quot;&quot;" command="SELECT * FROM [Inactivos (2)]"/>
  </connection>
  <connection id="6" xr16:uid="{FD4AD929-D830-48FA-80C1-BC86DC0D4A4F}" keepAlive="1" name="Consulta - maestro" description="Conexión a la consulta 'maestro' en el libro." type="5" refreshedVersion="0" background="1">
    <dbPr connection="Provider=Microsoft.Mashup.OleDb.1;Data Source=$Workbook$;Location=maestro;Extended Properties=&quot;&quot;" command="SELECT * FROM [maestro]"/>
  </connection>
  <connection id="7" xr16:uid="{5A4D397E-1901-4B18-A985-F378E8BE2E48}" keepAlive="1" name="Consulta - PRESTAMO" description="Conexión a la consulta 'PRESTAMO' en el libro." type="5" refreshedVersion="0" background="1">
    <dbPr connection="Provider=Microsoft.Mashup.OleDb.1;Data Source=$Workbook$;Location=PRESTAMO;Extended Properties=&quot;&quot;" command="SELECT * FROM [PRESTAMO]"/>
  </connection>
</connections>
</file>

<file path=xl/sharedStrings.xml><?xml version="1.0" encoding="utf-8"?>
<sst xmlns="http://schemas.openxmlformats.org/spreadsheetml/2006/main" count="4547" uniqueCount="1454">
  <si>
    <t>Total</t>
  </si>
  <si>
    <t>Carrera 10#48-14 sur</t>
  </si>
  <si>
    <t>573125155797</t>
  </si>
  <si>
    <t>Adriana Castro 63</t>
  </si>
  <si>
    <t>enero</t>
  </si>
  <si>
    <t>4.724458312482748, -73.97173966904953</t>
  </si>
  <si>
    <t>Cra 10 # 8 09 en La Calera Cundinamarca</t>
  </si>
  <si>
    <t>573124955069</t>
  </si>
  <si>
    <t xml:space="preserve">Liseth Daniela Jimenez </t>
  </si>
  <si>
    <t>calle 65 sur # 68 c -30 Madelena 2 casa 24</t>
  </si>
  <si>
    <t>573163365535</t>
  </si>
  <si>
    <t>Ivonne Ávila</t>
  </si>
  <si>
    <t>ivonne Ávila</t>
  </si>
  <si>
    <t>4.631892258902334, -74.08604273244006</t>
  </si>
  <si>
    <t>Calle 25C # 37-15 apto 101</t>
  </si>
  <si>
    <t>573057672267</t>
  </si>
  <si>
    <t>Isabel Gómez</t>
  </si>
  <si>
    <t>Calle 57a número 67 15 sur villa del rio</t>
  </si>
  <si>
    <t>573239334278</t>
  </si>
  <si>
    <t>Jose Alejandro Paez</t>
  </si>
  <si>
    <t>jose alejandro paez</t>
  </si>
  <si>
    <t>4.714469453465674, -74.06347543226849</t>
  </si>
  <si>
    <t>Calle 128 a # 54 b 56 torre 3 apto 1401. Conjunto mirador de cordoba</t>
  </si>
  <si>
    <t>573508608264</t>
  </si>
  <si>
    <t>Gloria Ines Ayala Baquero</t>
  </si>
  <si>
    <t>Ac 57r sur # 73i-35 conjunto residencial ciudad central torre 3 apto 122</t>
  </si>
  <si>
    <t>57</t>
  </si>
  <si>
    <t>Paola López</t>
  </si>
  <si>
    <t>paola lópez</t>
  </si>
  <si>
    <t>calle 75 # 23-18</t>
  </si>
  <si>
    <t>Sebastian Zuñiga</t>
  </si>
  <si>
    <t>sebastian zuñiga</t>
  </si>
  <si>
    <t>4.614563902647698, -74.116936569635</t>
  </si>
  <si>
    <t>tv 53 # 2a-56 barrio el sol puente aranda</t>
  </si>
  <si>
    <t>Erika Sofia Bautista Nieves</t>
  </si>
  <si>
    <t>4.751887999259434, -74.09746147846529</t>
  </si>
  <si>
    <t>calle 151 # 109a -25 torre 3 apto 1103</t>
  </si>
  <si>
    <t>Cristian Gamba</t>
  </si>
  <si>
    <t>EL EDEN</t>
  </si>
  <si>
    <t>573002926752</t>
  </si>
  <si>
    <t>Leidy Gaviria</t>
  </si>
  <si>
    <t>leidy Gaviria</t>
  </si>
  <si>
    <t>4.689970037819654, -74.06848814686923</t>
  </si>
  <si>
    <t>ac 100 #64-51 t3 apto 204</t>
  </si>
  <si>
    <t>573502149870</t>
  </si>
  <si>
    <t>Juanita Valencia</t>
  </si>
  <si>
    <t>4.691614213686974, -74.0919048204488</t>
  </si>
  <si>
    <t xml:space="preserve">Av boyaca #75a-60 casa </t>
  </si>
  <si>
    <t>573183623443</t>
  </si>
  <si>
    <t>Camila Geraldine Velandia Peláez</t>
  </si>
  <si>
    <t>Carrera 68 G # 9C-51 Conjunto Villa veronica etapa 1 Torre 6-501</t>
  </si>
  <si>
    <t>573212341101</t>
  </si>
  <si>
    <t>Si</t>
  </si>
  <si>
    <t>Alisson Caballero Jordan 200</t>
  </si>
  <si>
    <t>4.628511293194937, -74.15018964142273</t>
  </si>
  <si>
    <t>Calle 2 A sur # 78k 32 Bloque K44 apto 301 Conjunto Residencial Banderas Porteria 5</t>
  </si>
  <si>
    <t>315 3284218</t>
  </si>
  <si>
    <t>57315 3284218</t>
  </si>
  <si>
    <t>Liliana Gomez</t>
  </si>
  <si>
    <t>Calle 19 #3-70 casa 46 Chía</t>
  </si>
  <si>
    <t>viernes</t>
  </si>
  <si>
    <t>573103037684</t>
  </si>
  <si>
    <t>Adriana Biagi 120</t>
  </si>
  <si>
    <t>febrero</t>
  </si>
  <si>
    <t>0</t>
  </si>
  <si>
    <t>Dirección: carrera 23#14-37
Conjunto residencial Alburquerque torre 1 apto 604
Barrio Álamos
pereira - Risaralda</t>
  </si>
  <si>
    <t>34627422693</t>
  </si>
  <si>
    <t>María Paula Tamayo Galvis 65</t>
  </si>
  <si>
    <t>Carrera 67 57r 71 sur Ankara apartamentos torre 1 apto 805</t>
  </si>
  <si>
    <t>573197643090</t>
  </si>
  <si>
    <t>Anna Esmeralda Vargas</t>
  </si>
  <si>
    <t>Carrera 54c #143a-90 Apto 521 torre 3 Edificio Barcelona Colina campestre</t>
  </si>
  <si>
    <t>573214938536</t>
  </si>
  <si>
    <t>Johanna Andrea Barrera Ramos</t>
  </si>
  <si>
    <t>Carrera 77 # 71-70 Engativa - Santa helenita</t>
  </si>
  <si>
    <t>573133427846</t>
  </si>
  <si>
    <t>Julieth Tatiana Bernal Avila</t>
  </si>
  <si>
    <t>Calle 14 No. 119a 10 Casa C10 Conjunto Senderos de la estancia 1, Recodo, Fontibón</t>
  </si>
  <si>
    <t>Milena Álvarez</t>
  </si>
  <si>
    <t>Administrativo » Trasferencia</t>
  </si>
  <si>
    <t>Calle 86 #69h-40 edificio Ankkara de Pontevedra torre 2 apto 907</t>
  </si>
  <si>
    <t>573104162147</t>
  </si>
  <si>
    <t xml:space="preserve">Diana Palomino Ramirez </t>
  </si>
  <si>
    <t>Calle 149 #50-17 apto  207 edificio ombu</t>
  </si>
  <si>
    <t>573153499818</t>
  </si>
  <si>
    <t>Monica Rodriguez  Márquez</t>
  </si>
  <si>
    <t>4.726421551624025, -74.06924266146363</t>
  </si>
  <si>
    <t>cra59a # 134-15 torre 1 apto 304</t>
  </si>
  <si>
    <t>573002104747</t>
  </si>
  <si>
    <t>Diana Constanza Ruiz 160</t>
  </si>
  <si>
    <t>Diana constanza Ruiz 160</t>
  </si>
  <si>
    <t>Doogy Lunch Marilyn Medina</t>
  </si>
  <si>
    <t>Calle 36 # 1-35 casa 480 San mateo soacha</t>
  </si>
  <si>
    <t>573188889001</t>
  </si>
  <si>
    <t>Patricia Losada</t>
  </si>
  <si>
    <t>patricia losada</t>
  </si>
  <si>
    <t>Calle 63 sur # 78j 38 torre 2 apto 101 Conjunto residencial Sinsonte</t>
  </si>
  <si>
    <t>573236329056</t>
  </si>
  <si>
    <t xml:space="preserve">Jhon James Martínez Rojas </t>
  </si>
  <si>
    <t>Diagonal 40sur#34f-25 Bogotá nueva Villa mayor</t>
  </si>
  <si>
    <t>573106661732</t>
  </si>
  <si>
    <t>Liliana Cardozo</t>
  </si>
  <si>
    <t>Calle 55 # 72-32 Normandia 2 sector</t>
  </si>
  <si>
    <t>573150555549</t>
  </si>
  <si>
    <t>Doggy Lunch Juan Carlos 270</t>
  </si>
  <si>
    <t>Carrera 8#21_55 apartamento 402</t>
  </si>
  <si>
    <t>573196688204</t>
  </si>
  <si>
    <t>Maria Garzon</t>
  </si>
  <si>
    <t>cra 8 # 66-60 apto 701</t>
  </si>
  <si>
    <t>573006547409</t>
  </si>
  <si>
    <t>Carlos Bolaños</t>
  </si>
  <si>
    <t>carlos bolaños</t>
  </si>
  <si>
    <t>Diagonal 42 # 13b-40 olivos segundo piso</t>
  </si>
  <si>
    <t>573203684898</t>
  </si>
  <si>
    <t>Jhon Edinson Parra Sanchez</t>
  </si>
  <si>
    <t>Calle 4 # 73b-56 Mandalay</t>
  </si>
  <si>
    <t>573195776916</t>
  </si>
  <si>
    <t>Sandra Ruiz</t>
  </si>
  <si>
    <t>cra 24 # 73-31</t>
  </si>
  <si>
    <t>573114786136</t>
  </si>
  <si>
    <t>Maritza Liliana Tavera</t>
  </si>
  <si>
    <t>Diagonal 81i # 76 c 33 casa 3 Barrio Palestina - Minuto de Dios</t>
  </si>
  <si>
    <t>573182545192</t>
  </si>
  <si>
    <t>Mario Andrés Gallego</t>
  </si>
  <si>
    <t>Calle 13 No 2-93 Altos de guali etapa 2 Torre 2 Apto 402  Funza Cundinamarca</t>
  </si>
  <si>
    <t>573162225095</t>
  </si>
  <si>
    <t>Edgar Pedraza Rojas</t>
  </si>
  <si>
    <t>Calle 2 sur #2-100 apartamento 404 Torre 4, conjunto el molino parque central, Cajica</t>
  </si>
  <si>
    <t>573009485868</t>
  </si>
  <si>
    <t>Gabriel Enrique Acosta Cortes</t>
  </si>
  <si>
    <t>Cra 68 # 24A-50 Int 2 apt 102 san lorenzo, barrio salitre</t>
  </si>
  <si>
    <t>573117070509</t>
  </si>
  <si>
    <t>Elizabeth Rodríguez</t>
  </si>
  <si>
    <t>cra 74 # 160-25 apto 605</t>
  </si>
  <si>
    <t>573142449979</t>
  </si>
  <si>
    <t>Omar David Noguera</t>
  </si>
  <si>
    <t>Cra 53 # 143 - 45 Interior 6 Apto 205 Conjunto Tehorlu</t>
  </si>
  <si>
    <t>573164366889</t>
  </si>
  <si>
    <t>Karen Santos</t>
  </si>
  <si>
    <t>Calle 48 Sur número 61c22 interior 133 vergel san antonio de prado</t>
  </si>
  <si>
    <t>573013160163</t>
  </si>
  <si>
    <t>Luz Stella Loaiza</t>
  </si>
  <si>
    <t>luz stella Loaiza</t>
  </si>
  <si>
    <t>Calle 10 sur # 37 b 04 casa esquinera rejas verdes Localidad Puete Aranda , ciudad montes</t>
  </si>
  <si>
    <t>573112384646</t>
  </si>
  <si>
    <t>Giovanni Bautista</t>
  </si>
  <si>
    <t>Ak 71B # 53a sur - 81 olarte</t>
  </si>
  <si>
    <t>573102938752</t>
  </si>
  <si>
    <t>Vanessa Alejandra Daza</t>
  </si>
  <si>
    <t>vanessa alejandra daza</t>
  </si>
  <si>
    <t>4.752260, -74.065956</t>
  </si>
  <si>
    <t>carrera 73 a # 167-91 conjunto portales del norte 1 manzana 4</t>
  </si>
  <si>
    <t>573112580224</t>
  </si>
  <si>
    <t>Maria Isabel Montoya</t>
  </si>
  <si>
    <t>maria isabel montoya</t>
  </si>
  <si>
    <t>Carrera 73 # 66 06 Sur - Perdomo, peñón del Cortijo</t>
  </si>
  <si>
    <t>573195945515</t>
  </si>
  <si>
    <t>Ingrid Vanessa Pinzón Sánchez</t>
  </si>
  <si>
    <t>el eden</t>
  </si>
  <si>
    <t>573016949975</t>
  </si>
  <si>
    <t>Cristian Gaviria</t>
  </si>
  <si>
    <t>4.587956467961655, -74.14303533278772</t>
  </si>
  <si>
    <t>diagonal 52 B # 54 B -57 sur Venecia</t>
  </si>
  <si>
    <t>573133765115</t>
  </si>
  <si>
    <t>Olga Lucia Delgado</t>
  </si>
  <si>
    <t>carrera 47A # 113-30 int 9 apto 504, santa maria del alcazar 2</t>
  </si>
  <si>
    <t>Adriana Biagi</t>
  </si>
  <si>
    <t>4.721873066751421, -74.12955001534507</t>
  </si>
  <si>
    <t>Transversal 119a #77-97 int 6 apto 302 conjunto ronda de granada, barrio gran granada</t>
  </si>
  <si>
    <t>573123778450</t>
  </si>
  <si>
    <t>si</t>
  </si>
  <si>
    <t>Sandra Milena González Gómez</t>
  </si>
  <si>
    <t>cra 95a # 26-49 sur ciudadela tierrabuena 1 int 14 apto 102</t>
  </si>
  <si>
    <t>573114608587</t>
  </si>
  <si>
    <t>Amparo Romero</t>
  </si>
  <si>
    <t>Calle 22a #72b-48 Apto 204-3 Conjunto residencial el prado</t>
  </si>
  <si>
    <t>573107870557</t>
  </si>
  <si>
    <t>Ana Montenegro</t>
  </si>
  <si>
    <t>Calle 129 # 102-05 Edificio corintio etapa 2 interior 6 apto 203, Suba</t>
  </si>
  <si>
    <t>573138806526</t>
  </si>
  <si>
    <t>Nubia Méndez</t>
  </si>
  <si>
    <t>Calle 63d #28a-52 apto 1807 Conjunto residencial salamanca, Barrio 7 agosto, Bogotá</t>
  </si>
  <si>
    <t>Mayra Alejandra Rojas Montenegro 80</t>
  </si>
  <si>
    <t>Mayra Alejandra rojas Montenegro 80</t>
  </si>
  <si>
    <t>Terminal de melgar</t>
  </si>
  <si>
    <t>573005778771</t>
  </si>
  <si>
    <t>William Alberto Martín</t>
  </si>
  <si>
    <t>transversal 88B#23D-81 torre 2 apartamento 403 conjunto modelia real</t>
  </si>
  <si>
    <t>573150888802</t>
  </si>
  <si>
    <t>Kristell Escobar</t>
  </si>
  <si>
    <t>Cra 26 #46c -67 Refugio del virrey pH 501</t>
  </si>
  <si>
    <t>573203811083</t>
  </si>
  <si>
    <t>Dennis Escobar</t>
  </si>
  <si>
    <t>dennis escobar</t>
  </si>
  <si>
    <t>cra 67 # 57R - 05 sur, Madelena conjunto Ankara</t>
  </si>
  <si>
    <t>573214355705</t>
  </si>
  <si>
    <t>Diana Homez</t>
  </si>
  <si>
    <t>diana homez</t>
  </si>
  <si>
    <t>Carrera 14B # 163-29 parque del Samán apto 1202</t>
  </si>
  <si>
    <t>573236121767</t>
  </si>
  <si>
    <t>Andrea Fuquene</t>
  </si>
  <si>
    <t>andrea fuquene</t>
  </si>
  <si>
    <t>Intereses</t>
  </si>
  <si>
    <t>Saldo Abandonado</t>
  </si>
  <si>
    <t>saldo abandonado</t>
  </si>
  <si>
    <t>Avenida calle 183 # 8a -10 Torre A Apartamento 403</t>
  </si>
  <si>
    <t>573502492255</t>
  </si>
  <si>
    <t>Gonzalo Tellez Oviedo</t>
  </si>
  <si>
    <t/>
  </si>
  <si>
    <t>4.609821160362725, -74.22642193225545</t>
  </si>
  <si>
    <t>Carrera38#10a_206, torre 5 6018 soacha ciudad verde Conjunto cala</t>
  </si>
  <si>
    <t>573238165614</t>
  </si>
  <si>
    <t>Dog Sano Katerin Liz 200</t>
  </si>
  <si>
    <t>Dog Sano Katerin liz 200</t>
  </si>
  <si>
    <t>4.611824489469801, -74.13854213278778</t>
  </si>
  <si>
    <t>Zippol</t>
  </si>
  <si>
    <t>4.601317904569977, -74.14289464544176</t>
  </si>
  <si>
    <t>Calle 43sur #68h 69 barrio villa nueva</t>
  </si>
  <si>
    <t>573017419790</t>
  </si>
  <si>
    <t>Zharith Meliza Velandia Hernández</t>
  </si>
  <si>
    <t>4.586313219453256, -74.16126460408648</t>
  </si>
  <si>
    <t>torres de bellavista, t3 apto1405</t>
  </si>
  <si>
    <t>573214527779</t>
  </si>
  <si>
    <t>Yury Mora</t>
  </si>
  <si>
    <t>4.821851175965991, -74.05693922658263</t>
  </si>
  <si>
    <t>CRA 105 # 238-55 Hacienda San Sebastián Agrupación Las Begonias - Casa 10.</t>
  </si>
  <si>
    <t>573176485204</t>
  </si>
  <si>
    <t>Yolanda Matiz Vasquez</t>
  </si>
  <si>
    <t>4.642974361568187, -74.10242405541936</t>
  </si>
  <si>
    <t>Calle 23 A #58-40 apto 203 torre 4 conjunto residencial Loira real</t>
  </si>
  <si>
    <t>573162393410</t>
  </si>
  <si>
    <t>Yolanda Fernández</t>
  </si>
  <si>
    <t>carrera 91 # 22B-34 barrio Capellania</t>
  </si>
  <si>
    <t>573156008463</t>
  </si>
  <si>
    <t>Yilmary Hernandez</t>
  </si>
  <si>
    <t>Cra 12 # 146-44 Apto 104</t>
  </si>
  <si>
    <t>573118418305</t>
  </si>
  <si>
    <t>Yeison Peñuela</t>
  </si>
  <si>
    <t>4.724674786463461, -74.0270814978259</t>
  </si>
  <si>
    <t>Calle 148 # 7b 22 casa</t>
  </si>
  <si>
    <t>573012354331</t>
  </si>
  <si>
    <t>Yeiny Pinzon 150</t>
  </si>
  <si>
    <t>4.639679, -74.186546</t>
  </si>
  <si>
    <t>Cll 52 sur #95a30 Bosa porvenir Conjunto Terranova Diagonal universidad distrital</t>
  </si>
  <si>
    <t>573115912750</t>
  </si>
  <si>
    <t xml:space="preserve">Yeimy Cadena </t>
  </si>
  <si>
    <t xml:space="preserve">Yeimy cadena </t>
  </si>
  <si>
    <t>4.559647087936828, -74.11843526891333</t>
  </si>
  <si>
    <t>Calle 49b sur #9A94 torre 1 204</t>
  </si>
  <si>
    <t>573138501160</t>
  </si>
  <si>
    <t>Yeimmy Johanna Esteban</t>
  </si>
  <si>
    <t>4.671717212577802, -74.04846593463184</t>
  </si>
  <si>
    <t>CARRERA 10#89-29 EDIFICIO NEOS APTO 603</t>
  </si>
  <si>
    <t>573195742640</t>
  </si>
  <si>
    <t>Yarissa Perea Motato</t>
  </si>
  <si>
    <t>Yarissa Perea motato</t>
  </si>
  <si>
    <t>3.4071275360391904, -76.52720640443523</t>
  </si>
  <si>
    <t xml:space="preserve">Carrera 49A número 15-40 Apto 302 TorreA Conjunto altos de la Macarena Barrio las granjas </t>
  </si>
  <si>
    <t>573104882843</t>
  </si>
  <si>
    <t xml:space="preserve">Yaneth Ceron </t>
  </si>
  <si>
    <t>4.735875587453905, -74.07932556843542</t>
  </si>
  <si>
    <t>Cra 83 #145-77 apto 202 Torre 5 Conjunto Altamonte MAPS4.736189, -74.079853</t>
  </si>
  <si>
    <t>573003480265</t>
  </si>
  <si>
    <t>Ximena Hernandez Hernandez</t>
  </si>
  <si>
    <t>4.585704562347466, -74.20804021929233</t>
  </si>
  <si>
    <t>carrera 7 no 27 - 75 soacha san mateo</t>
  </si>
  <si>
    <t>573112675200</t>
  </si>
  <si>
    <t>Wilton Arley Castro Lopez</t>
  </si>
  <si>
    <t>4.626204732075657, -74.12383972627607</t>
  </si>
  <si>
    <t>Ak 68 #5 -17 torre 6 apto 2028 portoamericas</t>
  </si>
  <si>
    <t>573017139465</t>
  </si>
  <si>
    <t>Viviana Solorzano Lia</t>
  </si>
  <si>
    <t>marzo</t>
  </si>
  <si>
    <t>4.5943899745748995, -74.15481964232745</t>
  </si>
  <si>
    <t>urapanes</t>
  </si>
  <si>
    <t>573012055862</t>
  </si>
  <si>
    <t>Victoria Olano</t>
  </si>
  <si>
    <t>4.588565273291484, -74.15703227476784</t>
  </si>
  <si>
    <t xml:space="preserve">Cra. 67 #65-22 sur  torre 16 462 Caminos de san jorge </t>
  </si>
  <si>
    <t>305 8888999</t>
  </si>
  <si>
    <t>57305 8888999</t>
  </si>
  <si>
    <t>Veronica Ruiz 250</t>
  </si>
  <si>
    <t>4.7214851273150655, -74.1306274483296</t>
  </si>
  <si>
    <t>carrera 119# 77-50 Rincon de Granada 7. Apto 103 torre 1</t>
  </si>
  <si>
    <t>573114997643</t>
  </si>
  <si>
    <t>Veronica Buendia 150</t>
  </si>
  <si>
    <t>Variplast</t>
  </si>
  <si>
    <t>variplast</t>
  </si>
  <si>
    <t xml:space="preserve"> transversal 74 A#81F12. Barrio minuto de dios</t>
  </si>
  <si>
    <t>573112877626</t>
  </si>
  <si>
    <t xml:space="preserve">Vanesa Sanchez </t>
  </si>
  <si>
    <t>4.693901366659413, -74.07117479045719</t>
  </si>
  <si>
    <t>Cra 69 # 105-28 casa 28k Barrio la floresta</t>
  </si>
  <si>
    <t>573023735213</t>
  </si>
  <si>
    <t>Vanesa Montoya</t>
  </si>
  <si>
    <t>4.654742451267124, -74.11454706162246</t>
  </si>
  <si>
    <t>Calle 18 # 67-74 Prados de Mallorca apto 214 la hacienda cali</t>
  </si>
  <si>
    <t>573122570708</t>
  </si>
  <si>
    <t>Valentina Perez Uribe 240</t>
  </si>
  <si>
    <t>Carrera 53#134A-71, edificio capinuri apto 203</t>
  </si>
  <si>
    <t>573152164681</t>
  </si>
  <si>
    <t xml:space="preserve">Valentina Oviedo </t>
  </si>
  <si>
    <t>4.606191929395528, -74.16850673066534</t>
  </si>
  <si>
    <t>Calle 52a sur 77k 35 piso 1 puerta garaje</t>
  </si>
  <si>
    <t>573172207542</t>
  </si>
  <si>
    <t>Tatiana Urrea Obando 165</t>
  </si>
  <si>
    <t>4.742861701207069, -74.11349669361789</t>
  </si>
  <si>
    <t xml:space="preserve">Cra 131 No 132b 38 </t>
  </si>
  <si>
    <t>573219257704</t>
  </si>
  <si>
    <t>Tatiana Quitian</t>
  </si>
  <si>
    <t>4.742889581747047, -74.06880832730717</t>
  </si>
  <si>
    <t>Carrera 74#152b-70
Conjunto residencial natura living 
Torre 1 apto 310</t>
  </si>
  <si>
    <t>573017910738</t>
  </si>
  <si>
    <t xml:space="preserve">Si </t>
  </si>
  <si>
    <t>Sthephany Ortiz</t>
  </si>
  <si>
    <t>4.592933694301946, -74.15596074593147</t>
  </si>
  <si>
    <t>Calle 60a #65-2 Madelena</t>
  </si>
  <si>
    <t>573118863583</t>
  </si>
  <si>
    <t>Spa Veterinario Smoky Pet O Vet</t>
  </si>
  <si>
    <t>SPA VETERINARIO SMOKY pet o vet</t>
  </si>
  <si>
    <t>4.650554613850914, -74.1723172197738</t>
  </si>
  <si>
    <t>Condominios tierra buena etapa I, Carrera 97f #34a sur-30Interior 58 apto 202, frente a la Drogeria Conder TB</t>
  </si>
  <si>
    <t>573177155156</t>
  </si>
  <si>
    <t>Sofia Poveda</t>
  </si>
  <si>
    <t>4.658845010241058, -74.1192486638704</t>
  </si>
  <si>
    <t xml:space="preserve">calle 22d #72-41 Conjunto residencial la cascada torre 2 apto 401 </t>
  </si>
  <si>
    <t>573046129451</t>
  </si>
  <si>
    <t>Simon Guillermo La Torre Buitrago</t>
  </si>
  <si>
    <t>4.642703168943996, -74.12975927298073</t>
  </si>
  <si>
    <t>Calle 12a # 71c-61 torre 15 apto 403</t>
  </si>
  <si>
    <t>573165294356</t>
  </si>
  <si>
    <t>Sergio Cañon</t>
  </si>
  <si>
    <t>Sergio cañon</t>
  </si>
  <si>
    <t>4.6882055423928035, -74.07520210594326</t>
  </si>
  <si>
    <t>Cra 68b # 96-70 Torre 4 Apto 903</t>
  </si>
  <si>
    <t>573183876221</t>
  </si>
  <si>
    <t>Sebastian Alfonso Martin Vs</t>
  </si>
  <si>
    <t>Sebastian Alfonso Martin VS</t>
  </si>
  <si>
    <t>4.617521188491324, -74.07321654698045</t>
  </si>
  <si>
    <t>Carrera 16 #28a-38 apto 401</t>
  </si>
  <si>
    <t>573218940510</t>
  </si>
  <si>
    <t>Saraya Bonilla Lozada</t>
  </si>
  <si>
    <t>4.639698901396669, -74.10112141947207</t>
  </si>
  <si>
    <t>Calle 22b #54-21 Conjunto residencial reserva del salitre 6-403</t>
  </si>
  <si>
    <t>573103055919</t>
  </si>
  <si>
    <t>Sara Sanabria 100</t>
  </si>
  <si>
    <t>4.6449741226887165, -74.1049758972419</t>
  </si>
  <si>
    <t>Calle 22 b #63-24 conjunto el refugio torre 5 apto 402</t>
  </si>
  <si>
    <t>573124298893</t>
  </si>
  <si>
    <t>Santiago Medina Vega</t>
  </si>
  <si>
    <t>4.639292424886029, -74.15340283511436</t>
  </si>
  <si>
    <t>Clle 6b #81b-51 torre 3 , apto 409, conjunto tierra del sol</t>
  </si>
  <si>
    <t>573202342573</t>
  </si>
  <si>
    <t>Sandra Yaneth Beltrán Vera 115</t>
  </si>
  <si>
    <t>4.726259188241475, -74.25705982415317</t>
  </si>
  <si>
    <t>Calle 6 # 1A-102E, Torre 14 Apto 301, Conjunto residencial El Solar, Madrid, Cundinamarca-MAPS 4.725965, -74.257071</t>
  </si>
  <si>
    <t>573123733590</t>
  </si>
  <si>
    <t>Sandra Sotelo</t>
  </si>
  <si>
    <t>4.64222062444922, -74.15375246465743</t>
  </si>
  <si>
    <t>Calle 6c 82a-91 Conjunto aralia de Castilla Apartamento 1201 torre 5</t>
  </si>
  <si>
    <t>573002776351</t>
  </si>
  <si>
    <t>Sandra Romero</t>
  </si>
  <si>
    <t>Kr 85L #63f-10 Casa 7</t>
  </si>
  <si>
    <t>573027081180</t>
  </si>
  <si>
    <t>Sandra Milena Villamizar 180</t>
  </si>
  <si>
    <t>Sandra milena villamizar 180</t>
  </si>
  <si>
    <t>Carrera 87c#69a-80sur Colegio mixto villa Carolina</t>
  </si>
  <si>
    <t>573143420660</t>
  </si>
  <si>
    <t>No</t>
  </si>
  <si>
    <t>Sandra Milena Sandoval Osorio</t>
  </si>
  <si>
    <t>4.642432048009622, -74.08868726930255</t>
  </si>
  <si>
    <t xml:space="preserve"> Calle 44C # 45 53 int. 4 apto 201, Rafael Núñez, primera etapa. Bogotá Colombia</t>
  </si>
  <si>
    <t>573124871923</t>
  </si>
  <si>
    <t>Sandra Milena Lara García</t>
  </si>
  <si>
    <t>4.64783964035972, -74.13505818478414</t>
  </si>
  <si>
    <t>Carrera 78 11 C 21 Bosques de Alsacia ApTto 603 Torre 3</t>
  </si>
  <si>
    <t>573193187152</t>
  </si>
  <si>
    <t>Sandra Lucia Muñoz Mosquera</t>
  </si>
  <si>
    <t>4.752128992837613, -74.06569656719068</t>
  </si>
  <si>
    <t>carrera 73 a # 167-91 casa 25 conjunto portales del norte 1 manzana 4</t>
  </si>
  <si>
    <t>573204698185</t>
  </si>
  <si>
    <t>Sandra Galvis</t>
  </si>
  <si>
    <t>Carrera21a#64-90sur</t>
  </si>
  <si>
    <t>573202548747</t>
  </si>
  <si>
    <t xml:space="preserve">Ronald Cruz </t>
  </si>
  <si>
    <t>4.6110590835036644, -74.15820403278772</t>
  </si>
  <si>
    <t>Calle 42 g sur 74 30 Torre 1 Apto 810</t>
  </si>
  <si>
    <t>573208119637</t>
  </si>
  <si>
    <t>Rocio Linares</t>
  </si>
  <si>
    <t>Casa 50 urapanes</t>
  </si>
  <si>
    <t>573144130865</t>
  </si>
  <si>
    <t>Rigoberto Londoño</t>
  </si>
  <si>
    <t>Rigoberto londoño</t>
  </si>
  <si>
    <t>Carrera 85D # 46A-38</t>
  </si>
  <si>
    <t>573015802694</t>
  </si>
  <si>
    <t>Richard Rincón Dobby</t>
  </si>
  <si>
    <t>Richard Rincón dobby</t>
  </si>
  <si>
    <t>Cra 85a 89 20</t>
  </si>
  <si>
    <t>573125952260</t>
  </si>
  <si>
    <t xml:space="preserve">Ricardo Mayorga </t>
  </si>
  <si>
    <t>4.70750514083432, -74.11759347744223</t>
  </si>
  <si>
    <t>CRA 103b-73-73 Bogotá</t>
  </si>
  <si>
    <t>573134939137</t>
  </si>
  <si>
    <t>Ricardo Blanco 110</t>
  </si>
  <si>
    <t>4.682566227942207, -74.15720183225503</t>
  </si>
  <si>
    <t>Carrera 87a #53-42 sur apto 102. Bosa Chicala</t>
  </si>
  <si>
    <t>573208294365</t>
  </si>
  <si>
    <t>Ricardo Andrés Paredes G</t>
  </si>
  <si>
    <t>Plastico Empresariales</t>
  </si>
  <si>
    <t>Plastico empresariales</t>
  </si>
  <si>
    <t>Calle 167 74-32, Takali de piedemonte, Torre 4 313</t>
  </si>
  <si>
    <t>573144250722</t>
  </si>
  <si>
    <t>Patricia Lopez</t>
  </si>
  <si>
    <t>vereda Rio Frio Occidental Finca Santa Clara. Interrapidisimo</t>
  </si>
  <si>
    <t>573124021670</t>
  </si>
  <si>
    <t>Patricia Esguerra Velo 75</t>
  </si>
  <si>
    <t>torres de bellavista t4 1005</t>
  </si>
  <si>
    <t>573103093707</t>
  </si>
  <si>
    <t>Paola Torres Silva</t>
  </si>
  <si>
    <t>4.610542695354071, -74.16995679047922</t>
  </si>
  <si>
    <t>calle 54A # 78f - 51 sur casa esquinera  gris</t>
  </si>
  <si>
    <t>573134308182</t>
  </si>
  <si>
    <t>Paola González 124</t>
  </si>
  <si>
    <t>4.623415943633715, -74.14622520896391</t>
  </si>
  <si>
    <t>CALLE 33A SUR # 73d -39 casa esquinera apto 201</t>
  </si>
  <si>
    <t>573167173907</t>
  </si>
  <si>
    <t>Paola Franco 100</t>
  </si>
  <si>
    <t>4.6036982029200475, -74.16220866251274</t>
  </si>
  <si>
    <t xml:space="preserve">Av Villavicencio #53 A- 75 </t>
  </si>
  <si>
    <t>573224175609</t>
  </si>
  <si>
    <t>Paola Andrea Ossa</t>
  </si>
  <si>
    <t>573118511812</t>
  </si>
  <si>
    <t>Nubia Galindo</t>
  </si>
  <si>
    <t>4.671926409759139, -74.06029231536252</t>
  </si>
  <si>
    <t>Carrera 20 83 a 25 portería barrio el Polo</t>
  </si>
  <si>
    <t>573208339212</t>
  </si>
  <si>
    <t>Nubia Constanza Rodriguez</t>
  </si>
  <si>
    <t>4.684314298788494, -74.1121750465771</t>
  </si>
  <si>
    <t>KR 85L 63f-10 casa 118</t>
  </si>
  <si>
    <t>573125973000</t>
  </si>
  <si>
    <t>Nohora Padilla Hellen 60</t>
  </si>
  <si>
    <t>NOHORA PADILLA hellen 60</t>
  </si>
  <si>
    <t>cra 70c # 55r-75 torre 3 1401</t>
  </si>
  <si>
    <t>573222549449</t>
  </si>
  <si>
    <t>Nicol Rico</t>
  </si>
  <si>
    <t>Nicol rico</t>
  </si>
  <si>
    <t>4.619120860860289, -74.06902158645543</t>
  </si>
  <si>
    <t>Calle 32 # 13-52 apto 1304 torre 1 en caja</t>
  </si>
  <si>
    <t>573057630517</t>
  </si>
  <si>
    <t>Nestor Valderrama</t>
  </si>
  <si>
    <t>AC 32 13-83 T 6 apt 1404 Conjunti Residencial Bávaro</t>
  </si>
  <si>
    <t>573187283298</t>
  </si>
  <si>
    <t>Nestor Guzman</t>
  </si>
  <si>
    <t>4.667652061988113, -74.12611472264274</t>
  </si>
  <si>
    <t>Calle 23a#83-25 Apto 408 modelia MAPS-4°40'03.5"N 74°07'34.0"W</t>
  </si>
  <si>
    <t>573157198061</t>
  </si>
  <si>
    <t>Nestor Gonzalez</t>
  </si>
  <si>
    <t>4.602926974313372, -74.14856830627855</t>
  </si>
  <si>
    <t>Calle 43a sur #72g-74 casa 62</t>
  </si>
  <si>
    <t>573212496807</t>
  </si>
  <si>
    <t>Neidy Kekhan Reyes</t>
  </si>
  <si>
    <t>4.715644230686625, -74.10161930341928</t>
  </si>
  <si>
    <t>Calle 89#95b-08 int. 106</t>
  </si>
  <si>
    <t>573144581629</t>
  </si>
  <si>
    <t>Nayiver Rincon Diaz</t>
  </si>
  <si>
    <t>4.66093711599299, -74.06956752162189</t>
  </si>
  <si>
    <t>Calle 70 #25-15</t>
  </si>
  <si>
    <t>573057202444</t>
  </si>
  <si>
    <t>Natalia Duran</t>
  </si>
  <si>
    <t>Trv 70D bis A 68-75 sur T2 Apto 2404</t>
  </si>
  <si>
    <t>573173755513</t>
  </si>
  <si>
    <t>Narda Mendez</t>
  </si>
  <si>
    <t>4.584531751895948, -74.13032365430328</t>
  </si>
  <si>
    <t xml:space="preserve">Calle 47A sur # 29-20 Barrio CLARET </t>
  </si>
  <si>
    <t>573138772977</t>
  </si>
  <si>
    <t>Nancy Romero</t>
  </si>
  <si>
    <t>4.755450303550137, -74.10973373348429</t>
  </si>
  <si>
    <t>carrera 136 a # 145-31 Inter 127</t>
  </si>
  <si>
    <t>573134800075</t>
  </si>
  <si>
    <t>Mónica Romero</t>
  </si>
  <si>
    <t>4.608045701891649, -74.08196817511796</t>
  </si>
  <si>
    <t>Cra. 18#15-36 T2 apto 1912, Torre Estación</t>
  </si>
  <si>
    <t>573208454868</t>
  </si>
  <si>
    <t>Monica Calderon Urrego</t>
  </si>
  <si>
    <t>Kra 102b #151/15 apto 1308 Torre 2 Conjunto residencial yakali</t>
  </si>
  <si>
    <t>573005563556</t>
  </si>
  <si>
    <t xml:space="preserve">Mireya Gaitán </t>
  </si>
  <si>
    <t>4.614849806182161, -74.14832118425504</t>
  </si>
  <si>
    <t>Calle 38 D #72Q-06 sur  casa esquina verde /3er piso</t>
  </si>
  <si>
    <t>573212180434</t>
  </si>
  <si>
    <t>Milena Roldan</t>
  </si>
  <si>
    <t>calle 59 sur madalena urapanes</t>
  </si>
  <si>
    <t>573123223532</t>
  </si>
  <si>
    <t>Milena Castillo</t>
  </si>
  <si>
    <t>Calle 6c # 72 b 45 int 7 apto 401</t>
  </si>
  <si>
    <t>573174184318</t>
  </si>
  <si>
    <t>Miguel Torres</t>
  </si>
  <si>
    <t>Miguel torres</t>
  </si>
  <si>
    <t>4.674265006443609, -74.08330358725438</t>
  </si>
  <si>
    <t>Carrera 64#68-19 Ap 202 Barrio San Fernando Occidental</t>
  </si>
  <si>
    <t>573233952054</t>
  </si>
  <si>
    <t>Miguel David Avellaneda Mendoza</t>
  </si>
  <si>
    <t>4.593527793033712, -74.13656636841732</t>
  </si>
  <si>
    <t>Diagonal 46 sur #52a 94, Drogueria henrys</t>
  </si>
  <si>
    <t>573123538879</t>
  </si>
  <si>
    <t>Mercedes Paez</t>
  </si>
  <si>
    <t>4.634978486104471, -74.09700613696569</t>
  </si>
  <si>
    <t>Carrera 46 # 22A 27, apartamento 602, Edificio Nancy</t>
  </si>
  <si>
    <t>573115580933</t>
  </si>
  <si>
    <t>Melissa Ortiz</t>
  </si>
  <si>
    <t>4.6996967505875284, -74.11762789029906</t>
  </si>
  <si>
    <t>calle 70 #97-40 casa 138, barrio alamos norte, conjunto residencial plazuelas de alamos 2</t>
  </si>
  <si>
    <t>573227436015</t>
  </si>
  <si>
    <t>Maye Delgado</t>
  </si>
  <si>
    <t>4.629382247652597, -74.14875553944059</t>
  </si>
  <si>
    <t>Carrera 78K # 0 59 Bloque K40 apto 502- MAPS  4.629449, -74.148735</t>
  </si>
  <si>
    <t>573183725754</t>
  </si>
  <si>
    <t>Mauricio Vargas 270</t>
  </si>
  <si>
    <t>Calle 11 No 33-250 etapa 3 casa 61 Conjunto Residencial La Toscana</t>
  </si>
  <si>
    <t>573152351111</t>
  </si>
  <si>
    <t>Mauricio Valero</t>
  </si>
  <si>
    <t>4.676918095640377, -74.06597773292691</t>
  </si>
  <si>
    <t>Calle 86a 49c 18</t>
  </si>
  <si>
    <t>573143474850</t>
  </si>
  <si>
    <t>Mauricio Antonio Bernal Torre</t>
  </si>
  <si>
    <t>4.6261043791708385, -74.13653546127631</t>
  </si>
  <si>
    <t>Cra 71d # 3-18</t>
  </si>
  <si>
    <t>573102323184</t>
  </si>
  <si>
    <t>Martha Salgado Pet O Vet</t>
  </si>
  <si>
    <t>Martha Salgado pet o vet</t>
  </si>
  <si>
    <t>4.705227534220869, -74.11309403225496</t>
  </si>
  <si>
    <t>Carrera 78A # 84b-55 sur caminos de san diego etapa 2 casa 49</t>
  </si>
  <si>
    <t>573102701974</t>
  </si>
  <si>
    <t>Martha Cecilia Romero</t>
  </si>
  <si>
    <t>4.756255057391694, -74.03835844812696</t>
  </si>
  <si>
    <t>Carrera 17a #175-82 Torre1 Apto802 Conjunto Mirador de la Alameda Bogota</t>
  </si>
  <si>
    <t>573025401098</t>
  </si>
  <si>
    <t xml:space="preserve">Marina Higuera </t>
  </si>
  <si>
    <t>4.7525178526431375, -74.06570307260061</t>
  </si>
  <si>
    <t>Cra 73A 168-91 casa 31 portales de el norte 1 manzana 4</t>
  </si>
  <si>
    <t>573203728948</t>
  </si>
  <si>
    <t>Maribel Vidal</t>
  </si>
  <si>
    <t>monteria</t>
  </si>
  <si>
    <t>573134097706</t>
  </si>
  <si>
    <t>Mariana Jimenez</t>
  </si>
  <si>
    <t>mariana jimenez</t>
  </si>
  <si>
    <t>4.688796580312861, -74.07458367559103</t>
  </si>
  <si>
    <t>calle 98 # 68-63 apto 1103 torre 3</t>
  </si>
  <si>
    <t>573175162267</t>
  </si>
  <si>
    <t>Maria Rosa Gallego</t>
  </si>
  <si>
    <t>4.692356534366625, -74.06797926637209</t>
  </si>
  <si>
    <t>carrera 65 número 103 - 52 porto bello 2 Apt 1203-4.692169, -74.067734</t>
  </si>
  <si>
    <t>573023480211</t>
  </si>
  <si>
    <t>María Paula Buchely Jiménez</t>
  </si>
  <si>
    <t>4.638481988215988, -74.20358390627841</t>
  </si>
  <si>
    <t>Calle 69asur #104 18 recreo de San Ignacio casa 243</t>
  </si>
  <si>
    <t>573133252005</t>
  </si>
  <si>
    <t>Maria Magdalena Saavedra</t>
  </si>
  <si>
    <t>4.596246753764753, -74.13533808845139</t>
  </si>
  <si>
    <t>Cra. 52b # 43-32, Puente Aranda, Bogotá, D.C., Bogotá, Bogotá, D.C.</t>
  </si>
  <si>
    <t>573208834012</t>
  </si>
  <si>
    <t>Maria Consuelo Ruiz</t>
  </si>
  <si>
    <t>Maria consuelo Ruiz</t>
  </si>
  <si>
    <t>4.770821078518771, -74.06132445541856</t>
  </si>
  <si>
    <t>Calle 183# 76-35 conjunto Socieg</t>
  </si>
  <si>
    <t>573108677744</t>
  </si>
  <si>
    <t>María Claudia Muriel Botero</t>
  </si>
  <si>
    <t>4.69390853307671, -74.06063705411367</t>
  </si>
  <si>
    <t>Cra 50 # 104 B - 34 Apto 210</t>
  </si>
  <si>
    <t>573105587843</t>
  </si>
  <si>
    <t>María Angélica Márquez Rozo</t>
  </si>
  <si>
    <t>4.923074470867486, -74.0228870589368</t>
  </si>
  <si>
    <t>Calle 8 # 3 - 38 Este barrio el misterio Cajica</t>
  </si>
  <si>
    <t>573176712724</t>
  </si>
  <si>
    <t>Maria Alejandra Wilches</t>
  </si>
  <si>
    <t>4.601046574908509, -74.19024554860681</t>
  </si>
  <si>
    <t>Kra 78#69B 04 sur MAPA 4.600822, -74.190267</t>
  </si>
  <si>
    <t>573174191530</t>
  </si>
  <si>
    <t>Maria Alejandra Reina 145</t>
  </si>
  <si>
    <t>4.745829682663627, -74.04936191709444</t>
  </si>
  <si>
    <t>CRA 48 #163b-58 Apto 606, edificio la Giralda I</t>
  </si>
  <si>
    <t>573144789566</t>
  </si>
  <si>
    <t>María Alejandra Morales</t>
  </si>
  <si>
    <t>4.61453716457459, -74.15660020037102</t>
  </si>
  <si>
    <t>Transversal 78i Bis &amp; Calle 41b Sur</t>
  </si>
  <si>
    <t>573194584587</t>
  </si>
  <si>
    <t>Marcela Hernandez</t>
  </si>
  <si>
    <t>4.588889172702214, -74.16288712197868</t>
  </si>
  <si>
    <t xml:space="preserve">Calle 63 sur No 70d-75 torre 12 apto 402 Parque central bonavista 1 </t>
  </si>
  <si>
    <t>573123176445</t>
  </si>
  <si>
    <t>Marcela Diaz</t>
  </si>
  <si>
    <t>4.610220828371852, -74.2197307960625</t>
  </si>
  <si>
    <t>calle 33 # 37-63 cojunto Residencial Guadual ciudad verde Torre 10 apto 103</t>
  </si>
  <si>
    <t>573204477576</t>
  </si>
  <si>
    <t>Magda Juliana Serna Lopez</t>
  </si>
  <si>
    <t>magda juliana serna Lopez</t>
  </si>
  <si>
    <t>4.7412053669056755, -74.1258837597783</t>
  </si>
  <si>
    <t>Cra 156a #132-11 barrio lisboa santa cecilia suba</t>
  </si>
  <si>
    <t>573143484505</t>
  </si>
  <si>
    <t>Luz Mery Camen</t>
  </si>
  <si>
    <t>4.641173534238557, -74.14550865906736</t>
  </si>
  <si>
    <t>Cra 80 # 8 11 torre 2 apto 715 torres de Santa Bárbara 
Barrio Castilla</t>
  </si>
  <si>
    <t>573223073853</t>
  </si>
  <si>
    <t>Luz Marina Monroy 25</t>
  </si>
  <si>
    <t>Luz marina Monroy 25</t>
  </si>
  <si>
    <t>4.86588861414571, -74.07063125862813</t>
  </si>
  <si>
    <t xml:space="preserve"> conjunto Rincón de Fonqueta, casa 38, Chia - Cundinamarca</t>
  </si>
  <si>
    <t>573002112901</t>
  </si>
  <si>
    <t>Luvier Fernando Lugo 130</t>
  </si>
  <si>
    <t>4.619181111207877, -74.0742012689129</t>
  </si>
  <si>
    <t>cll 29 N. 17-40 apto 201</t>
  </si>
  <si>
    <t>573138406465</t>
  </si>
  <si>
    <t>Luna Tobón Valencia</t>
  </si>
  <si>
    <t>4.601569985099832, -74.21905865092434</t>
  </si>
  <si>
    <t>CR 31 # 15-119 sur T 16 AP 402 - Ciudad verde, Soacha</t>
  </si>
  <si>
    <t>573057671212</t>
  </si>
  <si>
    <t>Luisa Fernanda Duque Barreiro</t>
  </si>
  <si>
    <t>4.628813329606383, -74.19413888134949</t>
  </si>
  <si>
    <t>Carrera 89 bis A # 59 C 15 sur Conjunto atalay del recreo torre 4- 414</t>
  </si>
  <si>
    <t>573128951233</t>
  </si>
  <si>
    <t>Luisa Fernanda Barbosa</t>
  </si>
  <si>
    <t>Luisa fernanda Barbosa</t>
  </si>
  <si>
    <t>carrera 73 a # 167-91 casa 19 conjunto portales del norte 1 manzana 4</t>
  </si>
  <si>
    <t>573229473612</t>
  </si>
  <si>
    <t>Luis Fernando Galvis Osorio Gaia</t>
  </si>
  <si>
    <t>Luis Fernando Galvis Osorio GAIA</t>
  </si>
  <si>
    <t>4.6635935300873355, -74.11233458433273</t>
  </si>
  <si>
    <t>cl 25 b # 71-18 apt 1405 torre 3a</t>
  </si>
  <si>
    <t>573123218364</t>
  </si>
  <si>
    <t>Luis Alonso</t>
  </si>
  <si>
    <t>4.671262760858861, -74.08574118768465</t>
  </si>
  <si>
    <t xml:space="preserve">cra 64 # 67a -05 casa 1 </t>
  </si>
  <si>
    <t>573223951234</t>
  </si>
  <si>
    <t>Lory Johanna Choconta</t>
  </si>
  <si>
    <t>⁠Carrera 123a#77b-85 torre 1 apto 30 conjunto Tinguazul gran granada</t>
  </si>
  <si>
    <t>573170661732</t>
  </si>
  <si>
    <t>Lina Rincón</t>
  </si>
  <si>
    <t>lina rincón</t>
  </si>
  <si>
    <t>4.754602549356499, -74.0410181802793</t>
  </si>
  <si>
    <t>Cra 19 a # 173-70 torre 4 apto 604, Conjunto Tamesis 175</t>
  </si>
  <si>
    <t>573007458537</t>
  </si>
  <si>
    <t xml:space="preserve">Lina Marcela Vasquez </t>
  </si>
  <si>
    <t>4.713036239029747, -74.20631575942217</t>
  </si>
  <si>
    <t>Cl. 17A #7A-27, Funza, Cundinamarca. Torre 9 apto 401</t>
  </si>
  <si>
    <t>573143690333</t>
  </si>
  <si>
    <t>Lina Bustos 140</t>
  </si>
  <si>
    <t>4.909398784536354, -74.0277348160555</t>
  </si>
  <si>
    <t>Calle 5ta sur # 3 - 44. Al lado de helados san Jerónimo</t>
  </si>
  <si>
    <t>573114755232</t>
  </si>
  <si>
    <t>Liliana Andrea Sánchez Cristancho Chiripa</t>
  </si>
  <si>
    <t>4.747170111978072, -74.06180453225485</t>
  </si>
  <si>
    <t>Cll 163#59a-10 torre 2 Apt 1712</t>
  </si>
  <si>
    <t>573208398555</t>
  </si>
  <si>
    <t>Lida Fernanda Lizo</t>
  </si>
  <si>
    <t>4.73070252558352, -74.04008401124113</t>
  </si>
  <si>
    <t>Cra 14c 148-46 casa 12 cedro bolivar</t>
  </si>
  <si>
    <t>573115050821</t>
  </si>
  <si>
    <t>Leonardo Ferrer</t>
  </si>
  <si>
    <t>4.60929862379699, -74.17203389325242</t>
  </si>
  <si>
    <t>cra78h#56a 20 sur</t>
  </si>
  <si>
    <t>573174193520</t>
  </si>
  <si>
    <t>Leidy Johana Murcia</t>
  </si>
  <si>
    <t>Calle 7 sur 6-15</t>
  </si>
  <si>
    <t>573183191793</t>
  </si>
  <si>
    <t>Leidy Bayona Saganome 113</t>
  </si>
  <si>
    <t>4.634163883096187, -74.12573786395023</t>
  </si>
  <si>
    <t>Cl. 9c Bis #68g-29 torre 10 apto 301 reserva de las americas 2</t>
  </si>
  <si>
    <t>573232336182</t>
  </si>
  <si>
    <t>Laura Solano-Paola Garcia</t>
  </si>
  <si>
    <t>Laura Solano-paola garcia</t>
  </si>
  <si>
    <t>4.651742245771939, -74.05627470379291</t>
  </si>
  <si>
    <t>calle 69 # 6-02 edificio versalles apto 301</t>
  </si>
  <si>
    <t>573106848762</t>
  </si>
  <si>
    <t>Laura Posso</t>
  </si>
  <si>
    <t>4.717782708246917, -74.06146983250915</t>
  </si>
  <si>
    <t>Transversal 53d #129-67 torre A apto 405</t>
  </si>
  <si>
    <t>573186910791</t>
  </si>
  <si>
    <t>Laura Marcela Rojas Diaz</t>
  </si>
  <si>
    <t>4.6278449015320575, -74.14634393168953</t>
  </si>
  <si>
    <t>Calle 3 # 78B-62 Mandalay casa</t>
  </si>
  <si>
    <t>573125248122</t>
  </si>
  <si>
    <t>Laura Marcela Niño Rojas</t>
  </si>
  <si>
    <t>4.681998103982473, -74.07902123600776</t>
  </si>
  <si>
    <t>carrera 66 79 a 82 unidad 1 interior q apto 103.</t>
  </si>
  <si>
    <t>573003622282</t>
  </si>
  <si>
    <t>Laura Fernanda Gomez Ramirez</t>
  </si>
  <si>
    <t>laura fernanda gomez ramirez</t>
  </si>
  <si>
    <t>4.74403591313081, -74.09632900627781</t>
  </si>
  <si>
    <t>carrera 103 f #140c 16</t>
  </si>
  <si>
    <t>573165157961</t>
  </si>
  <si>
    <t>Laura Cristina Sanabria Moreno</t>
  </si>
  <si>
    <t>Laura Cristina Sanabria moreno</t>
  </si>
  <si>
    <t>Ak 68 # 5-17 porto americas club residencial T2 Apto 2410</t>
  </si>
  <si>
    <t>573215752195</t>
  </si>
  <si>
    <t>Laura Alejandra Torres Granados</t>
  </si>
  <si>
    <t>4.583071912770926, -74.11260368006542</t>
  </si>
  <si>
    <t>Cra89 A BIS # 8 A 18 Torre8 apto 829, Conjunto Málaga Castilla reservado,  Nueva Castilla</t>
  </si>
  <si>
    <t>573146640759</t>
  </si>
  <si>
    <t>Lady Johanna Camargo Cardona</t>
  </si>
  <si>
    <t>4.5980253436331155, -74.12245293831056</t>
  </si>
  <si>
    <t>Cl. 33 Sur #40-10 Local 1, Puente Aranda, Bogotá</t>
  </si>
  <si>
    <t>573214792026</t>
  </si>
  <si>
    <t>La Tienda De Mechas Y Sus Amigos</t>
  </si>
  <si>
    <t>4.639582572339472, -74.15160373225525</t>
  </si>
  <si>
    <t>Carrera 81B #6B 85 casa 156</t>
  </si>
  <si>
    <t>573213564596</t>
  </si>
  <si>
    <t xml:space="preserve">Kevin Leonardo Quevedo Ardila </t>
  </si>
  <si>
    <t>4.62203128639481, -74.08436503244015</t>
  </si>
  <si>
    <t>Calle 22c #29a-47 Int 16 apto 16-41</t>
  </si>
  <si>
    <t>573118404563</t>
  </si>
  <si>
    <t>Katherine Padilla Mosquera</t>
  </si>
  <si>
    <t>4.614739893020716, -74.20230600185388</t>
  </si>
  <si>
    <t xml:space="preserve">Calle 77 sur # 81H - 20 Bosa San José conjunto residencial parque tuparro torre 14 apto 301 </t>
  </si>
  <si>
    <t>3223632200</t>
  </si>
  <si>
    <t>573223632200</t>
  </si>
  <si>
    <t>Karen Sofía Bolívar Triviño</t>
  </si>
  <si>
    <t>Karen Sofía bolívar Triviño</t>
  </si>
  <si>
    <t>4.632403129468985, -74.17221232199272</t>
  </si>
  <si>
    <t>Calle 42g # 87c 11 casa</t>
  </si>
  <si>
    <t>573175270866</t>
  </si>
  <si>
    <t>Karen Forero</t>
  </si>
  <si>
    <t>carrera 95J # 91A - 73</t>
  </si>
  <si>
    <t>573204999066</t>
  </si>
  <si>
    <t>Karen Dayana Castro Poveda</t>
  </si>
  <si>
    <t>Karen dayana castro poveda</t>
  </si>
  <si>
    <t>Carrera 7h no 151-53 apt 102</t>
  </si>
  <si>
    <t>573118065313</t>
  </si>
  <si>
    <t>Julieth Gutierrez</t>
  </si>
  <si>
    <t>4.626149354965175, -74.07948722528062</t>
  </si>
  <si>
    <t>Calle 37#29-18 soledad (casa)</t>
  </si>
  <si>
    <t>573197167416</t>
  </si>
  <si>
    <t>Juliana Sofia Torres Osorio</t>
  </si>
  <si>
    <t>Calle 138 D #153 C-14 Bogotá, Suba, barrio Santa Rita</t>
  </si>
  <si>
    <t>573004999882</t>
  </si>
  <si>
    <t xml:space="preserve">Julia Cubides Cardeña </t>
  </si>
  <si>
    <t>4.742819869302704, -74.0612282556726</t>
  </si>
  <si>
    <t>Calle 160 #58-75 torre 6 apto 404 conjunto residencial Dalí . Barrio Gilmar</t>
  </si>
  <si>
    <t>573125933078</t>
  </si>
  <si>
    <t>Juan Sebastian Tintinago</t>
  </si>
  <si>
    <t>4.667719300480578, -74.12609091111949</t>
  </si>
  <si>
    <t>Calle 23abis#83-25 Apto 612 Modelia 88</t>
  </si>
  <si>
    <t>573124784496</t>
  </si>
  <si>
    <t>Juan Sebastian Prieto Pinzón</t>
  </si>
  <si>
    <t>Juan sebastian prieto pinzón</t>
  </si>
  <si>
    <t>DIRECCIÓN: CALLE 137  #  91-40.  INTERIOR 1.  APARTAMENTO 204.  CONJUNTO RESIDENCIAL "SAUCES DE SUBA".</t>
  </si>
  <si>
    <t>573014259952</t>
  </si>
  <si>
    <t>Juan Olaez Cardona</t>
  </si>
  <si>
    <t>JUAN OLAEZ CARDONA</t>
  </si>
  <si>
    <t>4.611792199567547, -74.16528084607128</t>
  </si>
  <si>
    <t>Kra 78a #48 sur 22</t>
  </si>
  <si>
    <t>573054066396</t>
  </si>
  <si>
    <t>Juan Esteban Ramirez</t>
  </si>
  <si>
    <t>Juan esteban ramirez</t>
  </si>
  <si>
    <t>4.61868895731389, -74.10774600627855</t>
  </si>
  <si>
    <t>Tv 42a # 5a 82 piso 1</t>
  </si>
  <si>
    <t>573232204888</t>
  </si>
  <si>
    <t>Juan Carlos Ospina Arango</t>
  </si>
  <si>
    <t>4.69079956042075, -74.07749960395277</t>
  </si>
  <si>
    <t>Cr 69B # 96 -18. Barrio Julio Flórez</t>
  </si>
  <si>
    <t>573142352415</t>
  </si>
  <si>
    <t>Juan Carlos Arango Castano 150</t>
  </si>
  <si>
    <t>4.655924333960473, -74.07024587751926</t>
  </si>
  <si>
    <t>Calle 65 #22-13 edificio arko I apto 302</t>
  </si>
  <si>
    <t>573155947421</t>
  </si>
  <si>
    <t>Juan Andres Restrepo</t>
  </si>
  <si>
    <t>4.6662458995654035, -74.12910456127624</t>
  </si>
  <si>
    <t>Calle 22a 83 61 Mallorca 4 casa 3</t>
  </si>
  <si>
    <t>573158943240</t>
  </si>
  <si>
    <t>José Odair Suárez</t>
  </si>
  <si>
    <t>José odair Suárez</t>
  </si>
  <si>
    <t>Calle 145 13A-96 Apartamento 204 Edificio Parque del Cedro.</t>
  </si>
  <si>
    <t>573102397760</t>
  </si>
  <si>
    <t>José María Robayo 30</t>
  </si>
  <si>
    <t>calle 58N #4B-45 Apto 904 B unidad residencial divento barrio la flora</t>
  </si>
  <si>
    <t>573154918270</t>
  </si>
  <si>
    <t>Jose Luis Barrios 115</t>
  </si>
  <si>
    <t>terminal salitre: Calle 66#39B10 barrio las colinas Manizales Caldas</t>
  </si>
  <si>
    <t>573132848302</t>
  </si>
  <si>
    <t>Jose Jaime López Velandia</t>
  </si>
  <si>
    <t>Terminal, direccion Calle 54 # 94-24, T1 Apto 8,1 cali</t>
  </si>
  <si>
    <t>573022930654</t>
  </si>
  <si>
    <t>Jose Alfonso Garzon Cedeño</t>
  </si>
  <si>
    <t>jose alfonso garzon cedeño</t>
  </si>
  <si>
    <t>4.652748900035442, -74.13636127145675</t>
  </si>
  <si>
    <t>Carrera 80c#13a-32 barrio adalucia conjunto residencial gerona del vergel torre 4 apto 201</t>
  </si>
  <si>
    <t>573223299809</t>
  </si>
  <si>
    <t>Jorge Quispe</t>
  </si>
  <si>
    <t>4.67586985789617, -74.1347842747673</t>
  </si>
  <si>
    <t>cr 96g #16i 18 casa tercer piso</t>
  </si>
  <si>
    <t>573160496529</t>
  </si>
  <si>
    <t>Jorge Patarroyo 140</t>
  </si>
  <si>
    <t>4.753394316208846, -74.06694386429551</t>
  </si>
  <si>
    <t>cra 74a #168a-50 int 2 apto 708 conjunto residencial takali del monte</t>
  </si>
  <si>
    <t>573182279041</t>
  </si>
  <si>
    <t>Jonathan Lopez Puerta</t>
  </si>
  <si>
    <t>4.680020121967063, -74.13183899011234</t>
  </si>
  <si>
    <t>Kr 97# 24 32 Int 7 Apto 201</t>
  </si>
  <si>
    <t>573158647677</t>
  </si>
  <si>
    <t>John Miranda</t>
  </si>
  <si>
    <t>4.617953875836762, -74.15793037349941</t>
  </si>
  <si>
    <t>573142555974</t>
  </si>
  <si>
    <t>John Hernandez</t>
  </si>
  <si>
    <t>4.583084186034461, -74.20855403244018</t>
  </si>
  <si>
    <t>Carrera 2b #25c -54 barrio Porvenir Soacha. Tercer piso MAPS 4.582859155301195, -74.20853815434148</t>
  </si>
  <si>
    <t>573002431647</t>
  </si>
  <si>
    <t>John Fernando Rivera Rincón</t>
  </si>
  <si>
    <t>4.694953400917142, -74.08017647266468</t>
  </si>
  <si>
    <t>Calle 97 # 70 c 95, Portal de Pontevedra 5, Torre 4 apto 602</t>
  </si>
  <si>
    <t>318 8972079</t>
  </si>
  <si>
    <t>57318 8972079</t>
  </si>
  <si>
    <t>John Bernal Castañeda Vs</t>
  </si>
  <si>
    <t>John Bernal Castañeda VS</t>
  </si>
  <si>
    <t xml:space="preserve"> Kr 8d 160 94 casa puerta dorada</t>
  </si>
  <si>
    <t>573132549221</t>
  </si>
  <si>
    <t>John Beltrán</t>
  </si>
  <si>
    <t>4.617954163516737, -74.15791058870259</t>
  </si>
  <si>
    <t>Cra 27 # 1 a 21</t>
  </si>
  <si>
    <t>573015619872</t>
  </si>
  <si>
    <t>John Barbosa Hernandez</t>
  </si>
  <si>
    <t>John Barbosa hernandez</t>
  </si>
  <si>
    <t>Johanna Echeverri Nuggets</t>
  </si>
  <si>
    <t>Calle 13 SUR 2-82 finca El Triunfo, Cajicá, Cundinamarca ,(Por Camino Buena Suerte, en Maps buscar Alkisofia)</t>
  </si>
  <si>
    <t>573011360508</t>
  </si>
  <si>
    <t>Johan Ochoa Gaviria</t>
  </si>
  <si>
    <t>Calle34abis#88c-4</t>
  </si>
  <si>
    <t>573209504332</t>
  </si>
  <si>
    <t>Jineth Veronica Florez Gonzalez</t>
  </si>
  <si>
    <t>Jineth veronica florez gonzalez</t>
  </si>
  <si>
    <t>4.584726085541368, -74.1572640919668</t>
  </si>
  <si>
    <t>calle 63 sur # 64-90 conjunto el jardin interior 10 apto 552</t>
  </si>
  <si>
    <t>573106892868</t>
  </si>
  <si>
    <t>Jimmy Puentes 230</t>
  </si>
  <si>
    <t>4.716550522906735, -74.12923650360332</t>
  </si>
  <si>
    <t>Calle 72F #114 A - 40 Torre 9 apto 502</t>
  </si>
  <si>
    <t>573193174586</t>
  </si>
  <si>
    <t>Jhon Fredy Meneses Leal</t>
  </si>
  <si>
    <t>4.646226941285722, -74.08315565961584</t>
  </si>
  <si>
    <t>calle 56 # 38-23 apt 501 edificio Flamingo. Barrio Nicolás de Federman</t>
  </si>
  <si>
    <t>573142244660</t>
  </si>
  <si>
    <t>Jhon Bocanegra</t>
  </si>
  <si>
    <t>4.613576536678958, -74.1076351348817</t>
  </si>
  <si>
    <t>Conjunto Residencial PRIMAVERA 639, etapa 1,  Torre 6 apto 2105</t>
  </si>
  <si>
    <t>573123577008</t>
  </si>
  <si>
    <t>Jhoan Camilo Sanchez Valderrama</t>
  </si>
  <si>
    <t>oficina zipaquira</t>
  </si>
  <si>
    <t>573144472686</t>
  </si>
  <si>
    <t>Jhilmar Jhobany Sierra Mahecha</t>
  </si>
  <si>
    <t>Jhilmar jhobany sierra mahecha</t>
  </si>
  <si>
    <t>4.647953411511247, -74.17355170343387</t>
  </si>
  <si>
    <t>Cra 97 B bis # 38-53 sur</t>
  </si>
  <si>
    <t>573227137325</t>
  </si>
  <si>
    <t>Jessica Ortega</t>
  </si>
  <si>
    <t>4.645752167091152, -74.13871486786599</t>
  </si>
  <si>
    <t>Calle 79 #10 d 95 parques de castilla 4 trr 2 apto 504</t>
  </si>
  <si>
    <t>573505658503</t>
  </si>
  <si>
    <t>Jessica Moreno 48</t>
  </si>
  <si>
    <t>4.752905548881764, -74.06569836084948</t>
  </si>
  <si>
    <t>carrera 73 a # 167-91 casa 27 conjunto portales del norte 1 manzana 4</t>
  </si>
  <si>
    <t>573012828335</t>
  </si>
  <si>
    <t>Jessica Cabrera</t>
  </si>
  <si>
    <t>4.594354612932832, -74.15685287443354</t>
  </si>
  <si>
    <t xml:space="preserve">Pinar de novalena </t>
  </si>
  <si>
    <t>573203909420</t>
  </si>
  <si>
    <t>Jerson David Ortiz Puentes Auri</t>
  </si>
  <si>
    <t>Jerson David Ortiz Puentes AURI</t>
  </si>
  <si>
    <t>4.638731644019474, -74.07890854612201</t>
  </si>
  <si>
    <t>Carrera 30 # 48-30 Apto 702 edificio portal de Belalcazar Bogotá</t>
  </si>
  <si>
    <t>573133669967</t>
  </si>
  <si>
    <t xml:space="preserve">Jeimmy Pinzon </t>
  </si>
  <si>
    <t xml:space="preserve">Jeimmy pinzon </t>
  </si>
  <si>
    <t>4.650551363017958, -74.13142174326917</t>
  </si>
  <si>
    <t>Cra 78 # 16D - 71 conjunto residencial Zajarí zentral. Torre 3 apto 826</t>
  </si>
  <si>
    <t>573205179480</t>
  </si>
  <si>
    <t>Javier Diaz</t>
  </si>
  <si>
    <t>4.640225789141522, -74.12661062537795</t>
  </si>
  <si>
    <t>carrera 71 B Bis #12A-40 Torre 1 Apto 402</t>
  </si>
  <si>
    <t>573053122534</t>
  </si>
  <si>
    <t>Jairo Rosas Hernandez</t>
  </si>
  <si>
    <t>4.740989740976053, -74.05634276417832</t>
  </si>
  <si>
    <t>Calle 159 n. 54 69 torre 4 apto 1005 Portus Alejandría</t>
  </si>
  <si>
    <t>573123775027</t>
  </si>
  <si>
    <t>Jaime Rolando Ayala Garcia</t>
  </si>
  <si>
    <t>4.6571368504368635, -74.12890961691315</t>
  </si>
  <si>
    <t>Cra 79 #19-88 t2 apto1301</t>
  </si>
  <si>
    <t>573103019618</t>
  </si>
  <si>
    <t>Ivonne Aguirre</t>
  </si>
  <si>
    <t>4.593907765896521, -74.16337814007746</t>
  </si>
  <si>
    <t xml:space="preserve">Cr 71 58 a 60 sur Int 28 apto 202 </t>
  </si>
  <si>
    <t>573046420936</t>
  </si>
  <si>
    <t>Ingrid Natalia Beltrán Ramírez</t>
  </si>
  <si>
    <t>4.721054927159062, -74.02755301803784</t>
  </si>
  <si>
    <t>Carrera 7 A 145-41 edif torrealba apto 601 torre 1</t>
  </si>
  <si>
    <t>573153597347</t>
  </si>
  <si>
    <t>Helena Mojica</t>
  </si>
  <si>
    <t>Hacienda Fontanar km 2.5 via Chia-Cajica. Conj. Ficus casa 5.</t>
  </si>
  <si>
    <t>573208941892</t>
  </si>
  <si>
    <t>Hector Lizarazo</t>
  </si>
  <si>
    <t>Carrera 66# 60a 50 sur Papeleria vacesan</t>
  </si>
  <si>
    <t>573219967349</t>
  </si>
  <si>
    <t>Harley Irene Monsalve</t>
  </si>
  <si>
    <t>4.6258357299643835, -74.15924837835799</t>
  </si>
  <si>
    <t>Harinas</t>
  </si>
  <si>
    <t>harinas</t>
  </si>
  <si>
    <t>4.741744116405488, -74.05803109045735</t>
  </si>
  <si>
    <t>Cra 55c # 159-10 int 13 piso 1</t>
  </si>
  <si>
    <t>573226140150</t>
  </si>
  <si>
    <t>Happy Pets Paradise</t>
  </si>
  <si>
    <t>4.687062186013176, -74.03435239334473</t>
  </si>
  <si>
    <t>Calle 108B 6-24 Apt 101</t>
  </si>
  <si>
    <t>573008676283</t>
  </si>
  <si>
    <t>Hair Muñoz 250</t>
  </si>
  <si>
    <t>4.678582461768557, -74.06532282883626</t>
  </si>
  <si>
    <t>carrera 49d #87-13</t>
  </si>
  <si>
    <t>573504265525</t>
  </si>
  <si>
    <t>Gustavo Toro</t>
  </si>
  <si>
    <t>4.738810556051121, -74.05683121929226</t>
  </si>
  <si>
    <t>Conjunto Residencial Mazuren 1, Cra. 55 #152b 68  torre  5 apto 205</t>
  </si>
  <si>
    <t>573124300773</t>
  </si>
  <si>
    <t>Gustavo Ferro</t>
  </si>
  <si>
    <t>4.730116225796329, -74.0979339216216</t>
  </si>
  <si>
    <t>Carrera 100C#129C-18 ,primer piso barrio lagos de Suba maps, 4.729876, -74.097900</t>
  </si>
  <si>
    <t>573212166664</t>
  </si>
  <si>
    <t>Guillermo Gonzalez</t>
  </si>
  <si>
    <t>carrera1 # 15 -90 El bejucal cajicá. casa 19</t>
  </si>
  <si>
    <t>61493608991</t>
  </si>
  <si>
    <t>Gloria Patricia Peña 100</t>
  </si>
  <si>
    <t>Gloria patricia peña 100</t>
  </si>
  <si>
    <t>4.766272507907867, -74.06505028491672</t>
  </si>
  <si>
    <t>Calle 175 # 76- 50casa 3  conjunto Rodamontes</t>
  </si>
  <si>
    <t>573108753186</t>
  </si>
  <si>
    <t>Gloria Muriel Botero</t>
  </si>
  <si>
    <t>4.750929372200678, -74.02545606480406</t>
  </si>
  <si>
    <t>RIOJA TORRE 3-APT-03-2110 CRA 7 A # 172 A 30 BOGOTA DC</t>
  </si>
  <si>
    <t>573132088593</t>
  </si>
  <si>
    <t>Gladis Baquero</t>
  </si>
  <si>
    <t>4.683986787634647, -74.08283800360363</t>
  </si>
  <si>
    <t xml:space="preserve"> CR68C #77-43 EDIFICIO MPH APTO 1010</t>
  </si>
  <si>
    <t>573150570538</t>
  </si>
  <si>
    <t>Giovanny Andrés Gómez</t>
  </si>
  <si>
    <t>573138086463</t>
  </si>
  <si>
    <t>Geraldin Bustamante</t>
  </si>
  <si>
    <t>4.73279125652287, -74.0505135616888</t>
  </si>
  <si>
    <t>calle 150a #45-55 apto 511</t>
  </si>
  <si>
    <t>573108508105</t>
  </si>
  <si>
    <t>Gabriela Ramirez Caro</t>
  </si>
  <si>
    <t>gabriela ramirez caro</t>
  </si>
  <si>
    <t>4.88327499297058, -74.04370694592993</t>
  </si>
  <si>
    <t>Condominio Residencial Quintas del Bosque casa 5 4.883240, -74.043068</t>
  </si>
  <si>
    <t>573208795345</t>
  </si>
  <si>
    <t>Fernando Monroy</t>
  </si>
  <si>
    <t>Calle 10 #6-08 en Chia</t>
  </si>
  <si>
    <t>573005281323</t>
  </si>
  <si>
    <t>Fanny Duque Guinard</t>
  </si>
  <si>
    <t>4.5947627599408145, -74.1577771899266</t>
  </si>
  <si>
    <t>calle 58 sur #66a-79 apartamento 504</t>
  </si>
  <si>
    <t>573103126656</t>
  </si>
  <si>
    <t>Fabiola Delgado Montalbo</t>
  </si>
  <si>
    <t>Cra 3 bis 127b 45</t>
  </si>
  <si>
    <t>573150525254</t>
  </si>
  <si>
    <t>Evelin Herrera</t>
  </si>
  <si>
    <t>4.651484728052012, -74.13569018815174</t>
  </si>
  <si>
    <t>Kra 79G número 13A 64. Barrio Visión Colombia Casa Tercer piso.</t>
  </si>
  <si>
    <t>573232840240</t>
  </si>
  <si>
    <t>Esperanza Calderon</t>
  </si>
  <si>
    <t>4.6429977679291365, -74.14437876127617</t>
  </si>
  <si>
    <t>Kra 80 No 8b-37 apto 202 etapa 1 bosques de bavaria</t>
  </si>
  <si>
    <t>573209927180</t>
  </si>
  <si>
    <t>Erika Villamizar Bruno</t>
  </si>
  <si>
    <t>Erika Villamizar bruno</t>
  </si>
  <si>
    <t>4.645646792759222, -74.13996086891275</t>
  </si>
  <si>
    <t>CRA 79 número 10 D 95, Parque de Castilla etapa 4 apatamento 2-502</t>
  </si>
  <si>
    <t>573052896347</t>
  </si>
  <si>
    <t>Ericka Núñez</t>
  </si>
  <si>
    <t>4.5785353902572306, -74.1277340036041</t>
  </si>
  <si>
    <t xml:space="preserve">calle 46a sur # 23c -10 casa piso 2 tunal </t>
  </si>
  <si>
    <t>573134974621</t>
  </si>
  <si>
    <t>Enith Tarazona Ardila</t>
  </si>
  <si>
    <t>4.8209137196074066, -74.10416672815097</t>
  </si>
  <si>
    <t>Vereda La Moya Camellón de las flores Finca Villa Mulata Cota Cundinamarca</t>
  </si>
  <si>
    <t>573138013032</t>
  </si>
  <si>
    <t>Eliana Turrini</t>
  </si>
  <si>
    <t>4.627109, -74.073053</t>
  </si>
  <si>
    <t>cr19 # 37-73 apto 401</t>
  </si>
  <si>
    <t>573016189999</t>
  </si>
  <si>
    <t>Eleonora Mutis</t>
  </si>
  <si>
    <t>4.643162912064931, -74.14388720947512</t>
  </si>
  <si>
    <t>cra 80 #8c-85 torre 3 apto 412</t>
  </si>
  <si>
    <t>573194667470</t>
  </si>
  <si>
    <t>Edwin Romero</t>
  </si>
  <si>
    <t>4.593444477299046, -74.15859931709521</t>
  </si>
  <si>
    <t>Madelena conjunto urbano 2 Torre 2 apto 2103</t>
  </si>
  <si>
    <t>573003004703</t>
  </si>
  <si>
    <t>Eduardo Arias Garcia</t>
  </si>
  <si>
    <t>4.676180818111013, -74.04932688906102</t>
  </si>
  <si>
    <t>CRA.13 #93-40 OFC 411 (dejar el paquete a nombre de Cesar Moreno)</t>
  </si>
  <si>
    <t>573103140694</t>
  </si>
  <si>
    <t>Eddinson Rodríguez Bonilla</t>
  </si>
  <si>
    <t>4.648468572715817, -74.05819934021515</t>
  </si>
  <si>
    <t>Calle 65 # 5-23 apto 203</t>
  </si>
  <si>
    <t>573123570114</t>
  </si>
  <si>
    <t xml:space="preserve">Doris Cortés Urrea </t>
  </si>
  <si>
    <t>4.667602760433639, -74.1084210902991</t>
  </si>
  <si>
    <t xml:space="preserve">CRA 71a # 49 a -19 </t>
  </si>
  <si>
    <t>573123935050</t>
  </si>
  <si>
    <t>Doggy Lunch Ricardo</t>
  </si>
  <si>
    <t>calle 45asur 52 A 45 Venecia</t>
  </si>
  <si>
    <t>573134339849</t>
  </si>
  <si>
    <t>Doggy Lunch Orlando Lancheros</t>
  </si>
  <si>
    <t>4.648558591948758, -74.05815306646903</t>
  </si>
  <si>
    <t>Calle 65 No. 5 - 23 AP 203</t>
  </si>
  <si>
    <t>573015850114</t>
  </si>
  <si>
    <t>Doggy Lunch Fabián Restrepo</t>
  </si>
  <si>
    <t>4.610025696304934, -74.15155908776686</t>
  </si>
  <si>
    <t>Cra 72 N Bis A 40 F 89 sur int 10 apto 110 Agrupacion de Vivienda Timiza L2</t>
  </si>
  <si>
    <t>573103228444</t>
  </si>
  <si>
    <t>Doggy Lunch Dora Gomez</t>
  </si>
  <si>
    <t>4.592904377526779, -74.11162946820983</t>
  </si>
  <si>
    <t>Calle 22 sur #29b - 35. Av 1 de mayo</t>
  </si>
  <si>
    <t>573006968740</t>
  </si>
  <si>
    <t>Doggy Lunch Camila Roma</t>
  </si>
  <si>
    <t>4.611342514774538, -74.09212130631697</t>
  </si>
  <si>
    <t>CARRERA 28 BIS 12 09 RICAURTE</t>
  </si>
  <si>
    <t>573016627101</t>
  </si>
  <si>
    <t>Dog Sano Yina Rios Akamaru</t>
  </si>
  <si>
    <t>Dog sano Yina Rios Akamaru</t>
  </si>
  <si>
    <t>4.5804309954018665, -74.10880020638328</t>
  </si>
  <si>
    <t>Carrera 19D# 28A16 sur-4°34'49.6"N 74°06'33.4"W</t>
  </si>
  <si>
    <t>573157943245</t>
  </si>
  <si>
    <t>Dog Sano Suanny Cando Coky</t>
  </si>
  <si>
    <t>Dog Sano Suanny Cando coky</t>
  </si>
  <si>
    <t>4.572723550166102, -74.09547511704011</t>
  </si>
  <si>
    <t>Calle 24 sur # 8-37 Apto 202</t>
  </si>
  <si>
    <t>573222505832</t>
  </si>
  <si>
    <t>Dog Sano Sharon Gissel Ramírez Silva</t>
  </si>
  <si>
    <t>Dog sano Sharon Gissel Ramírez Silva</t>
  </si>
  <si>
    <t>4.613995375560051, -74.11654317680546</t>
  </si>
  <si>
    <t>calle 2 b 52c 064.613453, -74.116477</t>
  </si>
  <si>
    <t>573017866042</t>
  </si>
  <si>
    <t>Dog Sano Pet O Vet</t>
  </si>
  <si>
    <t>Dog Sano pet o vet</t>
  </si>
  <si>
    <t>4.589039373134773, -74.16549094593142</t>
  </si>
  <si>
    <t>Diagonal 62 G sur # 71 C 15 Perdomo (valvanera)-</t>
  </si>
  <si>
    <t>573118238285</t>
  </si>
  <si>
    <t>Dog Sano Paola Forero</t>
  </si>
  <si>
    <t>4.615152394560068, -74.16965974727977</t>
  </si>
  <si>
    <t>Calle 51 sur #79-40 portería 3.</t>
  </si>
  <si>
    <t>573223793529</t>
  </si>
  <si>
    <t>Dog Sano Paola Acosta</t>
  </si>
  <si>
    <t>4.647099566734777, -74.09178360028368</t>
  </si>
  <si>
    <t>Calle 44b 55-89 Barrio La Esmeralda</t>
  </si>
  <si>
    <t>573153084029</t>
  </si>
  <si>
    <t>Dog Sano Karol Nerieth Leon Blue 205</t>
  </si>
  <si>
    <t>Dog sano Karol Nerieth Leon Blue 205</t>
  </si>
  <si>
    <t>4.642677907662424, -74.11089412736996</t>
  </si>
  <si>
    <t>CR 66 # 19 72 Torre 3 Apto 1905</t>
  </si>
  <si>
    <t>573007205916</t>
  </si>
  <si>
    <t>Dog Sano Johan Mora</t>
  </si>
  <si>
    <t>4.599181723104157, -74.12597219699857</t>
  </si>
  <si>
    <t>Cra 50b # 36-39 sur</t>
  </si>
  <si>
    <t>573115644071</t>
  </si>
  <si>
    <t>Dog Sano Jeferson Pardo Ospina</t>
  </si>
  <si>
    <t>Calle 49dbis sur #5×-09 molinos primer sector. Casa o Cl. 55 Sur #24-44, Bogotá torre 6 apto 201</t>
  </si>
  <si>
    <t>573187091632</t>
  </si>
  <si>
    <t>Dog Sano Janeth Eslava Garcia 170</t>
  </si>
  <si>
    <t>Dog sano Janeth Eslava Garcia 170</t>
  </si>
  <si>
    <t>TV 71B # 9D - 90  Torre 5 apartamento 301 conjunto Bosques del Ferrol</t>
  </si>
  <si>
    <t>573123350951</t>
  </si>
  <si>
    <t>Dog Sano Gisela Ortiz</t>
  </si>
  <si>
    <t>4.6003618808373, -74.08785508825885</t>
  </si>
  <si>
    <t>Calle 6a #18-33 torre 1 16-06 aruma MAPA 4.600148, -74.087898</t>
  </si>
  <si>
    <t>573114654968</t>
  </si>
  <si>
    <t>Dog Sano Daniela Mora</t>
  </si>
  <si>
    <t>Dog Sano Daniela mora</t>
  </si>
  <si>
    <t>4.6215283266250955, -74.19889364457022</t>
  </si>
  <si>
    <t>Calle 72a sur #87j- 72</t>
  </si>
  <si>
    <t>573043765289</t>
  </si>
  <si>
    <t>Dog Sano Carolina Ayala</t>
  </si>
  <si>
    <t>Cra 86 17-96 torre 10 apto 205</t>
  </si>
  <si>
    <t>573118438157</t>
  </si>
  <si>
    <t>Dog Sano Adriana Del Pilar Romero Cortés</t>
  </si>
  <si>
    <t>Dog sano Adriana del Pilar Romero Cortés</t>
  </si>
  <si>
    <t>4.723739150762986, -74.13277440436983</t>
  </si>
  <si>
    <t>Calle 77b #120a-40, Torre 2 apto 310</t>
  </si>
  <si>
    <t>573148128511</t>
  </si>
  <si>
    <t>Dilan Felipe Asencio Perez 58</t>
  </si>
  <si>
    <t>4.925037301104707, -74.04688899618674</t>
  </si>
  <si>
    <t>Km 2,5 vía Cajica tabio Conjunto campestre verde vivo Interior 15 casa 2</t>
  </si>
  <si>
    <t>573218280844</t>
  </si>
  <si>
    <t>Diana Zambrano 180</t>
  </si>
  <si>
    <t>4.6519423847272074, -74.13077727511782</t>
  </si>
  <si>
    <t>Cr 78 16d 48 izola zentral torre 2 apto 1111</t>
  </si>
  <si>
    <t>573138291625</t>
  </si>
  <si>
    <t>Diana Tejedor</t>
  </si>
  <si>
    <t>Diana tejedor</t>
  </si>
  <si>
    <t>4.632547569384527, -74.14768720731172</t>
  </si>
  <si>
    <t>Diagonal 6 b 79 b 80</t>
  </si>
  <si>
    <t>573104955288</t>
  </si>
  <si>
    <t>Diana Maria Guzman Becerra</t>
  </si>
  <si>
    <t>4.680142028603279, -74.16543437904419</t>
  </si>
  <si>
    <t>Calle 14b#119a-20 Solsticio etapa 3 torre 6 apartamento 301</t>
  </si>
  <si>
    <t>573043471739</t>
  </si>
  <si>
    <t>Diana Guzmán Ruiz</t>
  </si>
  <si>
    <t>Diana Guzmán ruiz</t>
  </si>
  <si>
    <t>Diana Constanza Ruiz</t>
  </si>
  <si>
    <t>Diana constanza Ruiz</t>
  </si>
  <si>
    <t xml:space="preserve"> apto 103 Ed las fuentes  barrio chico navarra</t>
  </si>
  <si>
    <t>av.calle100#21-46</t>
  </si>
  <si>
    <t>573176451476</t>
  </si>
  <si>
    <t>Diana Ardila</t>
  </si>
  <si>
    <t>diana ardila</t>
  </si>
  <si>
    <t>4.576380622254042, -74.11569066405299</t>
  </si>
  <si>
    <t>Edificio caracas central  carrera 14#34-34 sur</t>
  </si>
  <si>
    <t>573022387448</t>
  </si>
  <si>
    <t>David Max</t>
  </si>
  <si>
    <t>4.719624844432396, -74.10695100360338</t>
  </si>
  <si>
    <t>Cll 87# 102-60 int 22 apt 302</t>
  </si>
  <si>
    <t>573132651016</t>
  </si>
  <si>
    <t>David Bermudez</t>
  </si>
  <si>
    <t>4.610606795766916, -74.17025903396352</t>
  </si>
  <si>
    <t>Conjunto Residencial Altos de Ipanema calle 26 sur #93D-60 kennedy</t>
  </si>
  <si>
    <t>573142070103</t>
  </si>
  <si>
    <t>Darly Duarte</t>
  </si>
  <si>
    <t>4.7512330112948495, -74.02469599288764</t>
  </si>
  <si>
    <t>calle 173 #7-95 torre 2 apto 1706</t>
  </si>
  <si>
    <t>573013849900</t>
  </si>
  <si>
    <t>Daniela Ortiz</t>
  </si>
  <si>
    <t>4.631460344120077, -74.08770781709494</t>
  </si>
  <si>
    <t>Carrera 38 # 25 a - 37 El recuerdo- teusaquillo casa Mapa 4.631717, -74.087740</t>
  </si>
  <si>
    <t>573195630612</t>
  </si>
  <si>
    <t>Daniela Gomez Neira 105</t>
  </si>
  <si>
    <t>4.587778702707617, -74.07442593630475</t>
  </si>
  <si>
    <t>Calle 3#1-25 Lourdes centro</t>
  </si>
  <si>
    <t>573057888483</t>
  </si>
  <si>
    <t>Daniel Valencia</t>
  </si>
  <si>
    <t>4.674650651419689, -74.13472633666177</t>
  </si>
  <si>
    <t>Cra 96f 22k 40 Hayuelos reservado 2 Torre 13 apto 503</t>
  </si>
  <si>
    <t>573143069108</t>
  </si>
  <si>
    <t>Daniel Orlando García Celeita Mocca</t>
  </si>
  <si>
    <t>Daniel Orlando García Celeita MOCCA</t>
  </si>
  <si>
    <t>573138791829</t>
  </si>
  <si>
    <t>Daniel Martinez 185</t>
  </si>
  <si>
    <t>573124002720</t>
  </si>
  <si>
    <t>Daniel Latorre</t>
  </si>
  <si>
    <t>4.634779778486796, -74.0711493438239</t>
  </si>
  <si>
    <t>TV 17 45 d 60</t>
  </si>
  <si>
    <t>573143193333</t>
  </si>
  <si>
    <t>Daniel Emilio Quijano</t>
  </si>
  <si>
    <t>4.67131748078517, -74.10597633208882</t>
  </si>
  <si>
    <t>Calle 53A 71C 19 Apto 201A  Normandía</t>
  </si>
  <si>
    <t>573213239770</t>
  </si>
  <si>
    <t xml:space="preserve">Claudia Yazmin Giraldo Castañeda </t>
  </si>
  <si>
    <t xml:space="preserve">Claudia yazmin Giraldo Castañeda </t>
  </si>
  <si>
    <t>4.648657334970687, -74.13762089905774</t>
  </si>
  <si>
    <t>Av calle 12 # 79A - 61 bodega 13</t>
  </si>
  <si>
    <t>573214076073</t>
  </si>
  <si>
    <t>Claudia Patricia Torres</t>
  </si>
  <si>
    <t>4.733350544346832, -74.02503043167215</t>
  </si>
  <si>
    <t>casa Calle 158 n 7 b 68 apartamento 402</t>
  </si>
  <si>
    <t>573123705496</t>
  </si>
  <si>
    <t>Claudia Patricia Alaguna</t>
  </si>
  <si>
    <t>calle 56a sur # 33-88</t>
  </si>
  <si>
    <t>573203424920</t>
  </si>
  <si>
    <t>Claudia Mahecha Am</t>
  </si>
  <si>
    <t>Claudia Mahecha AM</t>
  </si>
  <si>
    <t>4.629970531665668, -74.1393939003318</t>
  </si>
  <si>
    <t xml:space="preserve">Cra 72b 5b 93 edificio mandalay 504 </t>
  </si>
  <si>
    <t>573004955102</t>
  </si>
  <si>
    <t>Christian Gerena</t>
  </si>
  <si>
    <t>4.688875337883929, -74.07516069093464</t>
  </si>
  <si>
    <t>Carrera 68B #96-70 Torre 5 Apto 604</t>
  </si>
  <si>
    <t>573103174172</t>
  </si>
  <si>
    <t>Christian Camilo Torres Cabezas</t>
  </si>
  <si>
    <t>573242651750</t>
  </si>
  <si>
    <t>Chefibio Donaciones</t>
  </si>
  <si>
    <t>chefibio donaciones</t>
  </si>
  <si>
    <t>calle 59 sur n 64 21</t>
  </si>
  <si>
    <t>573012984178</t>
  </si>
  <si>
    <t>Cesar Monsalve 110</t>
  </si>
  <si>
    <t>Cesar monsalve 110</t>
  </si>
  <si>
    <t xml:space="preserve">CRA 74 # 152 B -70 Int 2 Apto 1806 Conjunto Residencial Natura Living </t>
  </si>
  <si>
    <t>573214596773</t>
  </si>
  <si>
    <t>Carolina Gutiérrez</t>
  </si>
  <si>
    <t>4.621499774285737, -74.19912321516243</t>
  </si>
  <si>
    <t>Calle 71b bis a sur # 87 L 11 4.621553,-74.199161</t>
  </si>
  <si>
    <t>573212442419</t>
  </si>
  <si>
    <t>Carolina Castro Kiara Bosa</t>
  </si>
  <si>
    <t>4.742942381913108, -74.05643696127584</t>
  </si>
  <si>
    <t>Calle 161 # 54-87 Corinto Torre 3 apto 504</t>
  </si>
  <si>
    <t>573115975083</t>
  </si>
  <si>
    <t>Carolina Cabrera</t>
  </si>
  <si>
    <t>4.674728817149605, -74.13507540379283</t>
  </si>
  <si>
    <t>Carrera 96f No 22K -40 interior 6 apartamento 504</t>
  </si>
  <si>
    <t>573134233956</t>
  </si>
  <si>
    <t>Carolina Bueno</t>
  </si>
  <si>
    <t>Calle 59 sur #64-51</t>
  </si>
  <si>
    <t>573185164316</t>
  </si>
  <si>
    <t xml:space="preserve">Carolina Álvarez </t>
  </si>
  <si>
    <t>Calle 67 #57-48</t>
  </si>
  <si>
    <t>573107629406</t>
  </si>
  <si>
    <t>Carlos Makauslan</t>
  </si>
  <si>
    <t>Carlos makauslan</t>
  </si>
  <si>
    <t>4.703958620082202, -74.06460400395274</t>
  </si>
  <si>
    <t>Kra 54b #119-10 Apto 101</t>
  </si>
  <si>
    <t>573166198371</t>
  </si>
  <si>
    <t>Carlos Alberto Rodriguez Sandoval</t>
  </si>
  <si>
    <t>4.603661474413004, -74.11930454127115</t>
  </si>
  <si>
    <t>Calle 19 sur # 40 b 58 MAPA4.603598, -74.119283</t>
  </si>
  <si>
    <t>573208063914</t>
  </si>
  <si>
    <t>Camila Vásquez Ramón Manchas 100</t>
  </si>
  <si>
    <t>Camila Vásquez Ramón manchas 100</t>
  </si>
  <si>
    <t>573027051451</t>
  </si>
  <si>
    <t>Camila Moreno Am</t>
  </si>
  <si>
    <t>Camila moreno AM</t>
  </si>
  <si>
    <t>4.739203093660988, -74.06301691767194</t>
  </si>
  <si>
    <t>Cra 6 # 11 - 265 conjunto residencial Rivera del Valle Torre 25 apto 501</t>
  </si>
  <si>
    <t>573013922571</t>
  </si>
  <si>
    <t>Cami Garcia 150 Yako</t>
  </si>
  <si>
    <t>Cami Garcia 150 yako</t>
  </si>
  <si>
    <t>4.5883366622782935, -74.1026044612766</t>
  </si>
  <si>
    <t>Calle 16b sur # 24b-31 Barrio Restrepo</t>
  </si>
  <si>
    <t>573123419084</t>
  </si>
  <si>
    <t>Burbujas De Chanel</t>
  </si>
  <si>
    <t>Burbujas de Chanel</t>
  </si>
  <si>
    <t>4.624956303311876, -74.1226240084341</t>
  </si>
  <si>
    <t>Bolsa Para Cafe</t>
  </si>
  <si>
    <t>Bolsa para cafe</t>
  </si>
  <si>
    <t>4.624152323222417, -74.12366948987753</t>
  </si>
  <si>
    <t>Cra 67 # 3 _14</t>
  </si>
  <si>
    <t>Bolsa De Vacio</t>
  </si>
  <si>
    <t>Bolsa de vacio</t>
  </si>
  <si>
    <t>4.5895822376055975, -74.15708090367336</t>
  </si>
  <si>
    <t>Calle 62d sur #66 b - 20, madelena</t>
  </si>
  <si>
    <t>573225394262</t>
  </si>
  <si>
    <t>Billy Dog</t>
  </si>
  <si>
    <t>4.647440477632912, -74.11749546965223</t>
  </si>
  <si>
    <t>Calle 19a # 68D-65, Mistral de 4 vientos, Apartamento 906 torre 1</t>
  </si>
  <si>
    <t>573112199430</t>
  </si>
  <si>
    <t>Bernardo Alfonso Hidalgo Franco</t>
  </si>
  <si>
    <t>4.587900379057081, -74.0743031751179</t>
  </si>
  <si>
    <t>Calle 3#1-25</t>
  </si>
  <si>
    <t>573107986133</t>
  </si>
  <si>
    <t>Aymara Mendoza</t>
  </si>
  <si>
    <t>4.617731745661825, -74.1809003036039</t>
  </si>
  <si>
    <t>Cra 81j#57-19 sur barrio Vegas de santa ana, Kennedy Drogas rebaratas</t>
  </si>
  <si>
    <t>573041103894</t>
  </si>
  <si>
    <t>Arnulfo Bocanegra</t>
  </si>
  <si>
    <t>4.611555659787453, -74.11217414612213</t>
  </si>
  <si>
    <t>Carrera 40b #2d 37</t>
  </si>
  <si>
    <t>573138503358</t>
  </si>
  <si>
    <t>Argelio Gasca</t>
  </si>
  <si>
    <t xml:space="preserve">Calle 66a sur #73-05 Perdomo </t>
  </si>
  <si>
    <t>573004306563</t>
  </si>
  <si>
    <t xml:space="preserve">Anizoara Morales Diaz </t>
  </si>
  <si>
    <t>Calle 53AN #7C1-50 Barrio altos de menga cali valle del cauca</t>
  </si>
  <si>
    <t>573187528202</t>
  </si>
  <si>
    <t>Angie Paola Rincon Alvarez</t>
  </si>
  <si>
    <t>4.613004853342377, -74.1249706899264</t>
  </si>
  <si>
    <t>CR 55 18 23 sur barrio Milenta casa primer piso</t>
  </si>
  <si>
    <t>573212497133</t>
  </si>
  <si>
    <t>Angie Caterine Rodriguez Sanchez</t>
  </si>
  <si>
    <t>4.561590898946261, -74.12013355774785</t>
  </si>
  <si>
    <t>Dg 49 c sur # 11b-66 Torre 2 apto 709 Conjunto terrazas de molinos</t>
  </si>
  <si>
    <t>573044699658</t>
  </si>
  <si>
    <t>Angela Carvajal</t>
  </si>
  <si>
    <t>4.6902647747600055, -74.11171200627811</t>
  </si>
  <si>
    <t>calle 65B # 88-27 int.13 apto 401 Torrecampo 1</t>
  </si>
  <si>
    <t>573133420908</t>
  </si>
  <si>
    <t>Angela Barreto</t>
  </si>
  <si>
    <t>Calle 12A # 71B-61 Torre 4 Apto 103 Mirador de Castilla 2</t>
  </si>
  <si>
    <t>573176798013</t>
  </si>
  <si>
    <t>Angela Andrea Castañeda</t>
  </si>
  <si>
    <t>angela andrea castañeda</t>
  </si>
  <si>
    <t>peluqueria o CRA 65-58-20 sur piso 401</t>
  </si>
  <si>
    <t>573134550773</t>
  </si>
  <si>
    <t>Andres Sanchez</t>
  </si>
  <si>
    <t>4.639126428675347, -74.186106882362</t>
  </si>
  <si>
    <t>CALLE 52 SUR # 95 A 30 conjunto Terranova, TORRE 11 APTO 243.</t>
  </si>
  <si>
    <t>573016592951</t>
  </si>
  <si>
    <t>Andres Felipe Aguilar Cadena</t>
  </si>
  <si>
    <t>4.876696205080426, -74.0501751904573</t>
  </si>
  <si>
    <t>Cra 9na via Chía -Cajicá, Conjunto Residencial Fique, Casa 109</t>
  </si>
  <si>
    <t>573154842369</t>
  </si>
  <si>
    <t>Andreina Molinares Acosta 200</t>
  </si>
  <si>
    <t>4.577715068820262, -74.22047303883579</t>
  </si>
  <si>
    <t>Calle 10 # 3 -94. Conjunto colmena II bloque 4 101 ENTRADA PRINCIPAL por la autopista SOACHA</t>
  </si>
  <si>
    <t>573504520899</t>
  </si>
  <si>
    <t>Andrea Rodríguez</t>
  </si>
  <si>
    <t>Cll 22D sur #1-32 este, san Cristóbal, granada sur</t>
  </si>
  <si>
    <t>573206393433</t>
  </si>
  <si>
    <t>Andrea Quintero 54</t>
  </si>
  <si>
    <t>4.913115574843137, -74.0253814213841</t>
  </si>
  <si>
    <t>Calle 2 sur No 2 _ 100 conjunto  el molino cajica Torre 13 Apto 207</t>
  </si>
  <si>
    <t>573204743810</t>
  </si>
  <si>
    <t>Ana Martinez</t>
  </si>
  <si>
    <t>4.745861976025535, -74.05446081894829</t>
  </si>
  <si>
    <t>Cl. 163 #54-15 Conjunto Residencial Prados De Sotavento 1 casa 37</t>
  </si>
  <si>
    <t>573162702464</t>
  </si>
  <si>
    <t>Amparo Gallo</t>
  </si>
  <si>
    <t>4.69627614467526, -74.08395152640621</t>
  </si>
  <si>
    <t>CL 95 #71 - 87 torre 2 Apartamento 1312 - Conjunto Miradores de Pontevedra</t>
  </si>
  <si>
    <t>573145768568</t>
  </si>
  <si>
    <t>Alisson Nicole Sarmiento</t>
  </si>
  <si>
    <t>4.631623295350846, -74.19052020395281</t>
  </si>
  <si>
    <t>cra 69 12 a 95 torre 1 apto 1401 conjunto la almeria</t>
  </si>
  <si>
    <t>573002759952</t>
  </si>
  <si>
    <t>Alison Muñoz Vanegas</t>
  </si>
  <si>
    <t>4.587646479142535, -74.15614310627866</t>
  </si>
  <si>
    <t>Cl 66A Sur No 66-81 Apto 420</t>
  </si>
  <si>
    <t>573138121836</t>
  </si>
  <si>
    <t>Alexander Sanabria</t>
  </si>
  <si>
    <t>4.66360988513184, -74.06191221459417</t>
  </si>
  <si>
    <t>diagonal 75bis # 20-68</t>
  </si>
  <si>
    <t>573103237451</t>
  </si>
  <si>
    <t>Alejandro Morales</t>
  </si>
  <si>
    <t>4.582007970015482, -74.14271219045742</t>
  </si>
  <si>
    <t>573223747738</t>
  </si>
  <si>
    <t>Alejandro Monsalve</t>
  </si>
  <si>
    <t>4.72069752144112, -74.06901756162243</t>
  </si>
  <si>
    <t>carrera 58b # 130 - 61  torre 3 apto 208</t>
  </si>
  <si>
    <t>573118935628</t>
  </si>
  <si>
    <t>Alejandro González</t>
  </si>
  <si>
    <t>4.667683360401374, -74.13146130360366</t>
  </si>
  <si>
    <t>cra 87c #22-15 apto 402  edificio cabrera</t>
  </si>
  <si>
    <t>573508196809</t>
  </si>
  <si>
    <t>Alejandra Vargas</t>
  </si>
  <si>
    <t>alejandra vargas</t>
  </si>
  <si>
    <t>Calle 25 C # 37-15 apto 101 Barrio el recuerdo</t>
  </si>
  <si>
    <t>573504424814</t>
  </si>
  <si>
    <t>Adriana Sanchez Torres</t>
  </si>
  <si>
    <t>4.612505952134297, -74.15197111878172</t>
  </si>
  <si>
    <t>Kra 72q # 41c-71 sur bloque c3 apto 301</t>
  </si>
  <si>
    <t>573007948969</t>
  </si>
  <si>
    <t>Adriana Rubiano</t>
  </si>
  <si>
    <t>cra 5#1-72  Casa 11 Chía</t>
  </si>
  <si>
    <t>573047592006</t>
  </si>
  <si>
    <t>Adriana Melo</t>
  </si>
  <si>
    <t>4.866371978696169, -74.04588065541797</t>
  </si>
  <si>
    <t>Avenida chilacos 01-74 torres de Santa Ana - TorreA  Apto 204</t>
  </si>
  <si>
    <t>573025162129</t>
  </si>
  <si>
    <t>Adriana Esperanza Morales Sierra</t>
  </si>
  <si>
    <t>4.695977452205739, -74.05682435357036</t>
  </si>
  <si>
    <t>calle 108 # 45-20 Edificio paralelo 108</t>
  </si>
  <si>
    <t>573115063260</t>
  </si>
  <si>
    <t>Adriana Baron</t>
  </si>
  <si>
    <t>Calle14a#15-49</t>
  </si>
  <si>
    <t>573202199058</t>
  </si>
  <si>
    <t xml:space="preserve">Adolfo Cuéllar </t>
  </si>
  <si>
    <t>Cl. 8a Bis #79c-25, Bogotá</t>
  </si>
  <si>
    <t>573222340142</t>
  </si>
  <si>
    <t>Acicalarte Peluquería Especializada Canina Y Felina</t>
  </si>
  <si>
    <t>4.62998632005301, -74.15657084812713</t>
  </si>
  <si>
    <t>Abastos</t>
  </si>
  <si>
    <t>abastos</t>
  </si>
  <si>
    <t>Cordenadas</t>
  </si>
  <si>
    <t>Direccion</t>
  </si>
  <si>
    <t>valor pedido</t>
  </si>
  <si>
    <t>gramos por pedido</t>
  </si>
  <si>
    <t>VALOR KG</t>
  </si>
  <si>
    <t>30</t>
  </si>
  <si>
    <t>PROXIMA  ENTREGA</t>
  </si>
  <si>
    <t>DURACION DEL PEDIDO</t>
  </si>
  <si>
    <t>TOTAL PORCIONES</t>
  </si>
  <si>
    <t>POR PEDIDO</t>
  </si>
  <si>
    <t>AL DIA</t>
  </si>
  <si>
    <t>POR COMIDA</t>
  </si>
  <si>
    <t>NUMERO</t>
  </si>
  <si>
    <t>Activo</t>
  </si>
  <si>
    <t>NOMBRE2</t>
  </si>
  <si>
    <t>NOMBRE</t>
  </si>
  <si>
    <t>CODIGO</t>
  </si>
  <si>
    <t>MES</t>
  </si>
  <si>
    <t>FECHA INICIAL</t>
  </si>
  <si>
    <t>FECHA</t>
  </si>
  <si>
    <t>ID_CLIENTE</t>
  </si>
  <si>
    <t>DETALLE</t>
  </si>
  <si>
    <t>TOTAL_KILOS</t>
  </si>
  <si>
    <t>PAGO</t>
  </si>
  <si>
    <t>COBRO_A_DEBER</t>
  </si>
  <si>
    <t>SALDOS</t>
  </si>
  <si>
    <t>DEUDAS</t>
  </si>
  <si>
    <t>TOTAL SALDOS</t>
  </si>
  <si>
    <t>TOTAL DEUDAS</t>
  </si>
  <si>
    <t>Acicalarte Peluquería Especialiazada Canina Y Felina</t>
  </si>
  <si>
    <t>Nuggets</t>
  </si>
  <si>
    <t>bancolombia</t>
  </si>
  <si>
    <t>Chefibio</t>
  </si>
  <si>
    <t>Adriana Esperanza Morales Sierra 215</t>
  </si>
  <si>
    <t>Davivienda</t>
  </si>
  <si>
    <t>Alison Muñoz Vanegas Olarte</t>
  </si>
  <si>
    <t>Andreina Molinares Acosta 450</t>
  </si>
  <si>
    <t>Caja menor</t>
  </si>
  <si>
    <t>Anizoara Morales Diaz 160</t>
  </si>
  <si>
    <t>BANCOLOMBIA PRESTAMO</t>
  </si>
  <si>
    <t>CAJA MENOR PRESTAMO</t>
  </si>
  <si>
    <t>Camila Vásquez Ramón Panela 90</t>
  </si>
  <si>
    <t>Carolina Castro Toby Castilla</t>
  </si>
  <si>
    <t>Cesar Monsalve 240</t>
  </si>
  <si>
    <t xml:space="preserve">Claudia Patricia Alaguna Gato </t>
  </si>
  <si>
    <t>Daniel Orlando García Celeita Natan</t>
  </si>
  <si>
    <t>Datafono</t>
  </si>
  <si>
    <t>Diana Zambrano 300 Violeta</t>
  </si>
  <si>
    <t>Diana Zambrano 350</t>
  </si>
  <si>
    <t>Dog Sano Karol Nerieth Leon Jacobo 165</t>
  </si>
  <si>
    <t>Referido</t>
  </si>
  <si>
    <t xml:space="preserve">Dog Sano Suanny Cando Teo </t>
  </si>
  <si>
    <t>Dog Sano Suanny Cando Frida</t>
  </si>
  <si>
    <t>Dog Sano Suanny Cando Luna</t>
  </si>
  <si>
    <t>Dog Sano Suanny Cando Sol</t>
  </si>
  <si>
    <t>Dog Sano Yina Rios Bolt</t>
  </si>
  <si>
    <t>Dog Sano Yina Rios Polar</t>
  </si>
  <si>
    <t>Eliana Turrini-Jorge Zambrano</t>
  </si>
  <si>
    <t>Ahorro efectivo</t>
  </si>
  <si>
    <t>Jerson David Ortiz Puentes Dulce</t>
  </si>
  <si>
    <t>Bolsas</t>
  </si>
  <si>
    <t>Jimmy Puentes 260</t>
  </si>
  <si>
    <t>Jose Luis Barrios 175</t>
  </si>
  <si>
    <t>José María Robayo 45</t>
  </si>
  <si>
    <t>Juan Carlos Arango Castano 200</t>
  </si>
  <si>
    <t>Juan Esteban Ramirez 125</t>
  </si>
  <si>
    <t>Liliana Andrea Sánchez Cristancho Manolo</t>
  </si>
  <si>
    <t>Liliana Andrea Sánchez Cristancho Mia</t>
  </si>
  <si>
    <t>Liliana Andrea Sánchez Cristancho Milo</t>
  </si>
  <si>
    <t>Liliana Andrea Sánchez Cristancho Ramon</t>
  </si>
  <si>
    <t>Liliana Andrea Sánchez Cristancho Tostao</t>
  </si>
  <si>
    <t>Liliana Andrea Sánchez Cristancho Trufa</t>
  </si>
  <si>
    <t>Lina Bustos 190</t>
  </si>
  <si>
    <t>Lina Bustos 240</t>
  </si>
  <si>
    <t>Luis Fernando Galvis Osorio Thor</t>
  </si>
  <si>
    <t>Luvier Fernando Lugo 200</t>
  </si>
  <si>
    <t>Luz Marina Monroy 34</t>
  </si>
  <si>
    <t>Maria Alejandra Reina 170</t>
  </si>
  <si>
    <t>Mauricio Vargas 350</t>
  </si>
  <si>
    <t>Paola Franco 350</t>
  </si>
  <si>
    <t>Paola González 160</t>
  </si>
  <si>
    <t>Sthephany Ortiz 90</t>
  </si>
  <si>
    <t>Valentina Perez Uribe 265</t>
  </si>
  <si>
    <t>Vanesa Sanchez Alicante De Suba</t>
  </si>
  <si>
    <t>Yeiny Pinzon 50</t>
  </si>
  <si>
    <t>Adriana Castro 56</t>
  </si>
  <si>
    <t>Mayra Alejandra Rojas Montenegro 75</t>
  </si>
  <si>
    <t>Mayra Alejandra Rojas Montenegro 112</t>
  </si>
  <si>
    <t xml:space="preserve">Mayra Alejandra Rojas Montenegro 160 </t>
  </si>
  <si>
    <t>Doggy Lunch Juan Carlos 235</t>
  </si>
  <si>
    <t>María Paula Tamayo Galvis 40</t>
  </si>
  <si>
    <t>Cimpa</t>
  </si>
  <si>
    <t>Gloria Cecilia Jimenez</t>
  </si>
  <si>
    <t xml:space="preserve"> </t>
  </si>
  <si>
    <t>plasticos empresariales</t>
  </si>
  <si>
    <t>Etiquetas de fila</t>
  </si>
  <si>
    <t>Total general</t>
  </si>
  <si>
    <t>Suma de TOTAL DEUDAS</t>
  </si>
  <si>
    <t>Suma de TOTAL SALDOS</t>
  </si>
  <si>
    <t>Deudas</t>
  </si>
  <si>
    <t>Saldos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</si>
</sst>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_-;\-&quot;$&quot;\ * #,##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9" tint="0.39997558519241921"/>
      </left>
      <right/>
      <top style="double">
        <color theme="9"/>
      </top>
      <bottom style="thin">
        <color theme="9" tint="0.39997558519241921"/>
      </bottom>
      <diagonal/>
    </border>
    <border>
      <left/>
      <right/>
      <top style="double">
        <color theme="9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double">
        <color theme="9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/>
    <xf numFmtId="14" fontId="0" fillId="0" borderId="0" xfId="0" applyNumberFormat="1"/>
    <xf numFmtId="165" fontId="0" fillId="0" borderId="0" xfId="0" applyNumberFormat="1"/>
    <xf numFmtId="0" fontId="3" fillId="0" borderId="2" xfId="0" applyFont="1" applyBorder="1"/>
    <xf numFmtId="0" fontId="3" fillId="0" borderId="3" xfId="0" applyFont="1" applyBorder="1"/>
    <xf numFmtId="0" fontId="2" fillId="4" borderId="5" xfId="0" applyFont="1" applyFill="1" applyBorder="1"/>
    <xf numFmtId="0" fontId="2" fillId="4" borderId="6" xfId="0" applyFont="1" applyFill="1" applyBorder="1"/>
    <xf numFmtId="164" fontId="2" fillId="4" borderId="6" xfId="2" applyNumberFormat="1" applyFont="1" applyFill="1" applyBorder="1"/>
    <xf numFmtId="165" fontId="2" fillId="4" borderId="6" xfId="1" applyNumberFormat="1" applyFont="1" applyFill="1" applyBorder="1"/>
    <xf numFmtId="165" fontId="2" fillId="4" borderId="7" xfId="1" applyNumberFormat="1" applyFont="1" applyFill="1" applyBorder="1"/>
    <xf numFmtId="14" fontId="0" fillId="5" borderId="5" xfId="0" applyNumberFormat="1" applyFont="1" applyFill="1" applyBorder="1"/>
    <xf numFmtId="0" fontId="0" fillId="5" borderId="6" xfId="0" applyFont="1" applyFill="1" applyBorder="1"/>
    <xf numFmtId="0" fontId="0" fillId="5" borderId="6" xfId="1" applyNumberFormat="1" applyFont="1" applyFill="1" applyBorder="1"/>
    <xf numFmtId="164" fontId="0" fillId="5" borderId="6" xfId="2" applyNumberFormat="1" applyFont="1" applyFill="1" applyBorder="1"/>
    <xf numFmtId="165" fontId="0" fillId="5" borderId="6" xfId="2" applyNumberFormat="1" applyFont="1" applyFill="1" applyBorder="1"/>
    <xf numFmtId="165" fontId="0" fillId="5" borderId="6" xfId="1" applyNumberFormat="1" applyFont="1" applyFill="1" applyBorder="1"/>
    <xf numFmtId="165" fontId="0" fillId="5" borderId="7" xfId="1" applyNumberFormat="1" applyFont="1" applyFill="1" applyBorder="1"/>
    <xf numFmtId="14" fontId="0" fillId="0" borderId="5" xfId="0" applyNumberFormat="1" applyFont="1" applyBorder="1"/>
    <xf numFmtId="0" fontId="0" fillId="0" borderId="6" xfId="0" applyFont="1" applyBorder="1"/>
    <xf numFmtId="0" fontId="0" fillId="0" borderId="6" xfId="1" applyNumberFormat="1" applyFont="1" applyBorder="1"/>
    <xf numFmtId="164" fontId="0" fillId="0" borderId="6" xfId="2" applyNumberFormat="1" applyFont="1" applyBorder="1"/>
    <xf numFmtId="165" fontId="0" fillId="0" borderId="6" xfId="2" applyNumberFormat="1" applyFont="1" applyBorder="1"/>
    <xf numFmtId="165" fontId="0" fillId="0" borderId="6" xfId="1" applyNumberFormat="1" applyFont="1" applyBorder="1"/>
    <xf numFmtId="165" fontId="0" fillId="0" borderId="7" xfId="1" applyNumberFormat="1" applyFont="1" applyBorder="1"/>
    <xf numFmtId="165" fontId="3" fillId="0" borderId="3" xfId="0" applyNumberFormat="1" applyFont="1" applyBorder="1"/>
    <xf numFmtId="165" fontId="3" fillId="0" borderId="4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Border="1"/>
    <xf numFmtId="0" fontId="0" fillId="3" borderId="1" xfId="0" applyFill="1" applyBorder="1"/>
    <xf numFmtId="0" fontId="0" fillId="0" borderId="1" xfId="0" applyBorder="1"/>
    <xf numFmtId="14" fontId="0" fillId="3" borderId="1" xfId="0" applyNumberFormat="1" applyFill="1" applyBorder="1"/>
    <xf numFmtId="14" fontId="0" fillId="0" borderId="1" xfId="0" applyNumberFormat="1" applyBorder="1"/>
    <xf numFmtId="0" fontId="2" fillId="2" borderId="1" xfId="0" applyNumberFormat="1" applyFont="1" applyFill="1" applyBorder="1"/>
  </cellXfs>
  <cellStyles count="3">
    <cellStyle name="Millares" xfId="2" builtinId="3"/>
    <cellStyle name="Moneda" xfId="1" builtinId="4"/>
    <cellStyle name="Normal" xfId="0" builtinId="0"/>
  </cellStyles>
  <dxfs count="22">
    <dxf>
      <numFmt numFmtId="19" formatCode="d/mm/yyyy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1.902328009259" createdVersion="8" refreshedVersion="8" minRefreshableVersion="3" recordCount="1309" xr:uid="{ADA1AE33-EEED-4A29-BED1-ABC2F3570BDD}">
  <cacheSource type="worksheet">
    <worksheetSource ref="A1:K1310" sheet="Clientes"/>
  </cacheSource>
  <cacheFields count="11">
    <cacheField name="FECHA" numFmtId="0">
      <sharedItems containsDate="1" containsMixedTypes="1" minDate="2026-01-17T00:00:00" maxDate="2026-02-19T00:00:00"/>
    </cacheField>
    <cacheField name="ID_CLIENTE" numFmtId="0">
      <sharedItems containsString="0" containsBlank="1" containsNumber="1" containsInteger="1" minValue="2" maxValue="1000355" count="271">
        <n v="2"/>
        <n v="4"/>
        <n v="5"/>
        <n v="7"/>
        <n v="8"/>
        <n v="10"/>
        <n v="12"/>
        <n v="14"/>
        <n v="15"/>
        <n v="17"/>
        <n v="18"/>
        <n v="19"/>
        <n v="21"/>
        <n v="22"/>
        <n v="23"/>
        <n v="24"/>
        <n v="26"/>
        <n v="27"/>
        <n v="28"/>
        <n v="29"/>
        <n v="30"/>
        <n v="31"/>
        <n v="32"/>
        <n v="34"/>
        <n v="35"/>
        <n v="36"/>
        <n v="39"/>
        <n v="41"/>
        <n v="42"/>
        <n v="43"/>
        <n v="44"/>
        <n v="45"/>
        <n v="47"/>
        <n v="49"/>
        <n v="51"/>
        <n v="53"/>
        <n v="54"/>
        <n v="56"/>
        <n v="61"/>
        <n v="63"/>
        <n v="64"/>
        <n v="66"/>
        <n v="67"/>
        <n v="68"/>
        <n v="69"/>
        <n v="71"/>
        <n v="72"/>
        <n v="73"/>
        <n v="74"/>
        <n v="75"/>
        <n v="77"/>
        <n v="78"/>
        <n v="80"/>
        <n v="81"/>
        <n v="82"/>
        <n v="83"/>
        <n v="84"/>
        <n v="85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3"/>
        <n v="105"/>
        <n v="107"/>
        <n v="108"/>
        <n v="109"/>
        <n v="110"/>
        <n v="111"/>
        <n v="112"/>
        <n v="113"/>
        <n v="114"/>
        <n v="115"/>
        <n v="116"/>
        <n v="118"/>
        <n v="119"/>
        <n v="120"/>
        <n v="121"/>
        <n v="122"/>
        <n v="126"/>
        <n v="127"/>
        <n v="129"/>
        <n v="131"/>
        <n v="132"/>
        <n v="133"/>
        <n v="134"/>
        <n v="135"/>
        <n v="136"/>
        <n v="137"/>
        <n v="140"/>
        <n v="141"/>
        <n v="142"/>
        <n v="143"/>
        <n v="147"/>
        <n v="148"/>
        <n v="149"/>
        <n v="150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7"/>
        <n v="168"/>
        <n v="169"/>
        <n v="171"/>
        <n v="174"/>
        <n v="175"/>
        <n v="176"/>
        <n v="177"/>
        <n v="178"/>
        <n v="179"/>
        <n v="180"/>
        <n v="181"/>
        <n v="182"/>
        <n v="183"/>
        <n v="185"/>
        <n v="186"/>
        <n v="188"/>
        <n v="189"/>
        <n v="192"/>
        <n v="193"/>
        <n v="194"/>
        <n v="195"/>
        <n v="198"/>
        <n v="199"/>
        <n v="200"/>
        <n v="201"/>
        <n v="203"/>
        <n v="204"/>
        <n v="205"/>
        <n v="207"/>
        <n v="208"/>
        <n v="209"/>
        <n v="210"/>
        <n v="211"/>
        <n v="212"/>
        <n v="213"/>
        <n v="214"/>
        <n v="215"/>
        <n v="217"/>
        <n v="218"/>
        <n v="219"/>
        <n v="221"/>
        <n v="222"/>
        <n v="223"/>
        <n v="225"/>
        <n v="226"/>
        <n v="227"/>
        <n v="228"/>
        <n v="229"/>
        <n v="231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9"/>
        <n v="250"/>
        <n v="251"/>
        <n v="256"/>
        <n v="257"/>
        <n v="260"/>
        <n v="261"/>
        <n v="262"/>
        <n v="263"/>
        <n v="264"/>
        <n v="268"/>
        <n v="269"/>
        <n v="271"/>
        <n v="273"/>
        <n v="275"/>
        <n v="276"/>
        <n v="278"/>
        <n v="279"/>
        <n v="282"/>
        <n v="283"/>
        <n v="284"/>
        <n v="285"/>
        <n v="287"/>
        <n v="288"/>
        <n v="289"/>
        <n v="290"/>
        <n v="291"/>
        <n v="292"/>
        <n v="294"/>
        <n v="296"/>
        <n v="297"/>
        <n v="299"/>
        <n v="300"/>
        <n v="301"/>
        <n v="302"/>
        <n v="305"/>
        <n v="306"/>
        <n v="307"/>
        <n v="309"/>
        <n v="310"/>
        <n v="312"/>
        <n v="313"/>
        <n v="314"/>
        <n v="315"/>
        <n v="316"/>
        <n v="317"/>
        <n v="318"/>
        <n v="320"/>
        <n v="321"/>
        <n v="325"/>
        <n v="329"/>
        <n v="330"/>
        <n v="331"/>
        <n v="336"/>
        <n v="337"/>
        <n v="345"/>
        <n v="349"/>
        <n v="1000319"/>
        <n v="1000322"/>
        <n v="1000323"/>
        <n v="1000324"/>
        <n v="1000326"/>
        <n v="1000327"/>
        <n v="1000328"/>
        <n v="1000331"/>
        <n v="1000332"/>
        <n v="1000333"/>
        <n v="1000334"/>
        <n v="1000335"/>
        <n v="1000338"/>
        <n v="1000339"/>
        <n v="1000340"/>
        <n v="1000341"/>
        <n v="1000342"/>
        <n v="1000343"/>
        <n v="1000344"/>
        <n v="1000346"/>
        <n v="1000347"/>
        <n v="1000348"/>
        <n v="1000350"/>
        <n v="1000352"/>
        <n v="1000353"/>
        <n v="1000354"/>
        <n v="1000355"/>
        <m/>
      </sharedItems>
    </cacheField>
    <cacheField name="NOMBRE" numFmtId="0">
      <sharedItems containsBlank="1"/>
    </cacheField>
    <cacheField name="DETALLE" numFmtId="0">
      <sharedItems containsBlank="1"/>
    </cacheField>
    <cacheField name="TOTAL_KILOS" numFmtId="0">
      <sharedItems containsString="0" containsBlank="1" containsNumber="1" containsInteger="1" minValue="0" maxValue="24000"/>
    </cacheField>
    <cacheField name="PAGO" numFmtId="165">
      <sharedItems containsString="0" containsBlank="1" containsNumber="1" containsInteger="1" minValue="0" maxValue="78794011"/>
    </cacheField>
    <cacheField name="COBRO_A_DEBER" numFmtId="165">
      <sharedItems containsString="0" containsBlank="1" containsNumber="1" containsInteger="1" minValue="0" maxValue="1500000"/>
    </cacheField>
    <cacheField name="SALDOS" numFmtId="165">
      <sharedItems containsString="0" containsBlank="1" containsNumber="1" containsInteger="1" minValue="0" maxValue="731250"/>
    </cacheField>
    <cacheField name="DEUDAS" numFmtId="165">
      <sharedItems containsString="0" containsBlank="1" containsNumber="1" containsInteger="1" minValue="0" maxValue="5725895"/>
    </cacheField>
    <cacheField name="TOTAL SALDOS" numFmtId="165">
      <sharedItems containsSemiMixedTypes="0" containsString="0" containsNumber="1" containsInteger="1" minValue="0" maxValue="2555715"/>
    </cacheField>
    <cacheField name="TOTAL DEUDAS" numFmtId="165">
      <sharedItems containsSemiMixedTypes="0" containsString="0" containsNumber="1" containsInteger="1" minValue="0" maxValue="18155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9">
  <r>
    <d v="2026-01-26T00:00:00"/>
    <x v="0"/>
    <s v="Acicalarte Peluquería Especialiazada Canina Y Felina"/>
    <s v="Nuggets"/>
    <n v="1000"/>
    <m/>
    <n v="48000"/>
    <n v="0"/>
    <n v="48000"/>
    <n v="0"/>
    <n v="0"/>
  </r>
  <r>
    <d v="2026-01-26T00:00:00"/>
    <x v="0"/>
    <s v="Acicalarte Peluquería Especializada Canina Y Felina"/>
    <s v="bancolombia"/>
    <m/>
    <n v="48000"/>
    <m/>
    <n v="0"/>
    <n v="0"/>
    <n v="0"/>
    <n v="0"/>
  </r>
  <r>
    <d v="2026-01-20T00:00:00"/>
    <x v="1"/>
    <s v="Adriana Baron"/>
    <s v="bancolombia"/>
    <m/>
    <n v="48000"/>
    <m/>
    <n v="48000"/>
    <n v="0"/>
    <n v="0"/>
    <n v="0"/>
  </r>
  <r>
    <d v="2026-01-20T00:00:00"/>
    <x v="1"/>
    <s v="Adriana Baron"/>
    <s v="Chefibio"/>
    <n v="600"/>
    <m/>
    <n v="48000"/>
    <n v="0"/>
    <n v="0"/>
    <n v="0"/>
    <n v="0"/>
  </r>
  <r>
    <d v="2026-02-06T00:00:00"/>
    <x v="1"/>
    <s v="Adriana Baron"/>
    <s v="bancolombia"/>
    <m/>
    <n v="48000"/>
    <m/>
    <n v="48000"/>
    <n v="0"/>
    <n v="0"/>
    <n v="0"/>
  </r>
  <r>
    <d v="2026-02-06T00:00:00"/>
    <x v="1"/>
    <s v="Adriana Baron"/>
    <s v="Chefibio"/>
    <n v="600"/>
    <m/>
    <n v="48000"/>
    <n v="0"/>
    <n v="0"/>
    <n v="0"/>
    <n v="0"/>
  </r>
  <r>
    <d v="2026-01-17T00:00:00"/>
    <x v="2"/>
    <s v="Adriana Esperanza Morales Sierra 215"/>
    <s v="bancolombia"/>
    <m/>
    <n v="197400"/>
    <m/>
    <n v="197400"/>
    <n v="0"/>
    <n v="0"/>
    <n v="0"/>
  </r>
  <r>
    <d v="2026-01-17T00:00:00"/>
    <x v="2"/>
    <s v="Adriana Esperanza Morales Sierra 215"/>
    <m/>
    <m/>
    <m/>
    <n v="197400"/>
    <n v="0"/>
    <n v="0"/>
    <n v="0"/>
    <n v="0"/>
  </r>
  <r>
    <d v="2026-01-30T00:00:00"/>
    <x v="2"/>
    <s v="Adriana Esperanza Morales Sierra"/>
    <s v="Chefibio"/>
    <n v="8850"/>
    <m/>
    <n v="258950"/>
    <n v="0"/>
    <n v="258950"/>
    <n v="0"/>
    <n v="0"/>
  </r>
  <r>
    <d v="2026-02-03T00:00:00"/>
    <x v="2"/>
    <s v="Adriana Esperanza Morales Sierra"/>
    <s v="bancolombia"/>
    <m/>
    <n v="258950"/>
    <m/>
    <n v="0"/>
    <n v="0"/>
    <n v="0"/>
    <n v="0"/>
  </r>
  <r>
    <d v="2026-02-16T00:00:00"/>
    <x v="2"/>
    <s v="Adriana Esperanza Morales Sierra"/>
    <s v="Chefibio"/>
    <n v="8850"/>
    <m/>
    <n v="258950"/>
    <n v="0"/>
    <n v="258950"/>
    <n v="0"/>
    <n v="258950"/>
  </r>
  <r>
    <d v="2026-01-17T00:00:00"/>
    <x v="3"/>
    <s v="Adriana Rubiano"/>
    <m/>
    <m/>
    <m/>
    <n v="128700"/>
    <n v="0"/>
    <n v="128700"/>
    <n v="0"/>
    <n v="0"/>
  </r>
  <r>
    <d v="2026-01-19T00:00:00"/>
    <x v="3"/>
    <s v="Adriana Rubiano"/>
    <s v="bancolombia"/>
    <m/>
    <n v="128700"/>
    <m/>
    <n v="0"/>
    <n v="0"/>
    <n v="0"/>
    <n v="0"/>
  </r>
  <r>
    <d v="2026-01-30T00:00:00"/>
    <x v="3"/>
    <s v="Adriana Rubiano"/>
    <s v="bancolombia"/>
    <m/>
    <n v="128700"/>
    <m/>
    <n v="128700"/>
    <n v="0"/>
    <n v="0"/>
    <n v="0"/>
  </r>
  <r>
    <d v="2026-01-30T00:00:00"/>
    <x v="3"/>
    <s v="Adriana Rubiano"/>
    <s v="Chefibio"/>
    <n v="4950"/>
    <m/>
    <n v="128700"/>
    <n v="0"/>
    <n v="0"/>
    <n v="0"/>
    <n v="0"/>
  </r>
  <r>
    <d v="2026-02-18T00:00:00"/>
    <x v="3"/>
    <s v="Adriana Rubiano"/>
    <s v="bancolombia"/>
    <m/>
    <n v="128700"/>
    <m/>
    <n v="128700"/>
    <n v="0"/>
    <n v="0"/>
    <n v="0"/>
  </r>
  <r>
    <d v="2026-02-18T00:00:00"/>
    <x v="3"/>
    <s v="Adriana Rubiano"/>
    <s v="Chefibio"/>
    <n v="4950"/>
    <m/>
    <n v="128700"/>
    <n v="0"/>
    <n v="0"/>
    <n v="0"/>
    <n v="0"/>
  </r>
  <r>
    <d v="2026-01-17T00:00:00"/>
    <x v="4"/>
    <s v="Adriana Sanchez Torres"/>
    <m/>
    <m/>
    <n v="0"/>
    <m/>
    <n v="0"/>
    <n v="0"/>
    <n v="0"/>
    <n v="0"/>
  </r>
  <r>
    <d v="2026-01-17T00:00:00"/>
    <x v="4"/>
    <s v="Adriana Sanchez Torres"/>
    <m/>
    <m/>
    <m/>
    <n v="162000"/>
    <n v="0"/>
    <n v="162000"/>
    <n v="0"/>
    <n v="0"/>
  </r>
  <r>
    <d v="2026-01-19T00:00:00"/>
    <x v="4"/>
    <s v="Adriana Sanchez Torres"/>
    <s v="bancolombia"/>
    <m/>
    <n v="261000"/>
    <m/>
    <n v="99000"/>
    <n v="0"/>
    <n v="0"/>
    <n v="0"/>
  </r>
  <r>
    <d v="2026-01-23T00:00:00"/>
    <x v="4"/>
    <s v="Adriana Sanchez Torres"/>
    <s v="Chefibio"/>
    <n v="3000"/>
    <m/>
    <n v="87000"/>
    <n v="12000"/>
    <n v="0"/>
    <n v="0"/>
    <n v="0"/>
  </r>
  <r>
    <d v="2026-02-02T00:00:00"/>
    <x v="4"/>
    <s v="Adriana Sanchez Torres"/>
    <s v="Chefibio"/>
    <n v="3000"/>
    <m/>
    <n v="87000"/>
    <n v="0"/>
    <n v="75000"/>
    <n v="0"/>
    <n v="0"/>
  </r>
  <r>
    <d v="2026-02-12T00:00:00"/>
    <x v="4"/>
    <s v="Adriana Sanchez Torres"/>
    <s v="Chefibio"/>
    <n v="3000"/>
    <m/>
    <n v="87000"/>
    <n v="0"/>
    <n v="162000"/>
    <n v="0"/>
    <n v="162000"/>
  </r>
  <r>
    <d v="2026-01-17T00:00:00"/>
    <x v="5"/>
    <s v="Alejandra Vargas"/>
    <m/>
    <m/>
    <n v="115201"/>
    <m/>
    <n v="115201"/>
    <n v="0"/>
    <n v="0"/>
    <n v="0"/>
  </r>
  <r>
    <d v="2026-01-30T00:00:00"/>
    <x v="5"/>
    <s v="Alejandra Vargas"/>
    <s v="Chefibio"/>
    <n v="3600"/>
    <m/>
    <n v="115200"/>
    <n v="1"/>
    <n v="0"/>
    <n v="0"/>
    <n v="0"/>
  </r>
  <r>
    <d v="2026-02-13T00:00:00"/>
    <x v="5"/>
    <s v="Alejandra Vargas"/>
    <s v="Chefibio"/>
    <n v="3600"/>
    <m/>
    <n v="115200"/>
    <n v="0"/>
    <n v="115199"/>
    <n v="0"/>
    <n v="115199"/>
  </r>
  <r>
    <d v="2026-01-17T00:00:00"/>
    <x v="6"/>
    <s v="Alejandro Monsalve"/>
    <m/>
    <m/>
    <m/>
    <n v="426000"/>
    <n v="0"/>
    <n v="426000"/>
    <n v="0"/>
    <n v="0"/>
  </r>
  <r>
    <d v="2026-01-27T00:00:00"/>
    <x v="6"/>
    <s v="Alejandro Monsalve"/>
    <s v="Chefibio"/>
    <n v="2850"/>
    <m/>
    <n v="71250"/>
    <n v="0"/>
    <n v="497250"/>
    <n v="0"/>
    <n v="0"/>
  </r>
  <r>
    <d v="2026-01-27T00:00:00"/>
    <x v="6"/>
    <s v="Alejandro Monsalve"/>
    <s v="bancolombia"/>
    <m/>
    <n v="300000"/>
    <m/>
    <n v="0"/>
    <n v="197250"/>
    <n v="0"/>
    <n v="0"/>
  </r>
  <r>
    <d v="2026-02-14T00:00:00"/>
    <x v="6"/>
    <s v="Alejandro Monsalve"/>
    <s v="bancolombia"/>
    <m/>
    <n v="196750"/>
    <m/>
    <n v="0"/>
    <n v="500"/>
    <n v="0"/>
    <n v="0"/>
  </r>
  <r>
    <d v="2026-02-16T00:00:00"/>
    <x v="6"/>
    <s v="Alejandro Monsalve"/>
    <s v="Chefibio"/>
    <n v="2850"/>
    <m/>
    <n v="71250"/>
    <n v="0"/>
    <n v="71750"/>
    <n v="0"/>
    <n v="71750"/>
  </r>
  <r>
    <d v="2026-01-17T00:00:00"/>
    <x v="7"/>
    <s v="Alexander Sanabria"/>
    <m/>
    <m/>
    <m/>
    <n v="97800"/>
    <n v="0"/>
    <n v="97800"/>
    <n v="0"/>
    <n v="0"/>
  </r>
  <r>
    <d v="2026-01-20T00:00:00"/>
    <x v="7"/>
    <s v="Alexander Sanabria"/>
    <s v="Davivienda"/>
    <m/>
    <n v="97800"/>
    <m/>
    <n v="0"/>
    <n v="0"/>
    <n v="0"/>
    <n v="0"/>
  </r>
  <r>
    <d v="2026-02-04T00:00:00"/>
    <x v="7"/>
    <s v="Alexander Sanabria"/>
    <s v="Chefibio"/>
    <n v="3150"/>
    <m/>
    <n v="97808"/>
    <n v="0"/>
    <n v="97808"/>
    <n v="0"/>
    <n v="0"/>
  </r>
  <r>
    <d v="2026-02-17T00:00:00"/>
    <x v="7"/>
    <s v="Alexander Sanabria"/>
    <s v="bancolombia"/>
    <m/>
    <n v="97800"/>
    <m/>
    <n v="0"/>
    <n v="8"/>
    <n v="0"/>
    <n v="8"/>
  </r>
  <r>
    <d v="2026-01-21T00:00:00"/>
    <x v="8"/>
    <s v="Alison Muñoz Vanegas Olarte"/>
    <s v="Chefibio"/>
    <n v="5550"/>
    <m/>
    <n v="152100"/>
    <n v="0"/>
    <n v="152100"/>
    <n v="0"/>
    <n v="0"/>
  </r>
  <r>
    <d v="2026-01-30T00:00:00"/>
    <x v="8"/>
    <s v="Alison Muñoz Vanegas"/>
    <s v="bancolombia"/>
    <m/>
    <n v="152100"/>
    <m/>
    <n v="0"/>
    <n v="0"/>
    <n v="0"/>
    <n v="0"/>
  </r>
  <r>
    <d v="2026-02-04T00:00:00"/>
    <x v="8"/>
    <s v="Alison Muñoz Vanegas Olarte"/>
    <s v="Chefibio"/>
    <n v="5550"/>
    <m/>
    <n v="152100"/>
    <n v="0"/>
    <n v="152100"/>
    <n v="0"/>
    <n v="0"/>
  </r>
  <r>
    <d v="2026-02-18T00:00:00"/>
    <x v="8"/>
    <s v="Alison Muñoz Vanegas Olarte"/>
    <s v="Chefibio"/>
    <n v="5550"/>
    <m/>
    <n v="152100"/>
    <n v="0"/>
    <n v="304200"/>
    <n v="0"/>
    <n v="304200"/>
  </r>
  <r>
    <d v="2026-02-04T00:00:00"/>
    <x v="9"/>
    <s v="Alisson Nicole Sarmiento"/>
    <s v="bancolombia"/>
    <m/>
    <n v="123000"/>
    <m/>
    <n v="123000"/>
    <n v="0"/>
    <n v="0"/>
    <n v="0"/>
  </r>
  <r>
    <d v="2026-02-04T00:00:00"/>
    <x v="9"/>
    <s v="Alisson Nicole Sarmiento"/>
    <s v="Chefibio"/>
    <n v="3150"/>
    <m/>
    <n v="122850"/>
    <n v="150"/>
    <n v="0"/>
    <n v="150"/>
    <n v="0"/>
  </r>
  <r>
    <d v="2026-01-20T00:00:00"/>
    <x v="10"/>
    <s v="Amparo Gallo"/>
    <s v="Chefibio"/>
    <n v="2700"/>
    <m/>
    <n v="108000"/>
    <n v="0"/>
    <n v="108000"/>
    <n v="0"/>
    <n v="0"/>
  </r>
  <r>
    <d v="2026-02-04T00:00:00"/>
    <x v="10"/>
    <s v="Amparo Gallo"/>
    <s v="Chefibio"/>
    <n v="2700"/>
    <m/>
    <n v="108000"/>
    <n v="0"/>
    <n v="216000"/>
    <n v="0"/>
    <n v="0"/>
  </r>
  <r>
    <d v="2026-02-18T00:00:00"/>
    <x v="10"/>
    <s v="Amparo Gallo"/>
    <s v="Chefibio"/>
    <n v="2700"/>
    <m/>
    <n v="108000"/>
    <n v="0"/>
    <n v="324000"/>
    <n v="0"/>
    <n v="324000"/>
  </r>
  <r>
    <d v="2026-01-29T00:00:00"/>
    <x v="11"/>
    <s v="Ana Martinez"/>
    <s v="Chefibio"/>
    <n v="1650"/>
    <m/>
    <n v="85000"/>
    <n v="0"/>
    <n v="85000"/>
    <n v="0"/>
    <n v="0"/>
  </r>
  <r>
    <d v="2026-01-30T00:00:00"/>
    <x v="11"/>
    <s v="Ana Martinez"/>
    <s v="bancolombia"/>
    <m/>
    <n v="85000"/>
    <m/>
    <n v="0"/>
    <n v="0"/>
    <n v="0"/>
    <n v="0"/>
  </r>
  <r>
    <d v="2026-02-13T00:00:00"/>
    <x v="11"/>
    <s v="Ana Martinez"/>
    <s v="Chefibio"/>
    <n v="1650"/>
    <m/>
    <n v="85000"/>
    <n v="0"/>
    <n v="85000"/>
    <n v="0"/>
    <n v="0"/>
  </r>
  <r>
    <d v="2026-02-18T00:00:00"/>
    <x v="11"/>
    <s v="Ana Martinez"/>
    <s v="bancolombia"/>
    <m/>
    <n v="85000"/>
    <m/>
    <n v="0"/>
    <n v="0"/>
    <n v="0"/>
    <n v="0"/>
  </r>
  <r>
    <d v="2026-01-17T00:00:00"/>
    <x v="12"/>
    <s v="Andrea Rodríguez"/>
    <m/>
    <m/>
    <m/>
    <n v="192000"/>
    <n v="0"/>
    <n v="192000"/>
    <n v="0"/>
    <n v="192000"/>
  </r>
  <r>
    <d v="2026-01-17T00:00:00"/>
    <x v="13"/>
    <s v="Andreina Molinares Acosta 200"/>
    <m/>
    <m/>
    <m/>
    <n v="603499"/>
    <n v="0"/>
    <n v="603499"/>
    <n v="0"/>
    <n v="0"/>
  </r>
  <r>
    <d v="2026-01-25T00:00:00"/>
    <x v="13"/>
    <s v="Andreina Molinares Acosta 200"/>
    <s v="bancolombia"/>
    <m/>
    <n v="1287000"/>
    <m/>
    <n v="683501"/>
    <n v="0"/>
    <n v="0"/>
    <n v="0"/>
  </r>
  <r>
    <d v="2026-01-30T00:00:00"/>
    <x v="13"/>
    <s v="Andreina Molinares Acosta 200"/>
    <s v="Chefibio"/>
    <n v="3000"/>
    <m/>
    <n v="71950"/>
    <n v="611551"/>
    <n v="0"/>
    <n v="0"/>
    <n v="0"/>
  </r>
  <r>
    <d v="2026-01-30T00:00:00"/>
    <x v="13"/>
    <s v="Andreina Molinares Acosta 450"/>
    <s v="Chefibio"/>
    <n v="3600"/>
    <m/>
    <n v="117227"/>
    <n v="494324"/>
    <n v="0"/>
    <n v="0"/>
    <n v="0"/>
  </r>
  <r>
    <d v="2026-01-30T00:00:00"/>
    <x v="13"/>
    <s v="Andreina Molinares Acosta 450"/>
    <s v="Chefibio"/>
    <n v="3150"/>
    <m/>
    <n v="102573"/>
    <n v="391751"/>
    <n v="0"/>
    <n v="0"/>
    <n v="0"/>
  </r>
  <r>
    <d v="2026-01-30T00:00:00"/>
    <x v="13"/>
    <s v="Andreina Molinares Acosta 450"/>
    <s v="Nuggets"/>
    <n v="500"/>
    <m/>
    <n v="30000"/>
    <n v="361751"/>
    <n v="0"/>
    <n v="0"/>
    <n v="0"/>
  </r>
  <r>
    <d v="2026-02-16T00:00:00"/>
    <x v="13"/>
    <s v="Andreina Molinares Acosta 200"/>
    <s v="Chefibio"/>
    <n v="3000"/>
    <m/>
    <n v="71950"/>
    <n v="289801"/>
    <n v="0"/>
    <n v="0"/>
    <n v="0"/>
  </r>
  <r>
    <d v="2026-02-16T00:00:00"/>
    <x v="13"/>
    <s v="Andreina Molinares Acosta 450"/>
    <s v="Chefibio"/>
    <n v="3600"/>
    <m/>
    <n v="117227"/>
    <n v="172574"/>
    <n v="0"/>
    <n v="0"/>
    <n v="0"/>
  </r>
  <r>
    <d v="2026-02-16T00:00:00"/>
    <x v="13"/>
    <s v="Andreina Molinares Acosta 450"/>
    <s v="Chefibio"/>
    <n v="3150"/>
    <m/>
    <n v="102573"/>
    <n v="70001"/>
    <n v="0"/>
    <n v="0"/>
    <n v="0"/>
  </r>
  <r>
    <d v="2026-02-16T00:00:00"/>
    <x v="13"/>
    <s v="Andreina Molinares Acosta 450"/>
    <s v="Nuggets"/>
    <n v="500"/>
    <m/>
    <n v="40000"/>
    <n v="30001"/>
    <n v="0"/>
    <n v="30001"/>
    <n v="0"/>
  </r>
  <r>
    <d v="2026-01-23T00:00:00"/>
    <x v="14"/>
    <s v="Andres Felipe Aguilar Cadena"/>
    <s v="bancolombia"/>
    <m/>
    <n v="89100"/>
    <m/>
    <n v="89100"/>
    <n v="0"/>
    <n v="0"/>
    <n v="0"/>
  </r>
  <r>
    <d v="2026-01-23T00:00:00"/>
    <x v="14"/>
    <s v="Andres Felipe Aguilar Cadena"/>
    <s v="Chefibio"/>
    <n v="2025"/>
    <m/>
    <n v="89100"/>
    <n v="0"/>
    <n v="0"/>
    <n v="0"/>
    <n v="0"/>
  </r>
  <r>
    <d v="2026-02-11T00:00:00"/>
    <x v="14"/>
    <s v="Andres Felipe Aguilar Cadena"/>
    <s v="bancolombia"/>
    <m/>
    <n v="89100"/>
    <m/>
    <n v="89100"/>
    <n v="0"/>
    <n v="0"/>
    <n v="0"/>
  </r>
  <r>
    <d v="2026-02-12T00:00:00"/>
    <x v="14"/>
    <s v="Andres Felipe Aguilar Cadena"/>
    <s v="Chefibio"/>
    <n v="2025"/>
    <m/>
    <n v="89100"/>
    <n v="0"/>
    <n v="0"/>
    <n v="0"/>
    <n v="0"/>
  </r>
  <r>
    <d v="2026-01-26T00:00:00"/>
    <x v="15"/>
    <s v="Andres Sanchez"/>
    <s v="bancolombia"/>
    <m/>
    <n v="75000"/>
    <m/>
    <n v="75000"/>
    <n v="0"/>
    <n v="0"/>
    <n v="0"/>
  </r>
  <r>
    <d v="2026-01-26T00:00:00"/>
    <x v="15"/>
    <s v="Andres Sanchez"/>
    <s v="Chefibio"/>
    <n v="1500"/>
    <m/>
    <n v="0"/>
    <n v="75000"/>
    <n v="0"/>
    <n v="0"/>
    <n v="0"/>
  </r>
  <r>
    <d v="2026-02-03T00:00:00"/>
    <x v="15"/>
    <s v="Andres Sanchez"/>
    <s v="bancolombia"/>
    <m/>
    <n v="6000"/>
    <m/>
    <n v="81000"/>
    <n v="0"/>
    <n v="0"/>
    <n v="0"/>
  </r>
  <r>
    <d v="2026-02-04T00:00:00"/>
    <x v="15"/>
    <s v="Andres Sanchez"/>
    <s v="Chefibio"/>
    <n v="2700"/>
    <m/>
    <n v="75000"/>
    <n v="6000"/>
    <n v="0"/>
    <n v="0"/>
    <n v="0"/>
  </r>
  <r>
    <d v="2026-02-13T00:00:00"/>
    <x v="15"/>
    <s v="Andres Sanchez"/>
    <s v="bancolombia"/>
    <m/>
    <n v="81000"/>
    <m/>
    <n v="87000"/>
    <n v="0"/>
    <n v="0"/>
    <n v="0"/>
  </r>
  <r>
    <d v="2026-02-16T00:00:00"/>
    <x v="15"/>
    <s v="Andres Sanchez"/>
    <s v="Chefibio"/>
    <n v="2700"/>
    <m/>
    <n v="75000"/>
    <n v="12000"/>
    <n v="0"/>
    <n v="12000"/>
    <n v="0"/>
  </r>
  <r>
    <d v="2026-01-17T00:00:00"/>
    <x v="16"/>
    <s v="Angela Barreto"/>
    <m/>
    <m/>
    <m/>
    <n v="93600"/>
    <n v="0"/>
    <n v="93600"/>
    <n v="0"/>
    <n v="0"/>
  </r>
  <r>
    <d v="2026-01-22T00:00:00"/>
    <x v="16"/>
    <s v="Angela Barreto"/>
    <s v="bancolombia"/>
    <m/>
    <n v="93600"/>
    <m/>
    <n v="0"/>
    <n v="0"/>
    <n v="0"/>
    <n v="0"/>
  </r>
  <r>
    <d v="2026-01-29T00:00:00"/>
    <x v="16"/>
    <s v="Angela Barreto"/>
    <s v="Chefibio"/>
    <n v="2400"/>
    <m/>
    <n v="93600"/>
    <n v="0"/>
    <n v="93600"/>
    <n v="0"/>
    <n v="0"/>
  </r>
  <r>
    <d v="2026-02-05T00:00:00"/>
    <x v="16"/>
    <s v="Angela Barreto"/>
    <s v="bancolombia"/>
    <m/>
    <n v="93600"/>
    <m/>
    <n v="0"/>
    <n v="0"/>
    <n v="0"/>
    <n v="0"/>
  </r>
  <r>
    <d v="2026-02-17T00:00:00"/>
    <x v="16"/>
    <s v="Angela Barreto"/>
    <s v="Chefibio"/>
    <n v="2400"/>
    <m/>
    <n v="93600"/>
    <n v="0"/>
    <n v="93600"/>
    <n v="0"/>
    <n v="93600"/>
  </r>
  <r>
    <d v="2026-01-19T00:00:00"/>
    <x v="17"/>
    <s v="Angela Carvajal"/>
    <s v="Chefibio"/>
    <n v="4500"/>
    <m/>
    <n v="168000"/>
    <n v="0"/>
    <n v="168000"/>
    <n v="0"/>
    <n v="0"/>
  </r>
  <r>
    <d v="2026-01-19T00:00:00"/>
    <x v="17"/>
    <s v="Angela Carvajal"/>
    <s v="bancolombia"/>
    <m/>
    <n v="18000"/>
    <m/>
    <n v="0"/>
    <n v="150000"/>
    <n v="0"/>
    <n v="0"/>
  </r>
  <r>
    <d v="2026-01-20T00:00:00"/>
    <x v="17"/>
    <s v="Angela Carvajal"/>
    <s v="Davivienda"/>
    <m/>
    <n v="150000"/>
    <m/>
    <n v="0"/>
    <n v="0"/>
    <n v="0"/>
    <n v="0"/>
  </r>
  <r>
    <d v="2026-02-02T00:00:00"/>
    <x v="17"/>
    <s v="Angela Carvajal"/>
    <s v="Chefibio"/>
    <n v="4500"/>
    <m/>
    <n v="175500"/>
    <n v="0"/>
    <n v="175500"/>
    <n v="0"/>
    <n v="175500"/>
  </r>
  <r>
    <d v="2026-01-17T00:00:00"/>
    <x v="18"/>
    <s v="Angie Caterine Rodriguez Sanchez"/>
    <m/>
    <m/>
    <n v="0"/>
    <m/>
    <n v="0"/>
    <n v="0"/>
    <n v="0"/>
    <n v="0"/>
  </r>
  <r>
    <d v="2026-01-30T00:00:00"/>
    <x v="18"/>
    <s v="Angie Caterine Rodriguez Sanchez"/>
    <s v="Chefibio"/>
    <n v="8100"/>
    <m/>
    <n v="202500"/>
    <n v="0"/>
    <n v="202500"/>
    <n v="0"/>
    <n v="0"/>
  </r>
  <r>
    <d v="2026-01-31T00:00:00"/>
    <x v="18"/>
    <s v="Angie Caterine Rodriguez Sanchez"/>
    <s v="bancolombia"/>
    <m/>
    <n v="379000"/>
    <m/>
    <n v="176500"/>
    <n v="0"/>
    <n v="0"/>
    <n v="0"/>
  </r>
  <r>
    <d v="2026-02-16T00:00:00"/>
    <x v="18"/>
    <s v="Angie Caterine Rodriguez Sanchez"/>
    <s v="Chefibio"/>
    <n v="8100"/>
    <m/>
    <n v="202500"/>
    <n v="0"/>
    <n v="26000"/>
    <n v="0"/>
    <n v="26000"/>
  </r>
  <r>
    <d v="2026-01-17T00:00:00"/>
    <x v="19"/>
    <s v="Angie Paola Rincon Alvarez"/>
    <m/>
    <m/>
    <m/>
    <n v="244000"/>
    <n v="0"/>
    <n v="244000"/>
    <n v="0"/>
    <n v="0"/>
  </r>
  <r>
    <d v="2026-01-18T00:00:00"/>
    <x v="19"/>
    <s v="Angie Paola Rincon Alvarez"/>
    <s v="bancolombia"/>
    <m/>
    <n v="244000"/>
    <m/>
    <n v="0"/>
    <n v="0"/>
    <n v="0"/>
    <n v="0"/>
  </r>
  <r>
    <d v="2026-01-26T00:00:00"/>
    <x v="19"/>
    <s v="Angie Paola Rincon Alvarez"/>
    <s v="Chefibio"/>
    <n v="6000"/>
    <m/>
    <n v="252000"/>
    <n v="0"/>
    <n v="252000"/>
    <n v="0"/>
    <n v="0"/>
  </r>
  <r>
    <d v="2026-01-31T00:00:00"/>
    <x v="19"/>
    <s v="Angie Paola Rincon Alvarez"/>
    <s v="bancolombia"/>
    <m/>
    <n v="252000"/>
    <m/>
    <n v="0"/>
    <n v="0"/>
    <n v="0"/>
    <n v="0"/>
  </r>
  <r>
    <d v="2026-02-06T00:00:00"/>
    <x v="19"/>
    <s v="Angie Paola Rincon Alvarez"/>
    <s v="Chefibio"/>
    <n v="6000"/>
    <m/>
    <n v="126000"/>
    <n v="0"/>
    <n v="126000"/>
    <n v="0"/>
    <n v="126000"/>
  </r>
  <r>
    <d v="2026-01-17T00:00:00"/>
    <x v="20"/>
    <s v="Anizoara Morales Diaz "/>
    <m/>
    <m/>
    <n v="200000"/>
    <m/>
    <n v="200000"/>
    <n v="0"/>
    <n v="0"/>
    <n v="0"/>
  </r>
  <r>
    <d v="2026-01-17T00:00:00"/>
    <x v="20"/>
    <s v="Anizoara Morales Diaz "/>
    <m/>
    <m/>
    <m/>
    <n v="212200"/>
    <n v="0"/>
    <n v="12200"/>
    <n v="0"/>
    <n v="0"/>
  </r>
  <r>
    <d v="2026-01-19T00:00:00"/>
    <x v="20"/>
    <s v="Anizoara Morales Diaz "/>
    <s v="Chefibio"/>
    <n v="4680"/>
    <m/>
    <n v="0"/>
    <n v="0"/>
    <n v="12200"/>
    <n v="0"/>
    <n v="0"/>
  </r>
  <r>
    <d v="2026-01-19T00:00:00"/>
    <x v="20"/>
    <s v="Anizoara Morales Diaz "/>
    <s v="Caja menor"/>
    <m/>
    <n v="12200"/>
    <m/>
    <n v="0"/>
    <n v="0"/>
    <n v="0"/>
    <n v="0"/>
  </r>
  <r>
    <d v="2026-01-21T00:00:00"/>
    <x v="20"/>
    <s v="Anizoara Morales Diaz 160"/>
    <s v="Caja menor"/>
    <m/>
    <n v="262200"/>
    <m/>
    <n v="262200"/>
    <n v="0"/>
    <n v="0"/>
    <n v="0"/>
  </r>
  <r>
    <d v="2026-01-21T00:00:00"/>
    <x v="20"/>
    <s v="Anizoara Morales Diaz 160"/>
    <s v="Nuggets"/>
    <n v="200"/>
    <m/>
    <n v="0"/>
    <n v="262200"/>
    <n v="0"/>
    <n v="0"/>
    <n v="0"/>
  </r>
  <r>
    <d v="2026-01-21T00:00:00"/>
    <x v="20"/>
    <s v="Anizoara Morales Diaz 160"/>
    <s v="Chefibio"/>
    <n v="3680"/>
    <m/>
    <n v="134013"/>
    <n v="128187"/>
    <n v="0"/>
    <n v="0"/>
    <n v="0"/>
  </r>
  <r>
    <d v="2026-01-21T00:00:00"/>
    <x v="20"/>
    <s v="Anizoara Morales Diaz 160"/>
    <s v="Chefibio"/>
    <n v="3520"/>
    <m/>
    <n v="128187"/>
    <n v="0"/>
    <n v="0"/>
    <n v="0"/>
    <n v="0"/>
  </r>
  <r>
    <d v="2026-01-27T00:00:00"/>
    <x v="20"/>
    <s v="Anizoara Morales Diaz "/>
    <s v="bancolombia"/>
    <m/>
    <n v="213600"/>
    <m/>
    <n v="213600"/>
    <n v="0"/>
    <n v="0"/>
    <n v="0"/>
  </r>
  <r>
    <d v="2026-01-28T00:00:00"/>
    <x v="20"/>
    <s v="Anizoara Morales Diaz "/>
    <s v="Chefibio"/>
    <n v="5850"/>
    <m/>
    <n v="213600"/>
    <n v="0"/>
    <n v="0"/>
    <n v="0"/>
    <n v="0"/>
  </r>
  <r>
    <d v="2026-02-04T00:00:00"/>
    <x v="20"/>
    <s v="Anizoara Morales Diaz "/>
    <s v="bancolombia"/>
    <m/>
    <n v="131000"/>
    <m/>
    <n v="131000"/>
    <n v="0"/>
    <n v="0"/>
    <n v="0"/>
  </r>
  <r>
    <d v="2026-02-05T00:00:00"/>
    <x v="20"/>
    <s v="Anizoara Morales Diaz 160"/>
    <s v="Chefibio"/>
    <n v="3360"/>
    <m/>
    <n v="131100"/>
    <n v="0"/>
    <n v="100"/>
    <n v="0"/>
    <n v="0"/>
  </r>
  <r>
    <d v="2026-02-13T00:00:00"/>
    <x v="20"/>
    <s v="Anizoara Morales Diaz "/>
    <s v="Chefibio"/>
    <n v="5850"/>
    <m/>
    <n v="213600"/>
    <n v="0"/>
    <n v="213700"/>
    <n v="0"/>
    <n v="0"/>
  </r>
  <r>
    <d v="2026-02-13T00:00:00"/>
    <x v="20"/>
    <s v="Anizoara Morales Diaz "/>
    <s v="Caja menor"/>
    <m/>
    <n v="213000"/>
    <m/>
    <n v="0"/>
    <n v="700"/>
    <n v="0"/>
    <n v="700"/>
  </r>
  <r>
    <d v="2026-01-17T00:00:00"/>
    <x v="21"/>
    <s v="Argelio Gasca"/>
    <m/>
    <m/>
    <m/>
    <n v="231000"/>
    <n v="0"/>
    <n v="231000"/>
    <n v="0"/>
    <n v="0"/>
  </r>
  <r>
    <d v="2026-01-26T00:00:00"/>
    <x v="21"/>
    <s v="Argelio Gasca"/>
    <s v="Chefibio"/>
    <n v="10500"/>
    <m/>
    <n v="231000"/>
    <n v="0"/>
    <n v="462000"/>
    <n v="0"/>
    <n v="0"/>
  </r>
  <r>
    <d v="2026-02-10T00:00:00"/>
    <x v="21"/>
    <s v="Argelio Gasca"/>
    <s v="Chefibio"/>
    <n v="10500"/>
    <m/>
    <n v="231000"/>
    <n v="0"/>
    <n v="693000"/>
    <n v="0"/>
    <n v="0"/>
  </r>
  <r>
    <d v="2026-02-10T00:00:00"/>
    <x v="21"/>
    <s v="Argelio Gasca"/>
    <s v="Nuggets"/>
    <n v="400"/>
    <m/>
    <n v="19000"/>
    <n v="0"/>
    <n v="712000"/>
    <n v="0"/>
    <n v="0"/>
  </r>
  <r>
    <d v="2026-02-16T00:00:00"/>
    <x v="21"/>
    <s v="Argelio Gasca"/>
    <s v="bancolombia"/>
    <m/>
    <n v="462000"/>
    <m/>
    <n v="0"/>
    <n v="250000"/>
    <n v="0"/>
    <n v="250000"/>
  </r>
  <r>
    <d v="2026-01-20T00:00:00"/>
    <x v="22"/>
    <s v="Arnulfo Bocanegra"/>
    <s v="Chefibio"/>
    <n v="3000"/>
    <m/>
    <n v="87000"/>
    <n v="0"/>
    <n v="87000"/>
    <n v="0"/>
    <n v="0"/>
  </r>
  <r>
    <d v="2026-01-20T00:00:00"/>
    <x v="22"/>
    <s v="Arnulfo Bocanegra"/>
    <s v="Caja menor"/>
    <m/>
    <n v="87000"/>
    <m/>
    <n v="0"/>
    <n v="0"/>
    <n v="0"/>
    <n v="0"/>
  </r>
  <r>
    <d v="2026-02-06T00:00:00"/>
    <x v="22"/>
    <s v="Arnulfo Bocanegra"/>
    <s v="Caja menor"/>
    <m/>
    <n v="87000"/>
    <m/>
    <n v="87000"/>
    <n v="0"/>
    <n v="0"/>
    <n v="0"/>
  </r>
  <r>
    <d v="2026-02-06T00:00:00"/>
    <x v="22"/>
    <s v="Arnulfo Bocanegra"/>
    <s v="Chefibio"/>
    <n v="3000"/>
    <m/>
    <n v="87000"/>
    <n v="0"/>
    <n v="0"/>
    <n v="0"/>
    <n v="0"/>
  </r>
  <r>
    <d v="2026-01-17T00:00:00"/>
    <x v="23"/>
    <s v="Aymara Mendoza"/>
    <m/>
    <m/>
    <n v="0"/>
    <m/>
    <n v="0"/>
    <n v="0"/>
    <n v="0"/>
    <n v="0"/>
  </r>
  <r>
    <d v="2026-01-17T00:00:00"/>
    <x v="23"/>
    <s v="Aymara Mendoza"/>
    <m/>
    <m/>
    <m/>
    <n v="86400"/>
    <n v="0"/>
    <n v="86400"/>
    <n v="0"/>
    <n v="0"/>
  </r>
  <r>
    <d v="2026-01-19T00:00:00"/>
    <x v="23"/>
    <s v="Aymara Mendoza"/>
    <s v="bancolombia"/>
    <m/>
    <n v="86400"/>
    <m/>
    <n v="0"/>
    <n v="0"/>
    <n v="0"/>
    <n v="0"/>
  </r>
  <r>
    <d v="2026-01-29T00:00:00"/>
    <x v="23"/>
    <s v="Aymara Mendoza"/>
    <s v="Chefibio"/>
    <n v="2700"/>
    <m/>
    <n v="86400"/>
    <n v="0"/>
    <n v="86400"/>
    <n v="0"/>
    <n v="0"/>
  </r>
  <r>
    <d v="2026-02-16T00:00:00"/>
    <x v="23"/>
    <s v="Aymara Mendoza"/>
    <s v="Chefibio"/>
    <n v="2700"/>
    <m/>
    <n v="86400"/>
    <n v="0"/>
    <n v="172800"/>
    <n v="0"/>
    <n v="0"/>
  </r>
  <r>
    <d v="2026-02-16T00:00:00"/>
    <x v="23"/>
    <s v="Aymara Mendoza"/>
    <s v="Caja menor"/>
    <m/>
    <n v="86400"/>
    <m/>
    <n v="0"/>
    <n v="86400"/>
    <n v="0"/>
    <n v="0"/>
  </r>
  <r>
    <d v="2026-02-16T00:00:00"/>
    <x v="23"/>
    <s v="Aymara Mendoza"/>
    <s v="bancolombia"/>
    <m/>
    <n v="86400"/>
    <m/>
    <n v="0"/>
    <n v="0"/>
    <n v="0"/>
    <n v="0"/>
  </r>
  <r>
    <d v="2026-01-21T00:00:00"/>
    <x v="24"/>
    <s v="Bernardo Alfonso Hidalgo Franco"/>
    <s v="Chefibio"/>
    <n v="7200"/>
    <m/>
    <n v="180000"/>
    <n v="0"/>
    <n v="180000"/>
    <n v="0"/>
    <n v="0"/>
  </r>
  <r>
    <d v="2026-01-22T00:00:00"/>
    <x v="24"/>
    <s v="Bernardo Alfonso Hidalgo Franco"/>
    <s v="bancolombia"/>
    <m/>
    <n v="180000"/>
    <m/>
    <n v="0"/>
    <n v="0"/>
    <n v="0"/>
    <n v="0"/>
  </r>
  <r>
    <d v="2026-01-29T00:00:00"/>
    <x v="24"/>
    <s v="Bernardo Alfonso Hidalgo Franco"/>
    <s v="Chefibio"/>
    <n v="7200"/>
    <m/>
    <n v="180000"/>
    <n v="0"/>
    <n v="180000"/>
    <n v="0"/>
    <n v="0"/>
  </r>
  <r>
    <d v="2026-01-31T00:00:00"/>
    <x v="24"/>
    <s v="Bernardo Alfonso Hidalgo Franco"/>
    <s v="bancolombia"/>
    <m/>
    <n v="180000"/>
    <m/>
    <n v="0"/>
    <n v="0"/>
    <n v="0"/>
    <n v="0"/>
  </r>
  <r>
    <d v="2026-02-09T00:00:00"/>
    <x v="24"/>
    <s v="Bernardo Alfonso Hidalgo Franco"/>
    <s v="Chefibio"/>
    <n v="1800"/>
    <m/>
    <n v="0"/>
    <n v="0"/>
    <n v="0"/>
    <n v="0"/>
    <n v="0"/>
  </r>
  <r>
    <d v="2026-02-13T00:00:00"/>
    <x v="24"/>
    <s v="Bernardo Alfonso Hidalgo Franco"/>
    <s v="Chefibio"/>
    <n v="5760"/>
    <m/>
    <n v="144000"/>
    <n v="0"/>
    <n v="144000"/>
    <n v="0"/>
    <n v="0"/>
  </r>
  <r>
    <d v="2026-02-17T00:00:00"/>
    <x v="24"/>
    <s v="Bernardo Alfonso Hidalgo Franco"/>
    <s v="bancolombia"/>
    <m/>
    <n v="165000"/>
    <m/>
    <n v="21000"/>
    <n v="0"/>
    <n v="21000"/>
    <n v="0"/>
  </r>
  <r>
    <d v="2026-01-17T00:00:00"/>
    <x v="25"/>
    <s v="Billy Dog"/>
    <m/>
    <m/>
    <n v="140000"/>
    <m/>
    <n v="140000"/>
    <n v="0"/>
    <n v="0"/>
    <n v="0"/>
  </r>
  <r>
    <d v="2026-01-19T00:00:00"/>
    <x v="25"/>
    <s v="Billy Dog"/>
    <s v="Chefibio"/>
    <n v="2400"/>
    <m/>
    <n v="45600"/>
    <n v="94400"/>
    <n v="0"/>
    <n v="0"/>
    <n v="0"/>
  </r>
  <r>
    <d v="2026-01-19T00:00:00"/>
    <x v="25"/>
    <s v="Billy Dog"/>
    <s v="Chefibio"/>
    <n v="9750"/>
    <m/>
    <n v="190000"/>
    <n v="0"/>
    <n v="95600"/>
    <n v="0"/>
    <n v="0"/>
  </r>
  <r>
    <d v="2026-01-19T00:00:00"/>
    <x v="25"/>
    <s v="Billy Dog"/>
    <s v="Chefibio"/>
    <n v="3000"/>
    <m/>
    <n v="57000"/>
    <n v="0"/>
    <n v="152600"/>
    <n v="0"/>
    <n v="0"/>
  </r>
  <r>
    <d v="2026-01-19T00:00:00"/>
    <x v="25"/>
    <s v="Billy Dog"/>
    <s v="Chefibio"/>
    <n v="3000"/>
    <m/>
    <n v="57000"/>
    <n v="0"/>
    <n v="209600"/>
    <n v="0"/>
    <n v="0"/>
  </r>
  <r>
    <d v="2026-01-19T00:00:00"/>
    <x v="25"/>
    <s v="Billy Dog"/>
    <s v="Chefibio"/>
    <n v="10000"/>
    <m/>
    <n v="190000"/>
    <n v="0"/>
    <n v="399600"/>
    <n v="0"/>
    <n v="0"/>
  </r>
  <r>
    <d v="2026-01-19T00:00:00"/>
    <x v="25"/>
    <s v="Billy Dog"/>
    <s v="Chefibio"/>
    <n v="9000"/>
    <m/>
    <n v="171000"/>
    <n v="0"/>
    <n v="570600"/>
    <n v="0"/>
    <n v="0"/>
  </r>
  <r>
    <d v="2026-01-19T00:00:00"/>
    <x v="25"/>
    <s v="Billy Dog"/>
    <s v="Chefibio"/>
    <n v="12000"/>
    <m/>
    <n v="228000"/>
    <n v="0"/>
    <n v="798600"/>
    <n v="0"/>
    <n v="0"/>
  </r>
  <r>
    <d v="2026-01-21T00:00:00"/>
    <x v="25"/>
    <s v="Billy Dog"/>
    <s v="Chefibio"/>
    <n v="2070"/>
    <m/>
    <n v="38000"/>
    <n v="0"/>
    <n v="836600"/>
    <n v="0"/>
    <n v="0"/>
  </r>
  <r>
    <d v="2026-01-21T00:00:00"/>
    <x v="25"/>
    <s v="Billy Dog"/>
    <s v="Chefibio"/>
    <n v="4030"/>
    <m/>
    <n v="76000"/>
    <n v="0"/>
    <n v="912600"/>
    <n v="0"/>
    <n v="0"/>
  </r>
  <r>
    <d v="2026-01-22T00:00:00"/>
    <x v="25"/>
    <s v="Billy Dog"/>
    <s v="Chefibio"/>
    <n v="10000"/>
    <m/>
    <n v="190000"/>
    <n v="0"/>
    <n v="1102600"/>
    <n v="0"/>
    <n v="0"/>
  </r>
  <r>
    <d v="2026-01-22T00:00:00"/>
    <x v="25"/>
    <s v="Billy Dog"/>
    <s v="Chefibio"/>
    <n v="6000"/>
    <m/>
    <n v="114000"/>
    <n v="0"/>
    <n v="1216600"/>
    <n v="0"/>
    <n v="0"/>
  </r>
  <r>
    <d v="2026-01-22T00:00:00"/>
    <x v="25"/>
    <s v="Billy Dog"/>
    <s v="Chefibio"/>
    <n v="8000"/>
    <m/>
    <n v="152000"/>
    <n v="0"/>
    <n v="1368600"/>
    <n v="0"/>
    <n v="0"/>
  </r>
  <r>
    <d v="2026-01-22T00:00:00"/>
    <x v="25"/>
    <s v="Billy Dog"/>
    <s v="Chefibio"/>
    <n v="5950"/>
    <m/>
    <n v="114000"/>
    <n v="0"/>
    <n v="1482600"/>
    <n v="0"/>
    <n v="0"/>
  </r>
  <r>
    <d v="2026-01-22T00:00:00"/>
    <x v="25"/>
    <s v="Billy Dog"/>
    <s v="Chefibio"/>
    <n v="3900"/>
    <m/>
    <n v="76000"/>
    <n v="0"/>
    <n v="1558600"/>
    <n v="0"/>
    <n v="0"/>
  </r>
  <r>
    <d v="2026-01-22T00:00:00"/>
    <x v="25"/>
    <s v="Billy Dog"/>
    <s v="Chefibio"/>
    <n v="3000"/>
    <m/>
    <n v="57000"/>
    <n v="0"/>
    <n v="1615600"/>
    <n v="0"/>
    <n v="0"/>
  </r>
  <r>
    <d v="2026-01-22T00:00:00"/>
    <x v="25"/>
    <s v="Billy Dog"/>
    <s v="Chefibio"/>
    <n v="6000"/>
    <m/>
    <n v="124000"/>
    <n v="0"/>
    <n v="1739600"/>
    <n v="0"/>
    <n v="0"/>
  </r>
  <r>
    <d v="2026-01-22T00:00:00"/>
    <x v="25"/>
    <s v="Billy Dog"/>
    <s v="Chefibio"/>
    <n v="3040"/>
    <m/>
    <n v="57000"/>
    <n v="0"/>
    <n v="1796600"/>
    <n v="0"/>
    <n v="0"/>
  </r>
  <r>
    <d v="2026-01-23T00:00:00"/>
    <x v="25"/>
    <s v="Billy Dog"/>
    <s v="Chefibio"/>
    <n v="2940"/>
    <m/>
    <n v="57000"/>
    <n v="0"/>
    <n v="1853600"/>
    <n v="0"/>
    <n v="0"/>
  </r>
  <r>
    <d v="2026-01-23T00:00:00"/>
    <x v="25"/>
    <s v="Billy Dog"/>
    <s v="Chefibio"/>
    <n v="2025"/>
    <m/>
    <n v="38000"/>
    <n v="0"/>
    <n v="1891600"/>
    <n v="0"/>
    <n v="0"/>
  </r>
  <r>
    <d v="2026-01-23T00:00:00"/>
    <x v="25"/>
    <s v="Billy Dog"/>
    <s v="Chefibio"/>
    <n v="3080"/>
    <m/>
    <n v="57000"/>
    <n v="0"/>
    <n v="1948600"/>
    <n v="0"/>
    <n v="0"/>
  </r>
  <r>
    <d v="2026-01-24T00:00:00"/>
    <x v="25"/>
    <s v="Billy Dog"/>
    <s v="Chefibio"/>
    <n v="2000"/>
    <m/>
    <n v="38000"/>
    <n v="0"/>
    <n v="1986600"/>
    <n v="0"/>
    <n v="0"/>
  </r>
  <r>
    <d v="2026-01-24T00:00:00"/>
    <x v="25"/>
    <s v="Billy Dog"/>
    <s v="Chefibio"/>
    <n v="5000"/>
    <m/>
    <n v="95000"/>
    <n v="0"/>
    <n v="2081600"/>
    <n v="0"/>
    <n v="0"/>
  </r>
  <r>
    <d v="2026-01-26T00:00:00"/>
    <x v="25"/>
    <s v="Billy Dog"/>
    <s v="Chefibio"/>
    <n v="6000"/>
    <m/>
    <n v="114000"/>
    <n v="0"/>
    <n v="2195600"/>
    <n v="0"/>
    <n v="0"/>
  </r>
  <r>
    <d v="2026-01-26T00:00:00"/>
    <x v="25"/>
    <s v="Billy Dog"/>
    <s v="Nuggets"/>
    <n v="1000"/>
    <m/>
    <n v="38000"/>
    <n v="0"/>
    <n v="2233600"/>
    <n v="0"/>
    <n v="0"/>
  </r>
  <r>
    <d v="2026-01-26T00:00:00"/>
    <x v="25"/>
    <s v="Billy Dog"/>
    <s v="Chefibio"/>
    <n v="12000"/>
    <m/>
    <n v="228000"/>
    <n v="0"/>
    <n v="2461600"/>
    <n v="0"/>
    <n v="0"/>
  </r>
  <r>
    <d v="2026-01-26T00:00:00"/>
    <x v="25"/>
    <s v="Billy Dog"/>
    <s v="Nuggets"/>
    <n v="2000"/>
    <m/>
    <n v="76000"/>
    <n v="0"/>
    <n v="2537600"/>
    <n v="0"/>
    <n v="0"/>
  </r>
  <r>
    <d v="2026-01-26T00:00:00"/>
    <x v="25"/>
    <s v="Billy Dog"/>
    <s v="Chefibio"/>
    <n v="10000"/>
    <m/>
    <n v="190000"/>
    <n v="0"/>
    <n v="2727600"/>
    <n v="0"/>
    <n v="0"/>
  </r>
  <r>
    <d v="2026-01-26T00:00:00"/>
    <x v="25"/>
    <s v="Billy Dog"/>
    <s v="Chefibio"/>
    <n v="9750"/>
    <m/>
    <n v="185250"/>
    <n v="0"/>
    <n v="2912850"/>
    <n v="0"/>
    <n v="0"/>
  </r>
  <r>
    <d v="2026-01-26T00:00:00"/>
    <x v="25"/>
    <s v="Billy Dog"/>
    <s v="Chefibio"/>
    <n v="2040"/>
    <m/>
    <n v="38000"/>
    <n v="0"/>
    <n v="2950850"/>
    <n v="0"/>
    <n v="0"/>
  </r>
  <r>
    <d v="2026-01-26T00:00:00"/>
    <x v="25"/>
    <s v="Billy Dog"/>
    <s v="Nuggets"/>
    <n v="4000"/>
    <m/>
    <n v="240000"/>
    <n v="0"/>
    <n v="3190850"/>
    <n v="0"/>
    <n v="0"/>
  </r>
  <r>
    <d v="2026-01-26T00:00:00"/>
    <x v="25"/>
    <s v="Billy Dog"/>
    <s v="Chefibio"/>
    <n v="9000"/>
    <m/>
    <n v="171000"/>
    <n v="0"/>
    <n v="3361850"/>
    <n v="0"/>
    <n v="0"/>
  </r>
  <r>
    <d v="2026-01-28T00:00:00"/>
    <x v="25"/>
    <s v="Billy Dog"/>
    <s v="Chefibio"/>
    <n v="1500"/>
    <m/>
    <n v="28500"/>
    <n v="0"/>
    <n v="3390350"/>
    <n v="0"/>
    <n v="0"/>
  </r>
  <r>
    <d v="2026-01-30T00:00:00"/>
    <x v="25"/>
    <s v="Billy Dog"/>
    <s v="bancolombia"/>
    <m/>
    <n v="3000000"/>
    <m/>
    <n v="0"/>
    <n v="390350"/>
    <n v="0"/>
    <n v="0"/>
  </r>
  <r>
    <d v="2026-01-30T00:00:00"/>
    <x v="25"/>
    <s v="Billy Dog"/>
    <s v="Chefibio"/>
    <n v="6000"/>
    <m/>
    <n v="114000"/>
    <n v="0"/>
    <n v="504350"/>
    <n v="0"/>
    <n v="0"/>
  </r>
  <r>
    <d v="2026-01-30T00:00:00"/>
    <x v="25"/>
    <s v="Billy Dog"/>
    <s v="Chefibio"/>
    <n v="6020"/>
    <m/>
    <n v="114380"/>
    <n v="0"/>
    <n v="618730"/>
    <n v="0"/>
    <n v="0"/>
  </r>
  <r>
    <d v="2026-01-30T00:00:00"/>
    <x v="25"/>
    <s v="Billy Dog"/>
    <s v="Chefibio"/>
    <n v="5950"/>
    <m/>
    <n v="113050"/>
    <n v="0"/>
    <n v="731780"/>
    <n v="0"/>
    <n v="0"/>
  </r>
  <r>
    <d v="2026-01-30T00:00:00"/>
    <x v="25"/>
    <s v="Billy Dog"/>
    <s v="Chefibio"/>
    <n v="10000"/>
    <m/>
    <n v="190000"/>
    <n v="0"/>
    <n v="921780"/>
    <n v="0"/>
    <n v="0"/>
  </r>
  <r>
    <d v="2026-02-02T00:00:00"/>
    <x v="25"/>
    <s v="Billy Dog"/>
    <s v="Chefibio"/>
    <n v="10000"/>
    <m/>
    <n v="190000"/>
    <n v="0"/>
    <n v="1111780"/>
    <n v="0"/>
    <n v="0"/>
  </r>
  <r>
    <d v="2026-02-02T00:00:00"/>
    <x v="25"/>
    <s v="Billy Dog"/>
    <s v="Chefibio"/>
    <n v="6000"/>
    <m/>
    <n v="114000"/>
    <n v="0"/>
    <n v="1225780"/>
    <n v="0"/>
    <n v="0"/>
  </r>
  <r>
    <d v="2026-02-02T00:00:00"/>
    <x v="25"/>
    <s v="Billy Dog"/>
    <s v="Chefibio"/>
    <n v="6000"/>
    <m/>
    <n v="114000"/>
    <n v="0"/>
    <n v="1339780"/>
    <n v="0"/>
    <n v="0"/>
  </r>
  <r>
    <d v="2026-02-02T00:00:00"/>
    <x v="25"/>
    <s v="Billy Dog"/>
    <s v="Chefibio"/>
    <n v="9750"/>
    <m/>
    <n v="185250"/>
    <n v="0"/>
    <n v="1525030"/>
    <n v="0"/>
    <n v="0"/>
  </r>
  <r>
    <d v="2026-02-02T00:00:00"/>
    <x v="25"/>
    <s v="Billy Dog"/>
    <s v="Chefibio"/>
    <n v="9000"/>
    <m/>
    <n v="171000"/>
    <n v="0"/>
    <n v="1696030"/>
    <n v="0"/>
    <n v="0"/>
  </r>
  <r>
    <d v="2026-02-02T00:00:00"/>
    <x v="25"/>
    <s v="Billy Dog"/>
    <s v="Chefibio"/>
    <n v="10000"/>
    <m/>
    <n v="190000"/>
    <n v="0"/>
    <n v="1886030"/>
    <n v="0"/>
    <n v="0"/>
  </r>
  <r>
    <d v="2026-02-03T00:00:00"/>
    <x v="25"/>
    <s v="Billy Dog"/>
    <s v="BANCOLOMBIA PRESTAMO"/>
    <m/>
    <n v="0"/>
    <n v="1500000"/>
    <n v="0"/>
    <n v="3386030"/>
    <n v="0"/>
    <n v="0"/>
  </r>
  <r>
    <d v="2026-02-05T00:00:00"/>
    <x v="25"/>
    <s v="Billy Dog"/>
    <s v="Chefibio"/>
    <n v="5000"/>
    <m/>
    <n v="95000"/>
    <n v="0"/>
    <n v="3481030"/>
    <n v="0"/>
    <n v="0"/>
  </r>
  <r>
    <d v="2026-02-05T00:00:00"/>
    <x v="25"/>
    <s v="Billy Dog"/>
    <s v="Chefibio"/>
    <n v="12000"/>
    <m/>
    <n v="228000"/>
    <n v="0"/>
    <n v="3709030"/>
    <n v="0"/>
    <n v="0"/>
  </r>
  <r>
    <d v="2026-02-05T00:00:00"/>
    <x v="25"/>
    <s v="Billy Dog"/>
    <s v="Chefibio"/>
    <n v="9000"/>
    <m/>
    <n v="171000"/>
    <n v="0"/>
    <n v="3880030"/>
    <n v="0"/>
    <n v="0"/>
  </r>
  <r>
    <d v="2026-02-05T00:00:00"/>
    <x v="25"/>
    <s v="Billy Dog"/>
    <s v="Chefibio"/>
    <n v="10000"/>
    <m/>
    <n v="190000"/>
    <n v="0"/>
    <n v="4070030"/>
    <n v="0"/>
    <n v="0"/>
  </r>
  <r>
    <d v="2026-02-05T00:00:00"/>
    <x v="25"/>
    <s v="Billy Dog"/>
    <s v="Chefibio"/>
    <n v="2800"/>
    <m/>
    <n v="53200"/>
    <n v="0"/>
    <n v="4123230"/>
    <n v="0"/>
    <n v="0"/>
  </r>
  <r>
    <d v="2026-02-05T00:00:00"/>
    <x v="25"/>
    <s v="Billy Dog"/>
    <s v="Chefibio"/>
    <n v="750"/>
    <m/>
    <n v="0"/>
    <n v="0"/>
    <n v="4123230"/>
    <n v="0"/>
    <n v="0"/>
  </r>
  <r>
    <d v="2026-02-05T00:00:00"/>
    <x v="25"/>
    <s v="Billy Dog"/>
    <s v="Chefibio"/>
    <n v="9000"/>
    <m/>
    <n v="171000"/>
    <n v="0"/>
    <n v="4294230"/>
    <n v="0"/>
    <n v="0"/>
  </r>
  <r>
    <d v="2026-02-05T00:00:00"/>
    <x v="25"/>
    <s v="Billy Dog"/>
    <s v="Chefibio"/>
    <n v="3220"/>
    <m/>
    <n v="61180"/>
    <n v="0"/>
    <n v="4355410"/>
    <n v="0"/>
    <n v="0"/>
  </r>
  <r>
    <d v="2026-02-05T00:00:00"/>
    <x v="25"/>
    <s v="Billy Dog"/>
    <s v="Chefibio"/>
    <n v="11700"/>
    <m/>
    <n v="222300"/>
    <n v="0"/>
    <n v="4577710"/>
    <n v="0"/>
    <n v="0"/>
  </r>
  <r>
    <d v="2026-02-06T00:00:00"/>
    <x v="25"/>
    <s v="Billy Dog"/>
    <s v="Caja menor"/>
    <m/>
    <n v="42000"/>
    <m/>
    <n v="0"/>
    <n v="4535710"/>
    <n v="0"/>
    <n v="0"/>
  </r>
  <r>
    <d v="2026-02-06T00:00:00"/>
    <x v="25"/>
    <s v="Billy Dog"/>
    <s v="Chefibio"/>
    <n v="4030"/>
    <m/>
    <n v="76570"/>
    <n v="0"/>
    <n v="4612280"/>
    <n v="0"/>
    <n v="0"/>
  </r>
  <r>
    <d v="2026-02-06T00:00:00"/>
    <x v="25"/>
    <s v="Billy Dog"/>
    <s v="Chefibio"/>
    <n v="6000"/>
    <m/>
    <n v="114000"/>
    <n v="0"/>
    <n v="4726280"/>
    <n v="0"/>
    <n v="0"/>
  </r>
  <r>
    <d v="2026-02-06T00:00:00"/>
    <x v="25"/>
    <s v="Billy Dog"/>
    <s v="Chefibio"/>
    <n v="2000"/>
    <m/>
    <n v="38000"/>
    <n v="0"/>
    <n v="4764280"/>
    <n v="0"/>
    <n v="0"/>
  </r>
  <r>
    <d v="2026-02-06T00:00:00"/>
    <x v="25"/>
    <s v="Billy Dog"/>
    <s v="Chefibio"/>
    <n v="2400"/>
    <m/>
    <n v="45600"/>
    <n v="0"/>
    <n v="4809880"/>
    <n v="0"/>
    <n v="0"/>
  </r>
  <r>
    <d v="2026-02-09T00:00:00"/>
    <x v="25"/>
    <s v="Billy Dog"/>
    <s v="Chefibio"/>
    <n v="1955"/>
    <m/>
    <n v="37145"/>
    <n v="0"/>
    <n v="4847025"/>
    <n v="0"/>
    <n v="0"/>
  </r>
  <r>
    <d v="2026-02-09T00:00:00"/>
    <x v="25"/>
    <s v="Billy Dog"/>
    <s v="Chefibio"/>
    <n v="11700"/>
    <m/>
    <n v="222300"/>
    <n v="0"/>
    <n v="5069325"/>
    <n v="0"/>
    <n v="0"/>
  </r>
  <r>
    <d v="2026-02-09T00:00:00"/>
    <x v="25"/>
    <s v="Billy Dog"/>
    <s v="Chefibio"/>
    <n v="5950"/>
    <m/>
    <n v="113050"/>
    <n v="0"/>
    <n v="5182375"/>
    <n v="0"/>
    <n v="0"/>
  </r>
  <r>
    <d v="2026-02-09T00:00:00"/>
    <x v="25"/>
    <s v="Billy Dog"/>
    <s v="Chefibio"/>
    <n v="6000"/>
    <m/>
    <n v="124000"/>
    <n v="0"/>
    <n v="5306375"/>
    <n v="0"/>
    <n v="0"/>
  </r>
  <r>
    <d v="2026-02-09T00:00:00"/>
    <x v="25"/>
    <s v="Billy Dog"/>
    <s v="Chefibio"/>
    <n v="3040"/>
    <m/>
    <n v="57760"/>
    <n v="0"/>
    <n v="5364135"/>
    <n v="0"/>
    <n v="0"/>
  </r>
  <r>
    <d v="2026-02-09T00:00:00"/>
    <x v="25"/>
    <s v="Billy Dog"/>
    <s v="Chefibio"/>
    <n v="3000"/>
    <m/>
    <n v="57000"/>
    <n v="0"/>
    <n v="5421135"/>
    <n v="0"/>
    <n v="0"/>
  </r>
  <r>
    <d v="2026-02-09T00:00:00"/>
    <x v="25"/>
    <s v="Billy Dog"/>
    <s v="Chefibio"/>
    <n v="10000"/>
    <m/>
    <n v="190000"/>
    <n v="0"/>
    <n v="5611135"/>
    <n v="0"/>
    <n v="0"/>
  </r>
  <r>
    <d v="2026-02-10T00:00:00"/>
    <x v="25"/>
    <s v="Billy Dog"/>
    <s v="Chefibio"/>
    <n v="4000"/>
    <m/>
    <n v="76000"/>
    <n v="0"/>
    <n v="5687135"/>
    <n v="0"/>
    <n v="0"/>
  </r>
  <r>
    <d v="2026-02-10T00:00:00"/>
    <x v="25"/>
    <s v="Billy Dog"/>
    <s v="Chefibio"/>
    <n v="2040"/>
    <m/>
    <n v="38760"/>
    <n v="0"/>
    <n v="5725895"/>
    <n v="0"/>
    <n v="0"/>
  </r>
  <r>
    <d v="2026-02-11T00:00:00"/>
    <x v="25"/>
    <s v="Billy Dog"/>
    <s v="CAJA MENOR PRESTAMO"/>
    <m/>
    <n v="1500000"/>
    <n v="0"/>
    <n v="0"/>
    <n v="4225895"/>
    <n v="0"/>
    <n v="0"/>
  </r>
  <r>
    <d v="2026-02-11T00:00:00"/>
    <x v="25"/>
    <s v="Billy Dog"/>
    <s v="bancolombia"/>
    <m/>
    <n v="1600000"/>
    <m/>
    <n v="0"/>
    <n v="2625895"/>
    <n v="0"/>
    <n v="0"/>
  </r>
  <r>
    <d v="2026-02-13T00:00:00"/>
    <x v="25"/>
    <s v="Billy Dog"/>
    <s v="Chefibio"/>
    <n v="10000"/>
    <m/>
    <n v="190000"/>
    <n v="0"/>
    <n v="2815895"/>
    <n v="0"/>
    <n v="0"/>
  </r>
  <r>
    <d v="2026-02-13T00:00:00"/>
    <x v="25"/>
    <s v="Billy Dog"/>
    <s v="Chefibio"/>
    <n v="3900"/>
    <m/>
    <n v="74100"/>
    <n v="0"/>
    <n v="2889995"/>
    <n v="0"/>
    <n v="0"/>
  </r>
  <r>
    <d v="2026-02-13T00:00:00"/>
    <x v="25"/>
    <s v="Billy Dog"/>
    <s v="Chefibio"/>
    <n v="9000"/>
    <m/>
    <n v="171000"/>
    <n v="0"/>
    <n v="3060995"/>
    <n v="0"/>
    <n v="0"/>
  </r>
  <r>
    <d v="2026-02-13T00:00:00"/>
    <x v="25"/>
    <s v="Billy Dog"/>
    <s v="Chefibio"/>
    <n v="5000"/>
    <m/>
    <n v="95000"/>
    <n v="0"/>
    <n v="3155995"/>
    <n v="0"/>
    <n v="0"/>
  </r>
  <r>
    <d v="2026-02-13T00:00:00"/>
    <x v="25"/>
    <s v="Billy Dog"/>
    <s v="Chefibio"/>
    <n v="5000"/>
    <m/>
    <n v="95000"/>
    <n v="0"/>
    <n v="3250995"/>
    <n v="0"/>
    <n v="0"/>
  </r>
  <r>
    <d v="2026-02-16T00:00:00"/>
    <x v="25"/>
    <s v="Billy Dog"/>
    <s v="Nuggets"/>
    <n v="400"/>
    <m/>
    <n v="0"/>
    <n v="0"/>
    <n v="3250995"/>
    <n v="0"/>
    <n v="0"/>
  </r>
  <r>
    <d v="2026-02-16T00:00:00"/>
    <x v="25"/>
    <s v="Billy Dog"/>
    <s v="Caja menor"/>
    <m/>
    <n v="40000"/>
    <m/>
    <n v="0"/>
    <n v="3210995"/>
    <n v="0"/>
    <n v="0"/>
  </r>
  <r>
    <d v="2026-02-16T00:00:00"/>
    <x v="25"/>
    <s v="Billy Dog"/>
    <s v="Chefibio"/>
    <n v="6000"/>
    <m/>
    <n v="114000"/>
    <n v="0"/>
    <n v="3324995"/>
    <n v="0"/>
    <n v="0"/>
  </r>
  <r>
    <d v="2026-02-16T00:00:00"/>
    <x v="25"/>
    <s v="Billy Dog"/>
    <s v="Caja menor"/>
    <m/>
    <n v="720000"/>
    <m/>
    <n v="0"/>
    <n v="2604995"/>
    <n v="0"/>
    <n v="0"/>
  </r>
  <r>
    <d v="2026-02-16T00:00:00"/>
    <x v="25"/>
    <s v="Billy Dog"/>
    <s v="Chefibio"/>
    <n v="6000"/>
    <m/>
    <n v="114000"/>
    <n v="0"/>
    <n v="2718995"/>
    <n v="0"/>
    <n v="0"/>
  </r>
  <r>
    <d v="2026-02-16T00:00:00"/>
    <x v="25"/>
    <s v="Billy Dog"/>
    <s v="Caja menor"/>
    <m/>
    <n v="1000000"/>
    <m/>
    <n v="0"/>
    <n v="1718995"/>
    <n v="0"/>
    <n v="0"/>
  </r>
  <r>
    <d v="2026-02-16T00:00:00"/>
    <x v="25"/>
    <s v="Billy Dog"/>
    <s v="Chefibio"/>
    <n v="9000"/>
    <m/>
    <n v="171000"/>
    <n v="0"/>
    <n v="1889995"/>
    <n v="0"/>
    <n v="0"/>
  </r>
  <r>
    <d v="2026-02-16T00:00:00"/>
    <x v="25"/>
    <s v="Billy Dog"/>
    <s v="Chefibio"/>
    <n v="5850"/>
    <m/>
    <n v="111150"/>
    <n v="0"/>
    <n v="2001145"/>
    <n v="0"/>
    <n v="0"/>
  </r>
  <r>
    <d v="2026-02-16T00:00:00"/>
    <x v="25"/>
    <s v="Billy Dog"/>
    <s v="Chefibio"/>
    <n v="5950"/>
    <m/>
    <n v="113050"/>
    <n v="0"/>
    <n v="2114195"/>
    <n v="0"/>
    <n v="0"/>
  </r>
  <r>
    <d v="2026-02-16T00:00:00"/>
    <x v="25"/>
    <s v="Billy Dog"/>
    <s v="Chefibio"/>
    <n v="12000"/>
    <m/>
    <n v="228000"/>
    <n v="0"/>
    <n v="2342195"/>
    <n v="0"/>
    <n v="0"/>
  </r>
  <r>
    <d v="2026-02-16T00:00:00"/>
    <x v="25"/>
    <s v="Billy Dog"/>
    <s v="Chefibio"/>
    <n v="10000"/>
    <m/>
    <n v="190000"/>
    <n v="0"/>
    <n v="2532195"/>
    <n v="0"/>
    <n v="0"/>
  </r>
  <r>
    <d v="2026-02-16T00:00:00"/>
    <x v="25"/>
    <s v="Billy Dog"/>
    <s v="Chefibio"/>
    <n v="2000"/>
    <m/>
    <n v="38000"/>
    <n v="0"/>
    <n v="2570195"/>
    <n v="0"/>
    <n v="0"/>
  </r>
  <r>
    <d v="2026-02-17T00:00:00"/>
    <x v="25"/>
    <s v="Billy Dog"/>
    <s v="Chefibio"/>
    <n v="3000"/>
    <m/>
    <n v="57000"/>
    <n v="0"/>
    <n v="2627195"/>
    <n v="0"/>
    <n v="0"/>
  </r>
  <r>
    <d v="2026-02-18T00:00:00"/>
    <x v="25"/>
    <s v="Billy Dog"/>
    <s v="Chefibio"/>
    <n v="6020"/>
    <m/>
    <n v="114380"/>
    <n v="0"/>
    <n v="2741575"/>
    <n v="0"/>
    <n v="2741575"/>
  </r>
  <r>
    <d v="2026-01-17T00:00:00"/>
    <x v="26"/>
    <s v="Burbujas De Chanel"/>
    <m/>
    <m/>
    <m/>
    <n v="16000"/>
    <n v="0"/>
    <n v="16000"/>
    <n v="0"/>
    <n v="0"/>
  </r>
  <r>
    <d v="2026-01-17T00:00:00"/>
    <x v="26"/>
    <s v="Burbujas De Chanel"/>
    <s v="bancolombia"/>
    <m/>
    <n v="16000"/>
    <m/>
    <n v="0"/>
    <n v="0"/>
    <n v="0"/>
    <n v="0"/>
  </r>
  <r>
    <d v="2026-01-21T00:00:00"/>
    <x v="26"/>
    <s v="Burbujas De Chanel"/>
    <s v="bancolombia"/>
    <m/>
    <n v="88000"/>
    <m/>
    <n v="88000"/>
    <n v="0"/>
    <n v="0"/>
    <n v="0"/>
  </r>
  <r>
    <d v="2026-01-21T00:00:00"/>
    <x v="26"/>
    <s v="Burbujas De Chanel"/>
    <s v="Chefibio"/>
    <n v="4200"/>
    <m/>
    <n v="88000"/>
    <n v="0"/>
    <n v="0"/>
    <n v="0"/>
    <n v="0"/>
  </r>
  <r>
    <d v="2026-01-23T00:00:00"/>
    <x v="26"/>
    <s v="Burbujas De Chanel"/>
    <s v="Chefibio"/>
    <n v="4200"/>
    <m/>
    <n v="88000"/>
    <n v="0"/>
    <n v="88000"/>
    <n v="0"/>
    <n v="0"/>
  </r>
  <r>
    <d v="2026-01-30T00:00:00"/>
    <x v="26"/>
    <s v="Burbujas De Chanel"/>
    <s v="bancolombia"/>
    <m/>
    <n v="88000"/>
    <m/>
    <n v="0"/>
    <n v="0"/>
    <n v="0"/>
    <n v="0"/>
  </r>
  <r>
    <d v="2026-01-30T00:00:00"/>
    <x v="26"/>
    <s v="Burbujas De Chanel"/>
    <s v="Chefibio"/>
    <n v="4200"/>
    <m/>
    <n v="88000"/>
    <n v="0"/>
    <n v="88000"/>
    <n v="0"/>
    <n v="0"/>
  </r>
  <r>
    <d v="2026-01-30T00:00:00"/>
    <x v="26"/>
    <s v="Burbujas De Chanel"/>
    <s v="bancolombia"/>
    <m/>
    <n v="88000"/>
    <m/>
    <n v="0"/>
    <n v="0"/>
    <n v="0"/>
    <n v="0"/>
  </r>
  <r>
    <d v="2026-02-03T00:00:00"/>
    <x v="26"/>
    <s v="Burbujas De Chanel"/>
    <s v="Chefibio"/>
    <n v="6000"/>
    <m/>
    <n v="66000"/>
    <n v="0"/>
    <n v="66000"/>
    <n v="0"/>
    <n v="0"/>
  </r>
  <r>
    <d v="2026-02-03T00:00:00"/>
    <x v="26"/>
    <s v="Burbujas De Chanel"/>
    <s v="Caja menor"/>
    <m/>
    <n v="66000"/>
    <m/>
    <n v="0"/>
    <n v="0"/>
    <n v="0"/>
    <n v="0"/>
  </r>
  <r>
    <d v="2026-02-10T00:00:00"/>
    <x v="26"/>
    <s v="Burbujas De Chanel"/>
    <s v="bancolombia"/>
    <m/>
    <n v="88000"/>
    <m/>
    <n v="88000"/>
    <n v="0"/>
    <n v="0"/>
    <n v="0"/>
  </r>
  <r>
    <d v="2026-02-10T00:00:00"/>
    <x v="26"/>
    <s v="Burbujas De Chanel"/>
    <s v="Chefibio"/>
    <n v="4200"/>
    <m/>
    <n v="88000"/>
    <n v="0"/>
    <n v="0"/>
    <n v="0"/>
    <n v="0"/>
  </r>
  <r>
    <d v="2026-02-17T00:00:00"/>
    <x v="26"/>
    <s v="Burbujas De Chanel"/>
    <s v="Caja menor"/>
    <m/>
    <n v="88000"/>
    <m/>
    <n v="88000"/>
    <n v="0"/>
    <n v="0"/>
    <n v="0"/>
  </r>
  <r>
    <d v="2026-02-17T00:00:00"/>
    <x v="26"/>
    <s v="Burbujas De Chanel"/>
    <s v="Chefibio"/>
    <n v="4200"/>
    <m/>
    <n v="88000"/>
    <n v="0"/>
    <n v="0"/>
    <n v="0"/>
    <n v="0"/>
  </r>
  <r>
    <d v="2026-01-17T00:00:00"/>
    <x v="27"/>
    <s v="Camila Geraldine Velandia Peláez"/>
    <m/>
    <m/>
    <n v="0"/>
    <m/>
    <n v="0"/>
    <n v="0"/>
    <n v="0"/>
    <n v="0"/>
  </r>
  <r>
    <d v="2026-01-17T00:00:00"/>
    <x v="28"/>
    <s v="Camila Moreno Am"/>
    <m/>
    <m/>
    <m/>
    <n v="66000"/>
    <n v="0"/>
    <n v="66000"/>
    <n v="0"/>
    <n v="0"/>
  </r>
  <r>
    <d v="2026-01-29T00:00:00"/>
    <x v="28"/>
    <s v="Camila Moreno Am"/>
    <s v="Chefibio"/>
    <n v="1500"/>
    <m/>
    <n v="37500"/>
    <n v="0"/>
    <n v="103500"/>
    <n v="0"/>
    <n v="0"/>
  </r>
  <r>
    <d v="2026-02-14T00:00:00"/>
    <x v="28"/>
    <s v="Camila Moreno Am"/>
    <s v="bancolombia"/>
    <m/>
    <n v="37500"/>
    <m/>
    <n v="0"/>
    <n v="66000"/>
    <n v="0"/>
    <n v="0"/>
  </r>
  <r>
    <d v="2026-02-17T00:00:00"/>
    <x v="28"/>
    <s v="Camila Moreno Am"/>
    <s v="Chefibio"/>
    <n v="1500"/>
    <m/>
    <n v="37500"/>
    <n v="0"/>
    <n v="103500"/>
    <n v="0"/>
    <n v="103500"/>
  </r>
  <r>
    <d v="2026-01-17T00:00:00"/>
    <x v="29"/>
    <s v="Camila Vásquez Ramón Manchas 100"/>
    <m/>
    <m/>
    <n v="0"/>
    <m/>
    <n v="0"/>
    <n v="0"/>
    <n v="0"/>
    <n v="0"/>
  </r>
  <r>
    <d v="2026-01-19T00:00:00"/>
    <x v="29"/>
    <s v="Camila Vásquez Ramón Manchas 100"/>
    <s v="bancolombia"/>
    <m/>
    <n v="247000"/>
    <m/>
    <n v="247000"/>
    <n v="0"/>
    <n v="0"/>
    <n v="0"/>
  </r>
  <r>
    <d v="2026-01-19T00:00:00"/>
    <x v="29"/>
    <s v="Camila Vásquez Ramón Manchas 100"/>
    <s v="Chefibio"/>
    <n v="4500"/>
    <m/>
    <n v="130500"/>
    <n v="116500"/>
    <n v="0"/>
    <n v="0"/>
    <n v="0"/>
  </r>
  <r>
    <d v="2026-01-19T00:00:00"/>
    <x v="29"/>
    <s v="Camila Vásquez Ramón Panela 90"/>
    <s v="Chefibio"/>
    <n v="4050"/>
    <m/>
    <n v="116500"/>
    <n v="0"/>
    <n v="0"/>
    <n v="0"/>
    <n v="0"/>
  </r>
  <r>
    <d v="2026-02-02T00:00:00"/>
    <x v="29"/>
    <s v="Camila Vásquez Ramón Manchas 100"/>
    <s v="bancolombia"/>
    <m/>
    <n v="247000"/>
    <m/>
    <n v="247000"/>
    <n v="0"/>
    <n v="0"/>
    <n v="0"/>
  </r>
  <r>
    <d v="2026-02-02T00:00:00"/>
    <x v="29"/>
    <s v="Camila Vásquez Ramón Manchas 100"/>
    <s v="Chefibio"/>
    <n v="4500"/>
    <m/>
    <n v="130500"/>
    <n v="116500"/>
    <n v="0"/>
    <n v="0"/>
    <n v="0"/>
  </r>
  <r>
    <d v="2026-02-02T00:00:00"/>
    <x v="29"/>
    <s v="Camila Vásquez Ramón Panela 90"/>
    <s v="Chefibio"/>
    <n v="4050"/>
    <m/>
    <n v="116500"/>
    <n v="0"/>
    <n v="0"/>
    <n v="0"/>
    <n v="0"/>
  </r>
  <r>
    <d v="2026-02-18T00:00:00"/>
    <x v="29"/>
    <s v="Camila Vásquez Ramón Manchas 100"/>
    <s v="Chefibio"/>
    <n v="4500"/>
    <m/>
    <n v="135000"/>
    <n v="0"/>
    <n v="135000"/>
    <n v="0"/>
    <n v="0"/>
  </r>
  <r>
    <d v="2026-02-18T00:00:00"/>
    <x v="29"/>
    <s v="Camila Vásquez Ramón Panela 90"/>
    <s v="Chefibio"/>
    <n v="4050"/>
    <m/>
    <n v="121500"/>
    <n v="0"/>
    <n v="256500"/>
    <n v="0"/>
    <n v="256500"/>
  </r>
  <r>
    <d v="2026-01-26T00:00:00"/>
    <x v="30"/>
    <s v="Carlos Alberto Rodriguez Sandoval"/>
    <s v="Chefibio"/>
    <n v="4500"/>
    <m/>
    <n v="162000"/>
    <n v="0"/>
    <n v="162000"/>
    <n v="0"/>
    <n v="0"/>
  </r>
  <r>
    <d v="2026-01-30T00:00:00"/>
    <x v="30"/>
    <s v="Carlos Alberto Rodriguez Sandoval"/>
    <s v="bancolombia"/>
    <m/>
    <n v="162000"/>
    <m/>
    <n v="0"/>
    <n v="0"/>
    <n v="0"/>
    <n v="0"/>
  </r>
  <r>
    <d v="2026-02-16T00:00:00"/>
    <x v="30"/>
    <s v="Carlos Alberto Rodriguez Sandoval"/>
    <s v="Chefibio"/>
    <n v="4500"/>
    <m/>
    <n v="162000"/>
    <n v="0"/>
    <n v="162000"/>
    <n v="0"/>
    <n v="162000"/>
  </r>
  <r>
    <d v="2026-01-22T00:00:00"/>
    <x v="31"/>
    <s v="Carlos Makauslan"/>
    <s v="Nuggets"/>
    <n v="500"/>
    <m/>
    <n v="35000"/>
    <n v="0"/>
    <n v="35000"/>
    <n v="0"/>
    <n v="0"/>
  </r>
  <r>
    <d v="2026-01-22T00:00:00"/>
    <x v="31"/>
    <s v="Carlos Makauslan"/>
    <s v="Chefibio"/>
    <n v="7950"/>
    <m/>
    <n v="238500"/>
    <n v="0"/>
    <n v="273500"/>
    <n v="0"/>
    <n v="0"/>
  </r>
  <r>
    <d v="2026-01-31T00:00:00"/>
    <x v="31"/>
    <s v="Carlos Makauslan"/>
    <s v="bancolombia"/>
    <m/>
    <n v="273500"/>
    <m/>
    <n v="0"/>
    <n v="0"/>
    <n v="0"/>
    <n v="0"/>
  </r>
  <r>
    <d v="2026-02-04T00:00:00"/>
    <x v="31"/>
    <s v="Carlos Makauslan"/>
    <s v="Chefibio"/>
    <n v="3975"/>
    <m/>
    <n v="119250"/>
    <n v="0"/>
    <n v="119250"/>
    <n v="0"/>
    <n v="0"/>
  </r>
  <r>
    <d v="2026-02-04T00:00:00"/>
    <x v="31"/>
    <s v="Carlos Makauslan"/>
    <s v="bancolombia"/>
    <m/>
    <n v="238500"/>
    <m/>
    <n v="119250"/>
    <n v="0"/>
    <n v="0"/>
    <n v="0"/>
  </r>
  <r>
    <d v="2026-02-05T00:00:00"/>
    <x v="31"/>
    <s v="Carlos Makauslan"/>
    <s v="Nuggets"/>
    <n v="400"/>
    <m/>
    <n v="19000"/>
    <n v="100250"/>
    <n v="0"/>
    <n v="0"/>
    <n v="0"/>
  </r>
  <r>
    <d v="2026-02-05T00:00:00"/>
    <x v="31"/>
    <s v="Carlos Makauslan"/>
    <s v="Chefibio"/>
    <n v="3975"/>
    <m/>
    <n v="119250"/>
    <n v="0"/>
    <n v="19000"/>
    <n v="0"/>
    <n v="19000"/>
  </r>
  <r>
    <d v="2026-01-19T00:00:00"/>
    <x v="32"/>
    <s v="Carolina Bueno"/>
    <s v="bancolombia"/>
    <m/>
    <n v="168000"/>
    <m/>
    <n v="168000"/>
    <n v="0"/>
    <n v="0"/>
    <n v="0"/>
  </r>
  <r>
    <d v="2026-01-19T00:00:00"/>
    <x v="32"/>
    <s v="Carolina Bueno"/>
    <s v="Chefibio"/>
    <n v="6000"/>
    <m/>
    <n v="168000"/>
    <n v="0"/>
    <n v="0"/>
    <n v="0"/>
    <n v="0"/>
  </r>
  <r>
    <d v="2026-02-16T00:00:00"/>
    <x v="32"/>
    <s v="Carolina Bueno"/>
    <s v="bancolombia"/>
    <m/>
    <n v="168000"/>
    <m/>
    <n v="168000"/>
    <n v="0"/>
    <n v="0"/>
    <n v="0"/>
  </r>
  <r>
    <d v="2026-02-16T00:00:00"/>
    <x v="32"/>
    <s v="Carolina Bueno"/>
    <s v="Chefibio"/>
    <n v="6000"/>
    <m/>
    <n v="168000"/>
    <n v="0"/>
    <n v="0"/>
    <n v="0"/>
    <n v="0"/>
  </r>
  <r>
    <d v="2026-01-17T00:00:00"/>
    <x v="33"/>
    <s v="Carolina Castro Kiara Bosa"/>
    <m/>
    <m/>
    <n v="0"/>
    <m/>
    <n v="0"/>
    <n v="0"/>
    <n v="0"/>
    <n v="0"/>
  </r>
  <r>
    <d v="2026-01-23T00:00:00"/>
    <x v="33"/>
    <s v="Carolina Castro Kiara Bosa"/>
    <s v="Caja menor"/>
    <m/>
    <n v="148500"/>
    <m/>
    <n v="148500"/>
    <n v="0"/>
    <n v="0"/>
    <n v="0"/>
  </r>
  <r>
    <d v="2026-01-23T00:00:00"/>
    <x v="33"/>
    <s v="Carolina Castro Kiara Bosa"/>
    <s v="Chefibio"/>
    <n v="4950"/>
    <m/>
    <n v="148500"/>
    <n v="0"/>
    <n v="0"/>
    <n v="0"/>
    <n v="0"/>
  </r>
  <r>
    <d v="2026-02-18T00:00:00"/>
    <x v="33"/>
    <s v="Carolina Castro Kiara Bosa"/>
    <s v="bancolombia"/>
    <m/>
    <n v="50000"/>
    <m/>
    <n v="50000"/>
    <n v="0"/>
    <n v="0"/>
    <n v="0"/>
  </r>
  <r>
    <d v="2026-02-18T00:00:00"/>
    <x v="33"/>
    <s v="Carolina Castro Toby Castilla"/>
    <s v="Nuggets"/>
    <n v="500"/>
    <m/>
    <n v="50000"/>
    <n v="0"/>
    <n v="0"/>
    <n v="0"/>
    <n v="0"/>
  </r>
  <r>
    <d v="2026-01-19T00:00:00"/>
    <x v="34"/>
    <s v="Cesar Monsalve 110"/>
    <s v="Chefibio"/>
    <n v="2310"/>
    <m/>
    <n v="0"/>
    <n v="0"/>
    <n v="0"/>
    <n v="0"/>
    <n v="0"/>
  </r>
  <r>
    <d v="2026-01-19T00:00:00"/>
    <x v="34"/>
    <s v="Cesar Monsalve 240"/>
    <s v="Chefibio"/>
    <n v="5040"/>
    <m/>
    <n v="0"/>
    <n v="0"/>
    <n v="0"/>
    <n v="0"/>
    <n v="0"/>
  </r>
  <r>
    <d v="2026-01-30T00:00:00"/>
    <x v="34"/>
    <s v="Cesar Monsalve 110"/>
    <s v="Chefibio"/>
    <n v="2400"/>
    <m/>
    <n v="0"/>
    <n v="0"/>
    <n v="0"/>
    <n v="0"/>
    <n v="0"/>
  </r>
  <r>
    <d v="2026-01-30T00:00:00"/>
    <x v="34"/>
    <s v="Cesar Monsalve 240"/>
    <s v="Chefibio"/>
    <n v="7500"/>
    <m/>
    <n v="0"/>
    <n v="0"/>
    <n v="0"/>
    <n v="0"/>
    <n v="0"/>
  </r>
  <r>
    <d v="2026-02-10T00:00:00"/>
    <x v="34"/>
    <s v="Cesar Monsalve 110"/>
    <s v="Chefibio"/>
    <n v="3600"/>
    <m/>
    <n v="0"/>
    <n v="0"/>
    <n v="0"/>
    <n v="0"/>
    <n v="0"/>
  </r>
  <r>
    <d v="2026-02-10T00:00:00"/>
    <x v="34"/>
    <s v="Cesar Monsalve 240"/>
    <s v="Chefibio"/>
    <n v="7500"/>
    <m/>
    <n v="0"/>
    <n v="0"/>
    <n v="0"/>
    <n v="0"/>
    <n v="0"/>
  </r>
  <r>
    <d v="2026-01-17T00:00:00"/>
    <x v="35"/>
    <s v="Christian Camilo Torres Cabezas"/>
    <m/>
    <m/>
    <m/>
    <n v="75600"/>
    <n v="0"/>
    <n v="75600"/>
    <n v="0"/>
    <n v="0"/>
  </r>
  <r>
    <d v="2026-01-17T00:00:00"/>
    <x v="35"/>
    <s v="Christian Camilo Torres Cabezas"/>
    <m/>
    <m/>
    <n v="0"/>
    <m/>
    <n v="0"/>
    <n v="75600"/>
    <n v="0"/>
    <n v="0"/>
  </r>
  <r>
    <d v="2026-01-17T00:00:00"/>
    <x v="35"/>
    <s v="Christian Camilo Torres Cabezas"/>
    <s v="bancolombia"/>
    <m/>
    <n v="75600"/>
    <m/>
    <n v="0"/>
    <n v="0"/>
    <n v="0"/>
    <n v="0"/>
  </r>
  <r>
    <d v="2026-01-30T00:00:00"/>
    <x v="35"/>
    <s v="Christian Camilo Torres Cabezas"/>
    <s v="bancolombia"/>
    <m/>
    <n v="75600"/>
    <m/>
    <n v="75600"/>
    <n v="0"/>
    <n v="0"/>
    <n v="0"/>
  </r>
  <r>
    <d v="2026-01-30T00:00:00"/>
    <x v="35"/>
    <s v="Christian Camilo Torres Cabezas"/>
    <s v="Chefibio"/>
    <n v="1800"/>
    <m/>
    <n v="75600"/>
    <n v="0"/>
    <n v="0"/>
    <n v="0"/>
    <n v="0"/>
  </r>
  <r>
    <d v="2026-02-13T00:00:00"/>
    <x v="35"/>
    <s v="Christian Camilo Torres Cabezas"/>
    <s v="Chefibio"/>
    <n v="1800"/>
    <m/>
    <n v="75600"/>
    <n v="0"/>
    <n v="75600"/>
    <n v="0"/>
    <n v="0"/>
  </r>
  <r>
    <d v="2026-02-16T00:00:00"/>
    <x v="35"/>
    <s v="Christian Camilo Torres Cabezas"/>
    <s v="bancolombia"/>
    <m/>
    <n v="69100"/>
    <m/>
    <n v="0"/>
    <n v="6500"/>
    <n v="0"/>
    <n v="6500"/>
  </r>
  <r>
    <d v="2026-01-20T00:00:00"/>
    <x v="36"/>
    <s v="Christian Gerena"/>
    <s v="Chefibio"/>
    <n v="3300"/>
    <m/>
    <n v="120267"/>
    <n v="0"/>
    <n v="120267"/>
    <n v="0"/>
    <n v="0"/>
  </r>
  <r>
    <d v="2026-01-20T00:00:00"/>
    <x v="36"/>
    <s v="Christian Gerena"/>
    <s v="Chefibio"/>
    <n v="3450"/>
    <m/>
    <n v="125733"/>
    <n v="0"/>
    <n v="246000"/>
    <n v="0"/>
    <n v="0"/>
  </r>
  <r>
    <d v="2026-01-21T00:00:00"/>
    <x v="36"/>
    <s v="Christian Gerena"/>
    <s v="bancolombia"/>
    <m/>
    <n v="246000"/>
    <m/>
    <n v="0"/>
    <n v="0"/>
    <n v="0"/>
    <n v="0"/>
  </r>
  <r>
    <d v="2026-02-09T00:00:00"/>
    <x v="36"/>
    <s v="Christian Gerena"/>
    <s v="Chefibio"/>
    <n v="3450"/>
    <m/>
    <n v="125733"/>
    <n v="0"/>
    <n v="125733"/>
    <n v="0"/>
    <n v="0"/>
  </r>
  <r>
    <d v="2026-02-09T00:00:00"/>
    <x v="36"/>
    <s v="Christian Gerena"/>
    <s v="Chefibio"/>
    <n v="3300"/>
    <m/>
    <n v="120267"/>
    <n v="0"/>
    <n v="246000"/>
    <n v="0"/>
    <n v="0"/>
  </r>
  <r>
    <d v="2026-02-18T00:00:00"/>
    <x v="36"/>
    <s v="Christian Gerena"/>
    <s v="bancolombia"/>
    <m/>
    <n v="246000"/>
    <m/>
    <n v="0"/>
    <n v="0"/>
    <n v="0"/>
    <n v="0"/>
  </r>
  <r>
    <d v="2026-01-17T00:00:00"/>
    <x v="37"/>
    <s v="Claudia Patricia Alaguna"/>
    <m/>
    <m/>
    <m/>
    <n v="174000"/>
    <n v="0"/>
    <n v="174000"/>
    <n v="0"/>
    <n v="0"/>
  </r>
  <r>
    <d v="2026-01-29T00:00:00"/>
    <x v="37"/>
    <s v="Claudia Patricia Alaguna"/>
    <s v="Chefibio"/>
    <n v="4500"/>
    <m/>
    <n v="130500"/>
    <n v="0"/>
    <n v="304500"/>
    <n v="0"/>
    <n v="0"/>
  </r>
  <r>
    <d v="2026-01-29T00:00:00"/>
    <x v="37"/>
    <s v="Claudia Patricia Alaguna Gato "/>
    <s v="Chefibio"/>
    <n v="1500"/>
    <m/>
    <n v="43500"/>
    <n v="0"/>
    <n v="348000"/>
    <n v="0"/>
    <n v="0"/>
  </r>
  <r>
    <d v="2026-02-03T00:00:00"/>
    <x v="37"/>
    <s v="Claudia Patricia Alaguna"/>
    <s v="bancolombia"/>
    <m/>
    <n v="348000"/>
    <m/>
    <n v="0"/>
    <n v="0"/>
    <n v="0"/>
    <n v="0"/>
  </r>
  <r>
    <d v="2026-02-13T00:00:00"/>
    <x v="37"/>
    <s v="Claudia Patricia Alaguna"/>
    <s v="Chefibio"/>
    <n v="4500"/>
    <m/>
    <n v="130500"/>
    <n v="0"/>
    <n v="130500"/>
    <n v="0"/>
    <n v="0"/>
  </r>
  <r>
    <d v="2026-02-13T00:00:00"/>
    <x v="37"/>
    <s v="Claudia Patricia Alaguna Gato "/>
    <s v="Chefibio"/>
    <n v="1500"/>
    <m/>
    <n v="43500"/>
    <n v="0"/>
    <n v="174000"/>
    <n v="0"/>
    <n v="174000"/>
  </r>
  <r>
    <d v="2026-01-18T00:00:00"/>
    <x v="38"/>
    <s v="Daniel Latorre"/>
    <s v="Chefibio"/>
    <n v="8100"/>
    <m/>
    <n v="210600"/>
    <n v="0"/>
    <n v="210600"/>
    <n v="0"/>
    <n v="0"/>
  </r>
  <r>
    <d v="2026-01-21T00:00:00"/>
    <x v="38"/>
    <s v="Daniel Latorre"/>
    <s v="bancolombia"/>
    <m/>
    <n v="210600"/>
    <m/>
    <n v="0"/>
    <n v="0"/>
    <n v="0"/>
    <n v="0"/>
  </r>
  <r>
    <d v="2026-02-02T00:00:00"/>
    <x v="38"/>
    <s v="Daniel Latorre"/>
    <s v="Chefibio"/>
    <n v="8100"/>
    <m/>
    <n v="210600"/>
    <n v="0"/>
    <n v="210600"/>
    <n v="0"/>
    <n v="0"/>
  </r>
  <r>
    <d v="2026-02-05T00:00:00"/>
    <x v="38"/>
    <s v="Daniel Latorre"/>
    <s v="bancolombia"/>
    <m/>
    <n v="210600"/>
    <m/>
    <n v="0"/>
    <n v="0"/>
    <n v="0"/>
    <n v="0"/>
  </r>
  <r>
    <d v="2026-02-17T00:00:00"/>
    <x v="38"/>
    <s v="Daniel Latorre"/>
    <s v="Chefibio"/>
    <n v="8100"/>
    <m/>
    <n v="210600"/>
    <n v="0"/>
    <n v="210600"/>
    <n v="0"/>
    <n v="210600"/>
  </r>
  <r>
    <d v="2026-01-19T00:00:00"/>
    <x v="39"/>
    <s v="Daniel Orlando García Celeita Mocca"/>
    <s v="Chefibio"/>
    <n v="12600"/>
    <m/>
    <n v="340200"/>
    <n v="0"/>
    <n v="340200"/>
    <n v="0"/>
    <n v="0"/>
  </r>
  <r>
    <d v="2026-01-21T00:00:00"/>
    <x v="39"/>
    <s v="Daniel Orlando García Celeita Mocca"/>
    <s v="Davivienda"/>
    <m/>
    <n v="340200"/>
    <m/>
    <n v="0"/>
    <n v="0"/>
    <n v="0"/>
    <n v="0"/>
  </r>
  <r>
    <d v="2026-02-03T00:00:00"/>
    <x v="39"/>
    <s v="Daniel Orlando García Celeita Mocca"/>
    <s v="Chefibio"/>
    <n v="12600"/>
    <m/>
    <n v="340200"/>
    <n v="0"/>
    <n v="340200"/>
    <n v="0"/>
    <n v="0"/>
  </r>
  <r>
    <d v="2026-02-06T00:00:00"/>
    <x v="39"/>
    <s v="Daniel Orlando García Celeita Mocca"/>
    <s v="bancolombia"/>
    <m/>
    <n v="305200"/>
    <m/>
    <n v="0"/>
    <n v="35000"/>
    <n v="0"/>
    <n v="0"/>
  </r>
  <r>
    <d v="2026-02-18T00:00:00"/>
    <x v="39"/>
    <s v="Daniel Orlando García Celeita Mocca"/>
    <s v="Chefibio"/>
    <n v="3220"/>
    <m/>
    <n v="86940"/>
    <n v="0"/>
    <n v="121940"/>
    <n v="0"/>
    <n v="0"/>
  </r>
  <r>
    <d v="2026-02-18T00:00:00"/>
    <x v="39"/>
    <s v="Daniel Orlando García Celeita Mocca"/>
    <s v="Chefibio"/>
    <n v="3080"/>
    <m/>
    <n v="83160"/>
    <n v="0"/>
    <n v="205100"/>
    <n v="0"/>
    <n v="0"/>
  </r>
  <r>
    <d v="2026-02-18T00:00:00"/>
    <x v="39"/>
    <s v="Daniel Orlando García Celeita Natan"/>
    <s v="Chefibio"/>
    <n v="3220"/>
    <m/>
    <n v="86940"/>
    <n v="0"/>
    <n v="292040"/>
    <n v="0"/>
    <n v="0"/>
  </r>
  <r>
    <d v="2026-02-18T00:00:00"/>
    <x v="39"/>
    <s v="Daniel Orlando García Celeita Natan"/>
    <s v="Chefibio"/>
    <n v="3080"/>
    <m/>
    <n v="83160"/>
    <n v="0"/>
    <n v="375200"/>
    <n v="0"/>
    <n v="375200"/>
  </r>
  <r>
    <d v="2026-01-17T00:00:00"/>
    <x v="40"/>
    <s v="Daniel Valencia"/>
    <m/>
    <m/>
    <m/>
    <n v="99000"/>
    <n v="0"/>
    <n v="99000"/>
    <n v="0"/>
    <n v="0"/>
  </r>
  <r>
    <d v="2026-01-19T00:00:00"/>
    <x v="40"/>
    <s v="Daniel Valencia"/>
    <s v="bancolombia"/>
    <m/>
    <n v="99000"/>
    <m/>
    <n v="0"/>
    <n v="0"/>
    <n v="0"/>
    <n v="0"/>
  </r>
  <r>
    <d v="2026-01-29T00:00:00"/>
    <x v="40"/>
    <s v="Daniel Valencia"/>
    <s v="Caja menor"/>
    <m/>
    <n v="99500"/>
    <m/>
    <n v="99500"/>
    <n v="0"/>
    <n v="0"/>
    <n v="0"/>
  </r>
  <r>
    <d v="2026-01-29T00:00:00"/>
    <x v="40"/>
    <s v="Daniel Valencia"/>
    <s v="Chefibio"/>
    <n v="3300"/>
    <m/>
    <n v="99500"/>
    <n v="0"/>
    <n v="0"/>
    <n v="0"/>
    <n v="0"/>
  </r>
  <r>
    <d v="2026-02-16T00:00:00"/>
    <x v="40"/>
    <s v="Daniel Valencia"/>
    <s v="Chefibio"/>
    <n v="3300"/>
    <m/>
    <n v="99500"/>
    <n v="0"/>
    <n v="99500"/>
    <n v="0"/>
    <n v="0"/>
  </r>
  <r>
    <d v="2026-02-16T00:00:00"/>
    <x v="40"/>
    <s v="Daniel Valencia"/>
    <s v="Caja menor"/>
    <m/>
    <n v="99500"/>
    <m/>
    <n v="0"/>
    <n v="0"/>
    <n v="0"/>
    <n v="0"/>
  </r>
  <r>
    <d v="2026-01-17T00:00:00"/>
    <x v="41"/>
    <s v="Daniela Ortiz"/>
    <m/>
    <m/>
    <m/>
    <n v="97200"/>
    <n v="0"/>
    <n v="97200"/>
    <n v="0"/>
    <n v="0"/>
  </r>
  <r>
    <d v="2026-01-19T00:00:00"/>
    <x v="41"/>
    <s v="Daniela Ortiz"/>
    <s v="Chefibio"/>
    <n v="3360"/>
    <m/>
    <n v="104400"/>
    <n v="0"/>
    <n v="201600"/>
    <n v="0"/>
    <n v="0"/>
  </r>
  <r>
    <d v="2026-01-19T00:00:00"/>
    <x v="41"/>
    <s v="Daniela Ortiz"/>
    <s v="Datafono"/>
    <m/>
    <n v="201600"/>
    <m/>
    <n v="0"/>
    <n v="0"/>
    <n v="0"/>
    <n v="0"/>
  </r>
  <r>
    <d v="2026-01-30T00:00:00"/>
    <x v="41"/>
    <s v="Daniela Ortiz"/>
    <s v="Chefibio"/>
    <n v="6160"/>
    <m/>
    <n v="184800"/>
    <n v="0"/>
    <n v="184800"/>
    <n v="0"/>
    <n v="0"/>
  </r>
  <r>
    <d v="2026-02-05T00:00:00"/>
    <x v="41"/>
    <s v="Daniela Ortiz"/>
    <s v="Datafono"/>
    <m/>
    <n v="184800"/>
    <m/>
    <n v="0"/>
    <n v="0"/>
    <n v="0"/>
    <n v="0"/>
  </r>
  <r>
    <d v="2026-02-12T00:00:00"/>
    <x v="41"/>
    <s v="Daniela Ortiz"/>
    <s v="Datafono"/>
    <m/>
    <n v="184800"/>
    <m/>
    <n v="184800"/>
    <n v="0"/>
    <n v="0"/>
    <n v="0"/>
  </r>
  <r>
    <d v="2026-02-12T00:00:00"/>
    <x v="41"/>
    <s v="Daniela Ortiz"/>
    <s v="Chefibio"/>
    <n v="880"/>
    <m/>
    <n v="0"/>
    <n v="184800"/>
    <n v="0"/>
    <n v="0"/>
    <n v="0"/>
  </r>
  <r>
    <d v="2026-02-12T00:00:00"/>
    <x v="41"/>
    <s v="Daniela Ortiz"/>
    <s v="Chefibio"/>
    <n v="6160"/>
    <m/>
    <n v="184800"/>
    <n v="0"/>
    <n v="0"/>
    <n v="0"/>
    <n v="0"/>
  </r>
  <r>
    <d v="2026-01-26T00:00:00"/>
    <x v="42"/>
    <s v="Darly Duarte"/>
    <s v="Chefibio"/>
    <n v="3720"/>
    <m/>
    <n v="159600"/>
    <n v="0"/>
    <n v="159600"/>
    <n v="0"/>
    <n v="0"/>
  </r>
  <r>
    <d v="2026-02-03T00:00:00"/>
    <x v="42"/>
    <s v="Darly Duarte"/>
    <s v="bancolombia"/>
    <m/>
    <n v="160000"/>
    <m/>
    <n v="400"/>
    <n v="0"/>
    <n v="400"/>
    <n v="0"/>
  </r>
  <r>
    <d v="2026-01-19T00:00:00"/>
    <x v="43"/>
    <s v="David Bermudez"/>
    <s v="Chefibio"/>
    <n v="4800"/>
    <m/>
    <n v="182400"/>
    <n v="0"/>
    <n v="182400"/>
    <n v="0"/>
    <n v="0"/>
  </r>
  <r>
    <d v="2026-01-19T00:00:00"/>
    <x v="43"/>
    <s v="David Bermudez"/>
    <s v="bancolombia"/>
    <m/>
    <n v="182400"/>
    <m/>
    <n v="0"/>
    <n v="0"/>
    <n v="0"/>
    <n v="0"/>
  </r>
  <r>
    <d v="2026-02-03T00:00:00"/>
    <x v="43"/>
    <s v="David Bermudez"/>
    <s v="Chefibio"/>
    <n v="4800"/>
    <m/>
    <n v="182400"/>
    <n v="0"/>
    <n v="182400"/>
    <n v="0"/>
    <n v="0"/>
  </r>
  <r>
    <d v="2026-02-03T00:00:00"/>
    <x v="43"/>
    <s v="David Bermudez"/>
    <s v="bancolombia"/>
    <m/>
    <n v="182400"/>
    <m/>
    <n v="0"/>
    <n v="0"/>
    <n v="0"/>
    <n v="0"/>
  </r>
  <r>
    <d v="2026-01-17T00:00:00"/>
    <x v="44"/>
    <s v="David Max"/>
    <m/>
    <m/>
    <m/>
    <n v="484000"/>
    <n v="0"/>
    <n v="484000"/>
    <n v="0"/>
    <n v="0"/>
  </r>
  <r>
    <d v="2026-01-23T00:00:00"/>
    <x v="44"/>
    <s v="David Max"/>
    <s v="Chefibio"/>
    <n v="4500"/>
    <m/>
    <n v="157500"/>
    <n v="0"/>
    <n v="641500"/>
    <n v="0"/>
    <n v="0"/>
  </r>
  <r>
    <d v="2026-02-10T00:00:00"/>
    <x v="44"/>
    <s v="David Max"/>
    <s v="Chefibio"/>
    <n v="4500"/>
    <m/>
    <n v="157500"/>
    <n v="0"/>
    <n v="799000"/>
    <n v="0"/>
    <n v="799000"/>
  </r>
  <r>
    <d v="2026-02-03T00:00:00"/>
    <x v="45"/>
    <s v="Diana Constanza Ruiz"/>
    <s v="Chefibio"/>
    <n v="5400"/>
    <m/>
    <n v="172500"/>
    <n v="0"/>
    <n v="172500"/>
    <n v="0"/>
    <n v="0"/>
  </r>
  <r>
    <d v="2026-02-04T00:00:00"/>
    <x v="45"/>
    <s v="Diana Constanza Ruiz"/>
    <s v="bancolombia"/>
    <m/>
    <n v="161000"/>
    <m/>
    <n v="0"/>
    <n v="11500"/>
    <n v="0"/>
    <n v="0"/>
  </r>
  <r>
    <d v="2026-02-13T00:00:00"/>
    <x v="45"/>
    <s v="Diana Constanza Ruiz"/>
    <s v="bancolombia"/>
    <m/>
    <n v="304300"/>
    <m/>
    <n v="292800"/>
    <n v="0"/>
    <n v="0"/>
    <n v="0"/>
  </r>
  <r>
    <d v="2026-02-13T00:00:00"/>
    <x v="45"/>
    <s v="Diana Constanza Ruiz"/>
    <s v="Chefibio"/>
    <n v="5040"/>
    <m/>
    <n v="161000"/>
    <n v="131800"/>
    <n v="0"/>
    <n v="0"/>
    <n v="0"/>
  </r>
  <r>
    <d v="2026-02-13T00:00:00"/>
    <x v="45"/>
    <s v="Diana Constanza Ruiz"/>
    <s v="Nuggets"/>
    <n v="200"/>
    <m/>
    <n v="0"/>
    <n v="131800"/>
    <n v="0"/>
    <n v="131800"/>
    <n v="0"/>
  </r>
  <r>
    <d v="2026-01-19T00:00:00"/>
    <x v="46"/>
    <s v="Diana Guzmán Ruiz"/>
    <s v="Chefibio"/>
    <n v="3000"/>
    <m/>
    <n v="114000"/>
    <n v="0"/>
    <n v="114000"/>
    <n v="0"/>
    <n v="0"/>
  </r>
  <r>
    <d v="2026-01-19T00:00:00"/>
    <x v="46"/>
    <s v="Diana Guzmán Ruiz"/>
    <s v="bancolombia"/>
    <m/>
    <n v="114000"/>
    <m/>
    <n v="0"/>
    <n v="0"/>
    <n v="0"/>
    <n v="0"/>
  </r>
  <r>
    <d v="2026-02-02T00:00:00"/>
    <x v="46"/>
    <s v="Diana Guzmán Ruiz"/>
    <s v="Caja menor"/>
    <m/>
    <n v="119400"/>
    <m/>
    <n v="119400"/>
    <n v="0"/>
    <n v="0"/>
    <n v="0"/>
  </r>
  <r>
    <d v="2026-02-02T00:00:00"/>
    <x v="46"/>
    <s v="Diana Guzmán Ruiz"/>
    <s v="Chefibio"/>
    <n v="3000"/>
    <m/>
    <n v="126000"/>
    <n v="0"/>
    <n v="6600"/>
    <n v="0"/>
    <n v="0"/>
  </r>
  <r>
    <d v="2026-02-02T00:00:00"/>
    <x v="46"/>
    <s v="Diana Guzmán Ruiz"/>
    <s v="bancolombia"/>
    <m/>
    <n v="120000"/>
    <m/>
    <n v="113400"/>
    <n v="0"/>
    <n v="0"/>
    <n v="0"/>
  </r>
  <r>
    <d v="2026-02-17T00:00:00"/>
    <x v="46"/>
    <s v="Diana Guzmán Ruiz"/>
    <s v="bancolombia"/>
    <m/>
    <n v="120000"/>
    <m/>
    <n v="233400"/>
    <n v="0"/>
    <n v="0"/>
    <n v="0"/>
  </r>
  <r>
    <d v="2026-02-17T00:00:00"/>
    <x v="46"/>
    <s v="Diana Guzmán Ruiz"/>
    <s v="Chefibio"/>
    <n v="3000"/>
    <m/>
    <n v="126000"/>
    <n v="107400"/>
    <n v="0"/>
    <n v="107400"/>
    <n v="0"/>
  </r>
  <r>
    <d v="2026-01-21T00:00:00"/>
    <x v="47"/>
    <s v="Diana Maria Guzman Becerra"/>
    <s v="Chefibio"/>
    <n v="3150"/>
    <m/>
    <n v="119400"/>
    <n v="0"/>
    <n v="119400"/>
    <n v="0"/>
    <n v="0"/>
  </r>
  <r>
    <d v="2026-01-21T00:00:00"/>
    <x v="47"/>
    <s v="Diana Maria Guzman Becerra"/>
    <s v="bancolombia"/>
    <m/>
    <n v="119400"/>
    <m/>
    <n v="0"/>
    <n v="0"/>
    <n v="0"/>
    <n v="0"/>
  </r>
  <r>
    <d v="2026-02-02T00:00:00"/>
    <x v="47"/>
    <s v="Diana Maria Guzman Becerra"/>
    <s v="Chefibio"/>
    <n v="3150"/>
    <m/>
    <n v="119400"/>
    <n v="0"/>
    <n v="119400"/>
    <n v="0"/>
    <n v="0"/>
  </r>
  <r>
    <d v="2026-02-18T00:00:00"/>
    <x v="47"/>
    <s v="Diana Maria Guzman Becerra"/>
    <s v="Chefibio"/>
    <n v="3150"/>
    <m/>
    <n v="119400"/>
    <n v="0"/>
    <n v="238800"/>
    <n v="0"/>
    <n v="238800"/>
  </r>
  <r>
    <d v="2026-01-30T00:00:00"/>
    <x v="48"/>
    <s v="Diana Tejedor"/>
    <s v="Chefibio"/>
    <n v="9000"/>
    <m/>
    <n v="225000"/>
    <n v="0"/>
    <n v="225000"/>
    <n v="0"/>
    <n v="0"/>
  </r>
  <r>
    <d v="2026-02-02T00:00:00"/>
    <x v="48"/>
    <s v="Diana Tejedor"/>
    <s v="bancolombia"/>
    <m/>
    <n v="225000"/>
    <m/>
    <n v="0"/>
    <n v="0"/>
    <n v="0"/>
    <n v="0"/>
  </r>
  <r>
    <d v="2026-02-12T00:00:00"/>
    <x v="48"/>
    <s v="Diana Tejedor"/>
    <s v="Chefibio"/>
    <n v="9000"/>
    <m/>
    <n v="225000"/>
    <n v="0"/>
    <n v="225000"/>
    <n v="0"/>
    <n v="0"/>
  </r>
  <r>
    <d v="2026-02-15T00:00:00"/>
    <x v="48"/>
    <s v="Diana Tejedor"/>
    <s v="bancolombia"/>
    <m/>
    <n v="225000"/>
    <m/>
    <n v="0"/>
    <n v="0"/>
    <n v="0"/>
    <n v="0"/>
  </r>
  <r>
    <d v="2026-01-17T00:00:00"/>
    <x v="49"/>
    <s v="Diana Zambrano 180"/>
    <m/>
    <m/>
    <m/>
    <n v="582800"/>
    <n v="0"/>
    <n v="582800"/>
    <n v="0"/>
    <n v="0"/>
  </r>
  <r>
    <d v="2026-01-30T00:00:00"/>
    <x v="49"/>
    <s v="Diana Zambrano 180"/>
    <s v="Chefibio"/>
    <n v="5400"/>
    <m/>
    <n v="118800"/>
    <n v="0"/>
    <n v="701600"/>
    <n v="0"/>
    <n v="0"/>
  </r>
  <r>
    <d v="2026-01-30T00:00:00"/>
    <x v="49"/>
    <s v="Diana Zambrano 300 Violeta"/>
    <s v="Chefibio"/>
    <n v="9000"/>
    <m/>
    <n v="198000"/>
    <n v="0"/>
    <n v="899600"/>
    <n v="0"/>
    <n v="0"/>
  </r>
  <r>
    <d v="2026-01-30T00:00:00"/>
    <x v="49"/>
    <s v="Diana Zambrano 350"/>
    <s v="Chefibio"/>
    <n v="10500"/>
    <m/>
    <n v="231000"/>
    <n v="0"/>
    <n v="1130600"/>
    <n v="0"/>
    <n v="0"/>
  </r>
  <r>
    <d v="2026-02-15T00:00:00"/>
    <x v="49"/>
    <s v="Diana Zambrano 180"/>
    <s v="bancolombia"/>
    <m/>
    <n v="1130000"/>
    <m/>
    <n v="0"/>
    <n v="600"/>
    <n v="0"/>
    <n v="0"/>
  </r>
  <r>
    <d v="2026-02-16T00:00:00"/>
    <x v="49"/>
    <s v="Diana Zambrano 180"/>
    <s v="Chefibio"/>
    <n v="5400"/>
    <m/>
    <n v="138275"/>
    <n v="0"/>
    <n v="138875"/>
    <n v="0"/>
    <n v="0"/>
  </r>
  <r>
    <d v="2026-02-16T00:00:00"/>
    <x v="49"/>
    <s v="Diana Zambrano 300 Violeta"/>
    <s v="Chefibio"/>
    <n v="9000"/>
    <m/>
    <n v="230458"/>
    <n v="0"/>
    <n v="369333"/>
    <n v="0"/>
    <n v="0"/>
  </r>
  <r>
    <d v="2026-02-16T00:00:00"/>
    <x v="49"/>
    <s v="Diana Zambrano 350"/>
    <s v="Nuggets"/>
    <n v="500"/>
    <m/>
    <n v="40000"/>
    <n v="0"/>
    <n v="409333"/>
    <n v="0"/>
    <n v="0"/>
  </r>
  <r>
    <d v="2026-02-16T00:00:00"/>
    <x v="49"/>
    <s v="Diana Zambrano 350"/>
    <s v="Chefibio"/>
    <n v="10500"/>
    <m/>
    <n v="268867"/>
    <n v="0"/>
    <n v="678200"/>
    <n v="0"/>
    <n v="678200"/>
  </r>
  <r>
    <d v="2026-01-26T00:00:00"/>
    <x v="50"/>
    <s v="Dog Sano Adriana Del Pilar Romero Cortés"/>
    <s v="bancolombia"/>
    <m/>
    <n v="141000"/>
    <m/>
    <n v="141000"/>
    <n v="0"/>
    <n v="0"/>
    <n v="0"/>
  </r>
  <r>
    <d v="2026-01-26T00:00:00"/>
    <x v="50"/>
    <s v="Dog Sano Adriana Del Pilar Romero Cortés"/>
    <s v="Chefibio"/>
    <n v="2520"/>
    <m/>
    <n v="94000"/>
    <n v="47000"/>
    <n v="0"/>
    <n v="0"/>
    <n v="0"/>
  </r>
  <r>
    <d v="2026-02-11T00:00:00"/>
    <x v="50"/>
    <s v="Dog Sano Adriana Del Pilar Romero Cortés"/>
    <s v="Chefibio"/>
    <n v="3780"/>
    <m/>
    <n v="141000"/>
    <n v="0"/>
    <n v="94000"/>
    <n v="0"/>
    <n v="0"/>
  </r>
  <r>
    <d v="2026-02-11T00:00:00"/>
    <x v="50"/>
    <s v="Dog Sano Adriana Del Pilar Romero Cortés"/>
    <s v="bancolombia"/>
    <m/>
    <n v="141000"/>
    <m/>
    <n v="47000"/>
    <n v="0"/>
    <n v="47000"/>
    <n v="0"/>
  </r>
  <r>
    <d v="2026-01-23T00:00:00"/>
    <x v="51"/>
    <s v="Dog Sano Carolina Ayala"/>
    <s v="Chefibio"/>
    <n v="1080"/>
    <m/>
    <n v="59400"/>
    <n v="0"/>
    <n v="59400"/>
    <n v="0"/>
    <n v="0"/>
  </r>
  <r>
    <d v="2026-01-30T00:00:00"/>
    <x v="51"/>
    <s v="Dog Sano Carolina Ayala"/>
    <s v="bancolombia"/>
    <m/>
    <n v="59400"/>
    <m/>
    <n v="0"/>
    <n v="0"/>
    <n v="0"/>
    <n v="0"/>
  </r>
  <r>
    <d v="2026-02-06T00:00:00"/>
    <x v="51"/>
    <s v="Dog Sano Carolina Ayala"/>
    <s v="Chefibio"/>
    <n v="1080"/>
    <m/>
    <n v="59400"/>
    <n v="0"/>
    <n v="59400"/>
    <n v="0"/>
    <n v="0"/>
  </r>
  <r>
    <d v="2026-02-16T00:00:00"/>
    <x v="51"/>
    <s v="Dog Sano Carolina Ayala"/>
    <s v="bancolombia"/>
    <m/>
    <n v="59440"/>
    <m/>
    <n v="40"/>
    <n v="0"/>
    <n v="40"/>
    <n v="0"/>
  </r>
  <r>
    <d v="2026-01-17T00:00:00"/>
    <x v="52"/>
    <s v="Dog Sano Gisela Ortiz"/>
    <m/>
    <m/>
    <n v="0"/>
    <m/>
    <n v="0"/>
    <n v="0"/>
    <n v="0"/>
    <n v="0"/>
  </r>
  <r>
    <d v="2026-01-17T00:00:00"/>
    <x v="52"/>
    <s v="Dog Sano Gisela Ortiz"/>
    <m/>
    <m/>
    <m/>
    <n v="81000"/>
    <n v="0"/>
    <n v="81000"/>
    <n v="0"/>
    <n v="0"/>
  </r>
  <r>
    <d v="2026-01-17T00:00:00"/>
    <x v="52"/>
    <s v="Dog Sano Gisela Ortiz"/>
    <s v="bancolombia"/>
    <m/>
    <n v="81000"/>
    <m/>
    <n v="0"/>
    <n v="0"/>
    <n v="0"/>
    <n v="0"/>
  </r>
  <r>
    <d v="2026-01-30T00:00:00"/>
    <x v="52"/>
    <s v="Dog Sano Gisela Ortiz"/>
    <s v="Chefibio"/>
    <n v="1650"/>
    <m/>
    <n v="81000"/>
    <n v="0"/>
    <n v="81000"/>
    <n v="0"/>
    <n v="0"/>
  </r>
  <r>
    <d v="2026-02-02T00:00:00"/>
    <x v="52"/>
    <s v="Dog Sano Gisela Ortiz"/>
    <s v="bancolombia"/>
    <m/>
    <n v="80000"/>
    <m/>
    <n v="0"/>
    <n v="1000"/>
    <n v="0"/>
    <n v="0"/>
  </r>
  <r>
    <d v="2026-02-16T00:00:00"/>
    <x v="52"/>
    <s v="Dog Sano Gisela Ortiz"/>
    <s v="Chefibio"/>
    <n v="1650"/>
    <m/>
    <n v="81000"/>
    <n v="0"/>
    <n v="82000"/>
    <n v="0"/>
    <n v="82000"/>
  </r>
  <r>
    <d v="2026-01-23T00:00:00"/>
    <x v="53"/>
    <s v="Dog Sano Janeth Eslava Garcia 170"/>
    <s v="bancolombia"/>
    <m/>
    <n v="94000"/>
    <m/>
    <n v="94000"/>
    <n v="0"/>
    <n v="0"/>
    <n v="0"/>
  </r>
  <r>
    <d v="2026-01-23T00:00:00"/>
    <x v="53"/>
    <s v="Dog Sano Janeth Eslava Garcia 170"/>
    <s v="Chefibio"/>
    <n v="2380"/>
    <m/>
    <n v="94000"/>
    <n v="0"/>
    <n v="0"/>
    <n v="0"/>
    <n v="0"/>
  </r>
  <r>
    <d v="2026-01-30T00:00:00"/>
    <x v="53"/>
    <s v="Dog Sano Janeth Eslava Garcia 170"/>
    <s v="Chefibio"/>
    <n v="2720"/>
    <m/>
    <n v="107429"/>
    <n v="0"/>
    <n v="107429"/>
    <n v="0"/>
    <n v="0"/>
  </r>
  <r>
    <d v="2026-02-16T00:00:00"/>
    <x v="53"/>
    <s v="Dog Sano Janeth Eslava Garcia 170"/>
    <s v="bancolombia"/>
    <m/>
    <n v="94000"/>
    <m/>
    <n v="0"/>
    <n v="13429"/>
    <n v="0"/>
    <n v="0"/>
  </r>
  <r>
    <d v="2026-02-16T00:00:00"/>
    <x v="53"/>
    <s v="Dog Sano Janeth Eslava Garcia 170"/>
    <s v="Chefibio"/>
    <n v="2380"/>
    <m/>
    <n v="94000"/>
    <n v="0"/>
    <n v="107429"/>
    <n v="0"/>
    <n v="107429"/>
  </r>
  <r>
    <d v="2026-01-21T00:00:00"/>
    <x v="54"/>
    <s v="Dog Sano Jeferson Pardo Ospina"/>
    <s v="Chefibio"/>
    <n v="3180"/>
    <m/>
    <n v="124500"/>
    <n v="0"/>
    <n v="124500"/>
    <n v="0"/>
    <n v="0"/>
  </r>
  <r>
    <d v="2026-01-27T00:00:00"/>
    <x v="54"/>
    <s v="Dog Sano Jeferson Pardo Ospina"/>
    <s v="bancolombia"/>
    <m/>
    <n v="124500"/>
    <m/>
    <n v="0"/>
    <n v="0"/>
    <n v="0"/>
    <n v="0"/>
  </r>
  <r>
    <d v="2026-02-05T00:00:00"/>
    <x v="54"/>
    <s v="Dog Sano Jeferson Pardo Ospina"/>
    <s v="Nuggets"/>
    <n v="2000"/>
    <m/>
    <n v="78302"/>
    <n v="0"/>
    <n v="78302"/>
    <n v="0"/>
    <n v="0"/>
  </r>
  <r>
    <d v="2026-02-05T00:00:00"/>
    <x v="54"/>
    <s v="Dog Sano Jeferson Pardo Ospina"/>
    <s v="Chefibio"/>
    <n v="3180"/>
    <m/>
    <n v="124500"/>
    <n v="0"/>
    <n v="202802"/>
    <n v="0"/>
    <n v="0"/>
  </r>
  <r>
    <d v="2026-02-09T00:00:00"/>
    <x v="54"/>
    <s v="Dog Sano Jeferson Pardo Ospina"/>
    <s v="bancolombia"/>
    <m/>
    <n v="181500"/>
    <m/>
    <n v="0"/>
    <n v="21302"/>
    <n v="0"/>
    <n v="21302"/>
  </r>
  <r>
    <d v="2026-01-22T00:00:00"/>
    <x v="55"/>
    <s v="Dog Sano Johan Mora"/>
    <s v="Chefibio"/>
    <n v="6000"/>
    <m/>
    <n v="216000"/>
    <n v="0"/>
    <n v="216000"/>
    <n v="0"/>
    <n v="0"/>
  </r>
  <r>
    <d v="2026-01-23T00:00:00"/>
    <x v="55"/>
    <s v="Dog Sano Johan Mora"/>
    <s v="Datafono"/>
    <m/>
    <n v="216000"/>
    <m/>
    <n v="0"/>
    <n v="0"/>
    <n v="0"/>
    <n v="0"/>
  </r>
  <r>
    <d v="2026-02-06T00:00:00"/>
    <x v="55"/>
    <s v="Dog Sano Johan Mora"/>
    <s v="Chefibio"/>
    <n v="6000"/>
    <m/>
    <n v="216000"/>
    <n v="0"/>
    <n v="216000"/>
    <n v="0"/>
    <n v="216000"/>
  </r>
  <r>
    <d v="2026-01-17T00:00:00"/>
    <x v="56"/>
    <s v="Dog Sano Karol Nerieth Leon Blue 205"/>
    <m/>
    <m/>
    <m/>
    <n v="170100"/>
    <n v="0"/>
    <n v="170100"/>
    <n v="0"/>
    <n v="0"/>
  </r>
  <r>
    <d v="2026-01-19T00:00:00"/>
    <x v="56"/>
    <s v="Dog Sano Karol Nerieth Leon Blue 205"/>
    <s v="Chefibio"/>
    <n v="4305"/>
    <m/>
    <n v="141320"/>
    <n v="0"/>
    <n v="311420"/>
    <n v="0"/>
    <n v="0"/>
  </r>
  <r>
    <d v="2026-01-19T00:00:00"/>
    <x v="56"/>
    <s v="Dog Sano Karol Nerieth Leon Blue 205"/>
    <s v="Datafono"/>
    <m/>
    <n v="170100"/>
    <m/>
    <n v="0"/>
    <n v="141320"/>
    <n v="0"/>
    <n v="0"/>
  </r>
  <r>
    <d v="2026-01-19T00:00:00"/>
    <x v="56"/>
    <s v="Dog Sano Karol Nerieth Leon Blue 205"/>
    <s v="Datafono"/>
    <m/>
    <n v="255100"/>
    <m/>
    <n v="113780"/>
    <n v="0"/>
    <n v="0"/>
    <n v="0"/>
  </r>
  <r>
    <d v="2026-01-19T00:00:00"/>
    <x v="56"/>
    <s v="Dog Sano Karol Nerieth Leon Jacobo 165"/>
    <s v="Chefibio"/>
    <n v="3465"/>
    <m/>
    <n v="113780"/>
    <n v="0"/>
    <n v="0"/>
    <n v="0"/>
    <n v="0"/>
  </r>
  <r>
    <d v="2026-01-29T00:00:00"/>
    <x v="56"/>
    <s v="Dog Sano Karol Nerieth Leon Blue 205"/>
    <s v="Chefibio"/>
    <n v="3075"/>
    <m/>
    <n v="100974"/>
    <n v="0"/>
    <n v="100974"/>
    <n v="0"/>
    <n v="0"/>
  </r>
  <r>
    <d v="2026-01-29T00:00:00"/>
    <x v="56"/>
    <s v="Dog Sano Karol Nerieth Leon Jacobo 165"/>
    <s v="Chefibio"/>
    <n v="2475"/>
    <m/>
    <n v="81272"/>
    <n v="0"/>
    <n v="182246"/>
    <n v="0"/>
    <n v="0"/>
  </r>
  <r>
    <d v="2026-02-05T00:00:00"/>
    <x v="56"/>
    <s v="Dog Sano Karol Nerieth Leon Blue 205"/>
    <s v="Chefibio"/>
    <n v="3075"/>
    <m/>
    <n v="100974"/>
    <n v="0"/>
    <n v="283220"/>
    <n v="0"/>
    <n v="0"/>
  </r>
  <r>
    <d v="2026-02-05T00:00:00"/>
    <x v="56"/>
    <s v="Dog Sano Karol Nerieth Leon Jacobo 165"/>
    <s v="Chefibio"/>
    <n v="2475"/>
    <m/>
    <n v="81272"/>
    <n v="0"/>
    <n v="364492"/>
    <n v="0"/>
    <n v="0"/>
  </r>
  <r>
    <d v="2026-02-12T00:00:00"/>
    <x v="56"/>
    <s v="Dog Sano Karol Nerieth Leon Blue 205"/>
    <s v="Chefibio"/>
    <n v="3075"/>
    <m/>
    <n v="100974"/>
    <n v="0"/>
    <n v="465466"/>
    <n v="0"/>
    <n v="0"/>
  </r>
  <r>
    <d v="2026-02-12T00:00:00"/>
    <x v="56"/>
    <s v="Dog Sano Karol Nerieth Leon Jacobo 165"/>
    <s v="Chefibio"/>
    <n v="2475"/>
    <m/>
    <n v="81272"/>
    <n v="0"/>
    <n v="546738"/>
    <n v="0"/>
    <n v="0"/>
  </r>
  <r>
    <d v="2026-02-16T00:00:00"/>
    <x v="56"/>
    <s v="Dog Sano Karol Nerieth Leon Blue 205"/>
    <s v="Datafono"/>
    <m/>
    <n v="563900"/>
    <m/>
    <n v="17162"/>
    <n v="0"/>
    <n v="17162"/>
    <n v="0"/>
  </r>
  <r>
    <d v="2026-01-20T00:00:00"/>
    <x v="57"/>
    <s v="Dog Sano Paola Acosta"/>
    <s v="bancolombia"/>
    <m/>
    <n v="85700"/>
    <m/>
    <n v="85700"/>
    <n v="0"/>
    <n v="0"/>
    <n v="0"/>
  </r>
  <r>
    <d v="2026-01-20T00:00:00"/>
    <x v="57"/>
    <s v="Dog Sano Paola Acosta"/>
    <s v="Chefibio"/>
    <n v="2380"/>
    <m/>
    <n v="85700"/>
    <n v="0"/>
    <n v="0"/>
    <n v="0"/>
    <n v="0"/>
  </r>
  <r>
    <d v="2026-01-20T00:00:00"/>
    <x v="57"/>
    <s v="Dog Sano Paola Acosta"/>
    <s v="Nuggets"/>
    <n v="200"/>
    <m/>
    <m/>
    <n v="0"/>
    <n v="0"/>
    <n v="0"/>
    <n v="0"/>
  </r>
  <r>
    <d v="2026-02-06T00:00:00"/>
    <x v="57"/>
    <s v="Dog Sano Paola Acosta"/>
    <s v="bancolombia"/>
    <m/>
    <n v="104700"/>
    <m/>
    <n v="104700"/>
    <n v="0"/>
    <n v="0"/>
    <n v="0"/>
  </r>
  <r>
    <d v="2026-02-06T00:00:00"/>
    <x v="57"/>
    <s v="Dog Sano Paola Acosta"/>
    <s v="Nuggets"/>
    <n v="400"/>
    <m/>
    <n v="19000"/>
    <n v="85700"/>
    <n v="0"/>
    <n v="0"/>
    <n v="0"/>
  </r>
  <r>
    <d v="2026-02-06T00:00:00"/>
    <x v="57"/>
    <s v="Dog Sano Paola Acosta"/>
    <s v="Chefibio"/>
    <n v="2380"/>
    <m/>
    <n v="85680"/>
    <n v="20"/>
    <n v="0"/>
    <n v="20"/>
    <n v="0"/>
  </r>
  <r>
    <d v="2026-01-17T00:00:00"/>
    <x v="58"/>
    <s v="Dog Sano Pet O Vet"/>
    <m/>
    <m/>
    <m/>
    <n v="871100"/>
    <n v="0"/>
    <n v="871100"/>
    <n v="0"/>
    <n v="0"/>
  </r>
  <r>
    <d v="2026-01-21T00:00:00"/>
    <x v="58"/>
    <s v="Dog Sano Pet O Vet"/>
    <s v="bancolombia"/>
    <m/>
    <n v="500000"/>
    <m/>
    <n v="0"/>
    <n v="371100"/>
    <n v="0"/>
    <n v="0"/>
  </r>
  <r>
    <d v="2026-01-21T00:00:00"/>
    <x v="58"/>
    <s v="Dog Sano Pet O Vet"/>
    <s v="Chefibio"/>
    <n v="16000"/>
    <m/>
    <n v="352000"/>
    <n v="0"/>
    <n v="723100"/>
    <n v="0"/>
    <n v="0"/>
  </r>
  <r>
    <d v="2026-01-23T00:00:00"/>
    <x v="58"/>
    <s v="Dog Sano Pet O Vet"/>
    <s v="bancolombia"/>
    <m/>
    <n v="400000"/>
    <m/>
    <n v="0"/>
    <n v="323100"/>
    <n v="0"/>
    <n v="0"/>
  </r>
  <r>
    <d v="2026-01-24T00:00:00"/>
    <x v="58"/>
    <s v="Dog Sano Pet O Vet"/>
    <s v="Chefibio"/>
    <n v="16000"/>
    <m/>
    <n v="352000"/>
    <n v="0"/>
    <n v="675100"/>
    <n v="0"/>
    <n v="0"/>
  </r>
  <r>
    <d v="2026-01-24T00:00:00"/>
    <x v="58"/>
    <s v="Dog Sano Pet O Vet"/>
    <s v="Chefibio"/>
    <n v="8000"/>
    <m/>
    <n v="176000"/>
    <n v="0"/>
    <n v="851100"/>
    <n v="0"/>
    <n v="0"/>
  </r>
  <r>
    <d v="2026-01-30T00:00:00"/>
    <x v="58"/>
    <s v="Dog Sano Pet O Vet"/>
    <s v="Chefibio"/>
    <n v="24000"/>
    <m/>
    <n v="528000"/>
    <n v="0"/>
    <n v="1379100"/>
    <n v="0"/>
    <n v="0"/>
  </r>
  <r>
    <d v="2026-02-02T00:00:00"/>
    <x v="58"/>
    <s v="Dog Sano Pet O Vet"/>
    <s v="Referido"/>
    <m/>
    <n v="921114"/>
    <m/>
    <n v="0"/>
    <n v="457986"/>
    <n v="0"/>
    <n v="0"/>
  </r>
  <r>
    <d v="2026-02-04T00:00:00"/>
    <x v="58"/>
    <s v="Dog Sano Pet O Vet"/>
    <s v="Chefibio"/>
    <n v="8000"/>
    <m/>
    <n v="176000"/>
    <n v="0"/>
    <n v="633986"/>
    <n v="0"/>
    <n v="0"/>
  </r>
  <r>
    <d v="2026-02-04T00:00:00"/>
    <x v="58"/>
    <s v="Dog Sano Pet O Vet"/>
    <s v="Chefibio"/>
    <n v="16000"/>
    <m/>
    <n v="352000"/>
    <n v="0"/>
    <n v="985986"/>
    <n v="0"/>
    <n v="0"/>
  </r>
  <r>
    <d v="2026-02-12T00:00:00"/>
    <x v="58"/>
    <s v="Dog Sano Pet O Vet"/>
    <s v="bancolombia"/>
    <m/>
    <n v="400000"/>
    <m/>
    <n v="0"/>
    <n v="585986"/>
    <n v="0"/>
    <n v="0"/>
  </r>
  <r>
    <d v="2026-02-13T00:00:00"/>
    <x v="58"/>
    <s v="Dog Sano Pet O Vet"/>
    <s v="Chefibio"/>
    <n v="16000"/>
    <m/>
    <n v="352000"/>
    <n v="0"/>
    <n v="937986"/>
    <n v="0"/>
    <n v="0"/>
  </r>
  <r>
    <d v="2026-02-13T00:00:00"/>
    <x v="58"/>
    <s v="Dog Sano Pet O Vet"/>
    <s v="Chefibio"/>
    <n v="6000"/>
    <m/>
    <n v="132000"/>
    <n v="0"/>
    <n v="1069986"/>
    <n v="0"/>
    <n v="0"/>
  </r>
  <r>
    <d v="2026-02-18T00:00:00"/>
    <x v="58"/>
    <s v="Dog Sano Pet O Vet"/>
    <s v="bancolombia"/>
    <m/>
    <n v="600000"/>
    <m/>
    <n v="0"/>
    <n v="469986"/>
    <n v="0"/>
    <n v="469986"/>
  </r>
  <r>
    <d v="2026-01-27T00:00:00"/>
    <x v="59"/>
    <s v="Dog Sano Sharon Gissel Ramírez Silva"/>
    <s v="Chefibio"/>
    <n v="5850"/>
    <m/>
    <n v="222300"/>
    <n v="0"/>
    <n v="222300"/>
    <n v="0"/>
    <n v="0"/>
  </r>
  <r>
    <d v="2026-01-27T00:00:00"/>
    <x v="59"/>
    <s v="Dog Sano Sharon Gissel Ramírez Silva"/>
    <s v="bancolombia"/>
    <m/>
    <n v="222300"/>
    <m/>
    <n v="0"/>
    <n v="0"/>
    <n v="0"/>
    <n v="0"/>
  </r>
  <r>
    <d v="2026-02-10T00:00:00"/>
    <x v="59"/>
    <s v="Dog Sano Sharon Gissel Ramírez Silva"/>
    <s v="bancolombia"/>
    <m/>
    <n v="222300"/>
    <m/>
    <n v="222300"/>
    <n v="0"/>
    <n v="0"/>
    <n v="0"/>
  </r>
  <r>
    <d v="2026-02-10T00:00:00"/>
    <x v="59"/>
    <s v="Dog Sano Sharon Gissel Ramírez Silva"/>
    <s v="Chefibio"/>
    <n v="5850"/>
    <m/>
    <n v="222300"/>
    <n v="0"/>
    <n v="0"/>
    <n v="0"/>
    <n v="0"/>
  </r>
  <r>
    <d v="2026-01-17T00:00:00"/>
    <x v="60"/>
    <s v="Dog Sano Suanny Cando Coky"/>
    <m/>
    <m/>
    <n v="180580"/>
    <m/>
    <n v="180580"/>
    <n v="0"/>
    <n v="0"/>
    <n v="0"/>
  </r>
  <r>
    <d v="2026-01-17T00:00:00"/>
    <x v="60"/>
    <s v="Dog Sano Suanny Cando Coky"/>
    <m/>
    <m/>
    <m/>
    <n v="338580"/>
    <n v="0"/>
    <n v="158000"/>
    <n v="0"/>
    <n v="0"/>
  </r>
  <r>
    <d v="2026-01-17T00:00:00"/>
    <x v="60"/>
    <s v="Dog Sano Suanny Cando Teo "/>
    <s v="bancolombia"/>
    <m/>
    <n v="158000"/>
    <m/>
    <n v="0"/>
    <n v="0"/>
    <n v="0"/>
    <n v="0"/>
  </r>
  <r>
    <d v="2026-02-02T00:00:00"/>
    <x v="60"/>
    <s v="Dog Sano Suanny Cando Coky"/>
    <s v="Chefibio"/>
    <n v="4730"/>
    <m/>
    <n v="122980"/>
    <n v="0"/>
    <n v="122980"/>
    <n v="0"/>
    <n v="0"/>
  </r>
  <r>
    <d v="2026-02-02T00:00:00"/>
    <x v="60"/>
    <s v="Dog Sano Suanny Cando Coky"/>
    <s v="bancolombia"/>
    <m/>
    <n v="586872"/>
    <m/>
    <n v="463892"/>
    <n v="0"/>
    <n v="0"/>
    <n v="0"/>
  </r>
  <r>
    <d v="2026-02-02T00:00:00"/>
    <x v="60"/>
    <s v="Dog Sano Suanny Cando Frida"/>
    <s v="Chefibio"/>
    <n v="2750"/>
    <m/>
    <n v="71500"/>
    <n v="392392"/>
    <n v="0"/>
    <n v="0"/>
    <n v="0"/>
  </r>
  <r>
    <d v="2026-02-02T00:00:00"/>
    <x v="60"/>
    <s v="Dog Sano Suanny Cando Luna"/>
    <s v="Chefibio"/>
    <n v="1650"/>
    <m/>
    <n v="42900"/>
    <n v="349492"/>
    <n v="0"/>
    <n v="0"/>
    <n v="0"/>
  </r>
  <r>
    <d v="2026-02-02T00:00:00"/>
    <x v="60"/>
    <s v="Dog Sano Suanny Cando Sol"/>
    <s v="Chefibio"/>
    <n v="1496"/>
    <m/>
    <n v="38896"/>
    <n v="310596"/>
    <n v="0"/>
    <n v="0"/>
    <n v="0"/>
  </r>
  <r>
    <d v="2026-02-02T00:00:00"/>
    <x v="60"/>
    <s v="Dog Sano Suanny Cando Teo "/>
    <s v="Chefibio"/>
    <n v="660"/>
    <m/>
    <n v="17160"/>
    <n v="293436"/>
    <n v="0"/>
    <n v="0"/>
    <n v="0"/>
  </r>
  <r>
    <d v="2026-02-12T00:00:00"/>
    <x v="60"/>
    <s v="Dog Sano Suanny Cando Coky"/>
    <s v="Chefibio"/>
    <n v="4730"/>
    <m/>
    <n v="122980"/>
    <n v="170456"/>
    <n v="0"/>
    <n v="0"/>
    <n v="0"/>
  </r>
  <r>
    <d v="2026-02-12T00:00:00"/>
    <x v="60"/>
    <s v="Dog Sano Suanny Cando Frida"/>
    <s v="Chefibio"/>
    <n v="2750"/>
    <m/>
    <n v="71500"/>
    <n v="98956"/>
    <n v="0"/>
    <n v="0"/>
    <n v="0"/>
  </r>
  <r>
    <d v="2026-02-12T00:00:00"/>
    <x v="60"/>
    <s v="Dog Sano Suanny Cando Luna"/>
    <s v="Chefibio"/>
    <n v="1650"/>
    <m/>
    <n v="42900"/>
    <n v="56056"/>
    <n v="0"/>
    <n v="0"/>
    <n v="0"/>
  </r>
  <r>
    <d v="2026-02-12T00:00:00"/>
    <x v="60"/>
    <s v="Dog Sano Suanny Cando Sol"/>
    <s v="Chefibio"/>
    <n v="1496"/>
    <m/>
    <n v="38896"/>
    <n v="17160"/>
    <n v="0"/>
    <n v="0"/>
    <n v="0"/>
  </r>
  <r>
    <d v="2026-02-12T00:00:00"/>
    <x v="60"/>
    <s v="Dog Sano Suanny Cando Teo "/>
    <s v="Chefibio"/>
    <n v="660"/>
    <m/>
    <n v="17160"/>
    <n v="0"/>
    <n v="0"/>
    <n v="0"/>
    <n v="0"/>
  </r>
  <r>
    <d v="2026-01-27T00:00:00"/>
    <x v="61"/>
    <s v="Dog Sano Yina Rios Akamaru"/>
    <s v="Datafono"/>
    <m/>
    <n v="426400"/>
    <m/>
    <n v="426400"/>
    <n v="0"/>
    <n v="0"/>
    <n v="0"/>
  </r>
  <r>
    <d v="2026-01-29T00:00:00"/>
    <x v="61"/>
    <s v="Dog Sano Yina Rios Akamaru"/>
    <s v="Chefibio"/>
    <n v="10350"/>
    <m/>
    <n v="256100"/>
    <n v="170300"/>
    <n v="0"/>
    <n v="0"/>
    <n v="0"/>
  </r>
  <r>
    <d v="2026-01-29T00:00:00"/>
    <x v="61"/>
    <s v="Dog Sano Yina Rios Bolt"/>
    <s v="Chefibio"/>
    <n v="1950"/>
    <m/>
    <n v="83300"/>
    <n v="87000"/>
    <n v="0"/>
    <n v="0"/>
    <n v="0"/>
  </r>
  <r>
    <d v="2026-01-29T00:00:00"/>
    <x v="61"/>
    <s v="Dog Sano Yina Rios Polar"/>
    <s v="Chefibio"/>
    <n v="2250"/>
    <m/>
    <n v="87000"/>
    <n v="0"/>
    <n v="0"/>
    <n v="0"/>
    <n v="0"/>
  </r>
  <r>
    <d v="2026-01-29T00:00:00"/>
    <x v="61"/>
    <s v="Dog Sano Yina Rios Polar"/>
    <s v="Nuggets"/>
    <n v="200"/>
    <m/>
    <n v="19000"/>
    <n v="0"/>
    <n v="19000"/>
    <n v="0"/>
    <n v="0"/>
  </r>
  <r>
    <d v="2026-02-13T00:00:00"/>
    <x v="61"/>
    <s v="Dog Sano Yina Rios Akamaru"/>
    <s v="Chefibio"/>
    <n v="10350"/>
    <m/>
    <n v="256100"/>
    <n v="0"/>
    <n v="275100"/>
    <n v="0"/>
    <n v="0"/>
  </r>
  <r>
    <d v="2026-02-13T00:00:00"/>
    <x v="61"/>
    <s v="Dog Sano Yina Rios Bolt"/>
    <s v="Chefibio"/>
    <n v="1950"/>
    <m/>
    <n v="83300"/>
    <n v="0"/>
    <n v="358400"/>
    <n v="0"/>
    <n v="0"/>
  </r>
  <r>
    <d v="2026-02-13T00:00:00"/>
    <x v="61"/>
    <s v="Dog Sano Yina Rios Polar"/>
    <s v="Chefibio"/>
    <n v="2250"/>
    <m/>
    <n v="87000"/>
    <n v="0"/>
    <n v="445400"/>
    <n v="0"/>
    <n v="0"/>
  </r>
  <r>
    <d v="2026-02-16T00:00:00"/>
    <x v="61"/>
    <s v="Dog Sano Yina Rios Akamaru"/>
    <s v="Datafono"/>
    <m/>
    <n v="426400"/>
    <m/>
    <n v="0"/>
    <n v="19000"/>
    <n v="0"/>
    <n v="19000"/>
  </r>
  <r>
    <d v="2026-01-17T00:00:00"/>
    <x v="62"/>
    <s v="Doggy Lunch Camila Roma"/>
    <m/>
    <m/>
    <m/>
    <n v="24300"/>
    <n v="0"/>
    <n v="24300"/>
    <n v="0"/>
    <n v="0"/>
  </r>
  <r>
    <d v="2026-01-19T00:00:00"/>
    <x v="62"/>
    <s v="Doggy Lunch Camila Roma"/>
    <s v="Chefibio"/>
    <n v="4860"/>
    <m/>
    <n v="106950"/>
    <n v="0"/>
    <n v="131250"/>
    <n v="0"/>
    <n v="0"/>
  </r>
  <r>
    <d v="2026-01-20T00:00:00"/>
    <x v="62"/>
    <s v="Doggy Lunch Camila Roma"/>
    <s v="bancolombia"/>
    <m/>
    <n v="131250"/>
    <m/>
    <n v="0"/>
    <n v="0"/>
    <n v="0"/>
    <n v="0"/>
  </r>
  <r>
    <d v="2026-02-02T00:00:00"/>
    <x v="62"/>
    <s v="Doggy Lunch Camila Roma"/>
    <s v="Chefibio"/>
    <n v="6075"/>
    <m/>
    <n v="133650"/>
    <n v="0"/>
    <n v="133650"/>
    <n v="0"/>
    <n v="0"/>
  </r>
  <r>
    <d v="2026-02-16T00:00:00"/>
    <x v="62"/>
    <s v="Doggy Lunch Camila Roma"/>
    <s v="bancolombia"/>
    <m/>
    <n v="133650"/>
    <m/>
    <n v="0"/>
    <n v="0"/>
    <n v="0"/>
    <n v="0"/>
  </r>
  <r>
    <d v="2026-01-29T00:00:00"/>
    <x v="63"/>
    <s v="Doggy Lunch Dora Gomez"/>
    <s v="Chefibio"/>
    <n v="2520"/>
    <m/>
    <n v="55400"/>
    <n v="0"/>
    <n v="55400"/>
    <n v="0"/>
    <n v="0"/>
  </r>
  <r>
    <d v="2026-01-30T00:00:00"/>
    <x v="63"/>
    <s v="Doggy Lunch Dora Gomez"/>
    <s v="bancolombia"/>
    <m/>
    <n v="55400"/>
    <m/>
    <n v="0"/>
    <n v="0"/>
    <n v="0"/>
    <n v="0"/>
  </r>
  <r>
    <d v="2026-02-12T00:00:00"/>
    <x v="63"/>
    <s v="Doggy Lunch Dora Gomez"/>
    <s v="bancolombia"/>
    <m/>
    <n v="55400"/>
    <m/>
    <n v="55400"/>
    <n v="0"/>
    <n v="0"/>
    <n v="0"/>
  </r>
  <r>
    <d v="2026-02-12T00:00:00"/>
    <x v="63"/>
    <s v="Doggy Lunch Dora Gomez"/>
    <s v="Chefibio"/>
    <n v="2520"/>
    <m/>
    <n v="55400"/>
    <n v="0"/>
    <n v="0"/>
    <n v="0"/>
    <n v="0"/>
  </r>
  <r>
    <d v="2026-01-19T00:00:00"/>
    <x v="64"/>
    <s v="Doggy Lunch Fabián Restrepo"/>
    <s v="bancolombia"/>
    <m/>
    <n v="76500"/>
    <m/>
    <n v="76500"/>
    <n v="0"/>
    <n v="0"/>
    <n v="0"/>
  </r>
  <r>
    <d v="2026-01-19T00:00:00"/>
    <x v="64"/>
    <s v="Doggy Lunch Fabián Restrepo"/>
    <s v="Chefibio"/>
    <n v="3480"/>
    <m/>
    <n v="76500"/>
    <n v="0"/>
    <n v="0"/>
    <n v="0"/>
    <n v="0"/>
  </r>
  <r>
    <d v="2026-02-03T00:00:00"/>
    <x v="64"/>
    <s v="Doggy Lunch Fabián Restrepo"/>
    <s v="Chefibio"/>
    <n v="3480"/>
    <m/>
    <n v="76500"/>
    <n v="0"/>
    <n v="76500"/>
    <n v="0"/>
    <n v="0"/>
  </r>
  <r>
    <d v="2026-02-05T00:00:00"/>
    <x v="64"/>
    <s v="Doggy Lunch Fabián Restrepo"/>
    <s v="bancolombia"/>
    <m/>
    <n v="57500"/>
    <m/>
    <n v="0"/>
    <n v="19000"/>
    <n v="0"/>
    <n v="0"/>
  </r>
  <r>
    <d v="2026-02-05T00:00:00"/>
    <x v="64"/>
    <s v="Doggy Lunch Fabián Restrepo"/>
    <s v="Referido"/>
    <m/>
    <n v="19000"/>
    <m/>
    <n v="0"/>
    <n v="0"/>
    <n v="0"/>
    <n v="0"/>
  </r>
  <r>
    <d v="2026-02-18T00:00:00"/>
    <x v="64"/>
    <s v="Doggy Lunch Fabián Restrepo"/>
    <s v="Chefibio"/>
    <n v="3480"/>
    <m/>
    <n v="76500"/>
    <n v="0"/>
    <n v="76500"/>
    <n v="0"/>
    <n v="76500"/>
  </r>
  <r>
    <d v="2026-01-17T00:00:00"/>
    <x v="65"/>
    <s v="Doggy Lunch Orlando Lancheros"/>
    <s v="bancolombia"/>
    <m/>
    <n v="145200"/>
    <m/>
    <n v="145200"/>
    <n v="0"/>
    <n v="0"/>
    <n v="0"/>
  </r>
  <r>
    <d v="2026-01-17T00:00:00"/>
    <x v="65"/>
    <s v="Doggy Lunch Orlando Lancheros"/>
    <m/>
    <m/>
    <m/>
    <n v="145200"/>
    <n v="0"/>
    <n v="0"/>
    <n v="0"/>
    <n v="0"/>
  </r>
  <r>
    <d v="2026-01-24T00:00:00"/>
    <x v="65"/>
    <s v="Doggy Lunch Orlando Lancheros"/>
    <s v="Chefibio"/>
    <n v="720"/>
    <m/>
    <n v="16133"/>
    <n v="0"/>
    <n v="16133"/>
    <n v="0"/>
    <n v="0"/>
  </r>
  <r>
    <d v="2026-01-24T00:00:00"/>
    <x v="65"/>
    <s v="Doggy Lunch Orlando Lancheros"/>
    <s v="Chefibio"/>
    <n v="5760"/>
    <m/>
    <n v="129067"/>
    <n v="0"/>
    <n v="145200"/>
    <n v="0"/>
    <n v="0"/>
  </r>
  <r>
    <d v="2026-02-04T00:00:00"/>
    <x v="65"/>
    <s v="Doggy Lunch Orlando Lancheros"/>
    <s v="bancolombia"/>
    <m/>
    <n v="145200"/>
    <m/>
    <n v="0"/>
    <n v="0"/>
    <n v="0"/>
    <n v="0"/>
  </r>
  <r>
    <d v="2026-02-10T00:00:00"/>
    <x v="65"/>
    <s v="Doggy Lunch Orlando Lancheros"/>
    <s v="Chefibio"/>
    <n v="3388"/>
    <m/>
    <n v="74507"/>
    <n v="0"/>
    <n v="74507"/>
    <n v="0"/>
    <n v="0"/>
  </r>
  <r>
    <d v="2026-02-10T00:00:00"/>
    <x v="65"/>
    <s v="Doggy Lunch Orlando Lancheros"/>
    <s v="Chefibio"/>
    <n v="3542"/>
    <m/>
    <n v="77893"/>
    <n v="0"/>
    <n v="152400"/>
    <n v="0"/>
    <n v="0"/>
  </r>
  <r>
    <d v="2026-02-16T00:00:00"/>
    <x v="65"/>
    <s v="Doggy Lunch Orlando Lancheros"/>
    <s v="bancolombia"/>
    <m/>
    <n v="152400"/>
    <m/>
    <n v="0"/>
    <n v="0"/>
    <n v="0"/>
    <n v="0"/>
  </r>
  <r>
    <d v="2026-01-21T00:00:00"/>
    <x v="66"/>
    <s v="Doggy Lunch Ricardo"/>
    <s v="bancolombia"/>
    <m/>
    <n v="63000"/>
    <m/>
    <n v="63000"/>
    <n v="0"/>
    <n v="0"/>
    <n v="0"/>
  </r>
  <r>
    <d v="2026-01-21T00:00:00"/>
    <x v="66"/>
    <s v="Doggy Lunch Ricardo"/>
    <s v="Chefibio"/>
    <n v="2880"/>
    <m/>
    <n v="63000"/>
    <n v="0"/>
    <n v="0"/>
    <n v="0"/>
    <n v="0"/>
  </r>
  <r>
    <d v="2026-02-13T00:00:00"/>
    <x v="66"/>
    <s v="Doggy Lunch Ricardo"/>
    <s v="Chefibio"/>
    <n v="2880"/>
    <m/>
    <n v="63000"/>
    <n v="0"/>
    <n v="63000"/>
    <n v="0"/>
    <n v="63000"/>
  </r>
  <r>
    <d v="2026-01-28T00:00:00"/>
    <x v="67"/>
    <s v="Doris Cortés Urrea "/>
    <s v="bancolombia"/>
    <m/>
    <n v="114000"/>
    <m/>
    <n v="114000"/>
    <n v="0"/>
    <n v="0"/>
    <n v="0"/>
  </r>
  <r>
    <d v="2026-01-29T00:00:00"/>
    <x v="67"/>
    <s v="Doris Cortés Urrea "/>
    <s v="Chefibio"/>
    <n v="3000"/>
    <m/>
    <n v="114000"/>
    <n v="0"/>
    <n v="0"/>
    <n v="0"/>
    <n v="0"/>
  </r>
  <r>
    <d v="2026-02-11T00:00:00"/>
    <x v="67"/>
    <s v="Doris Cortés Urrea "/>
    <s v="bancolombia"/>
    <m/>
    <n v="114000"/>
    <m/>
    <n v="114000"/>
    <n v="0"/>
    <n v="0"/>
    <n v="0"/>
  </r>
  <r>
    <d v="2026-02-12T00:00:00"/>
    <x v="67"/>
    <s v="Doris Cortés Urrea "/>
    <s v="Chefibio"/>
    <n v="3000"/>
    <m/>
    <n v="114000"/>
    <n v="0"/>
    <n v="0"/>
    <n v="0"/>
    <n v="0"/>
  </r>
  <r>
    <d v="2026-01-29T00:00:00"/>
    <x v="68"/>
    <s v="Eddinson Rodríguez Bonilla"/>
    <s v="Chefibio"/>
    <n v="4050"/>
    <m/>
    <n v="118200"/>
    <n v="0"/>
    <n v="118200"/>
    <n v="0"/>
    <n v="0"/>
  </r>
  <r>
    <d v="2026-02-01T00:00:00"/>
    <x v="68"/>
    <s v="Eddinson Rodríguez Bonilla"/>
    <s v="bancolombia"/>
    <m/>
    <n v="118200"/>
    <m/>
    <n v="0"/>
    <n v="0"/>
    <n v="0"/>
    <n v="0"/>
  </r>
  <r>
    <d v="2026-02-12T00:00:00"/>
    <x v="68"/>
    <s v="Eddinson Rodríguez Bonilla"/>
    <s v="Chefibio"/>
    <n v="4050"/>
    <m/>
    <n v="151800"/>
    <n v="0"/>
    <n v="151800"/>
    <n v="0"/>
    <n v="0"/>
  </r>
  <r>
    <d v="2026-02-16T00:00:00"/>
    <x v="68"/>
    <s v="Eddinson Rodríguez Bonilla"/>
    <s v="bancolombia"/>
    <m/>
    <n v="151800"/>
    <m/>
    <n v="0"/>
    <n v="0"/>
    <n v="0"/>
    <n v="0"/>
  </r>
  <r>
    <d v="2026-01-17T00:00:00"/>
    <x v="69"/>
    <s v="Eduardo Arias Garcia"/>
    <m/>
    <m/>
    <n v="0"/>
    <m/>
    <n v="0"/>
    <n v="0"/>
    <n v="0"/>
    <n v="0"/>
  </r>
  <r>
    <d v="2026-01-23T00:00:00"/>
    <x v="69"/>
    <s v="Eduardo Arias Garcia"/>
    <s v="Chefibio"/>
    <n v="3180"/>
    <m/>
    <n v="114400"/>
    <n v="0"/>
    <n v="114400"/>
    <n v="0"/>
    <n v="0"/>
  </r>
  <r>
    <d v="2026-01-23T00:00:00"/>
    <x v="69"/>
    <s v="Eduardo Arias Garcia"/>
    <s v="Nuggets"/>
    <n v="1000"/>
    <m/>
    <n v="57000"/>
    <n v="0"/>
    <n v="171400"/>
    <n v="0"/>
    <n v="0"/>
  </r>
  <r>
    <d v="2026-01-26T00:00:00"/>
    <x v="69"/>
    <s v="Eduardo Arias Garcia"/>
    <s v="bancolombia"/>
    <m/>
    <n v="171400"/>
    <m/>
    <n v="0"/>
    <n v="0"/>
    <n v="0"/>
    <n v="0"/>
  </r>
  <r>
    <d v="2026-02-02T00:00:00"/>
    <x v="69"/>
    <s v="Eduardo Arias Garcia"/>
    <s v="Chefibio"/>
    <n v="3180"/>
    <m/>
    <n v="114400"/>
    <n v="0"/>
    <n v="114400"/>
    <n v="0"/>
    <n v="0"/>
  </r>
  <r>
    <d v="2026-02-02T00:00:00"/>
    <x v="69"/>
    <s v="Eduardo Arias Garcia"/>
    <s v="Nuggets"/>
    <n v="1000"/>
    <m/>
    <n v="0"/>
    <n v="0"/>
    <n v="114400"/>
    <n v="0"/>
    <n v="0"/>
  </r>
  <r>
    <d v="2026-02-07T00:00:00"/>
    <x v="69"/>
    <s v="Eduardo Arias Garcia"/>
    <s v=""/>
    <n v="0"/>
    <m/>
    <n v="0"/>
    <n v="0"/>
    <n v="114400"/>
    <n v="0"/>
    <n v="0"/>
  </r>
  <r>
    <d v="2026-02-12T00:00:00"/>
    <x v="69"/>
    <s v="Eduardo Arias Garcia"/>
    <s v="Chefibio"/>
    <n v="3180"/>
    <m/>
    <n v="114400"/>
    <n v="0"/>
    <n v="228800"/>
    <n v="0"/>
    <n v="0"/>
  </r>
  <r>
    <d v="2026-02-16T00:00:00"/>
    <x v="69"/>
    <s v="Eduardo Arias Garcia"/>
    <s v="bancolombia"/>
    <m/>
    <n v="228800"/>
    <m/>
    <n v="0"/>
    <n v="0"/>
    <n v="0"/>
    <n v="0"/>
  </r>
  <r>
    <d v="2026-01-17T00:00:00"/>
    <x v="70"/>
    <s v="Edwin Romero"/>
    <m/>
    <m/>
    <m/>
    <n v="105000"/>
    <n v="0"/>
    <n v="105000"/>
    <n v="0"/>
    <n v="0"/>
  </r>
  <r>
    <d v="2026-01-17T00:00:00"/>
    <x v="70"/>
    <s v="Edwin Romero"/>
    <s v="bancolombia"/>
    <m/>
    <n v="105000"/>
    <m/>
    <n v="0"/>
    <n v="0"/>
    <n v="0"/>
    <n v="0"/>
  </r>
  <r>
    <d v="2026-02-04T00:00:00"/>
    <x v="70"/>
    <s v="Edwin Romero"/>
    <s v="Chefibio"/>
    <n v="5000"/>
    <m/>
    <n v="125000"/>
    <n v="0"/>
    <n v="125000"/>
    <n v="0"/>
    <n v="0"/>
  </r>
  <r>
    <d v="2026-02-05T00:00:00"/>
    <x v="70"/>
    <s v="Edwin Romero"/>
    <s v="bancolombia"/>
    <m/>
    <n v="125000"/>
    <m/>
    <n v="0"/>
    <n v="0"/>
    <n v="0"/>
    <n v="0"/>
  </r>
  <r>
    <d v="2026-01-30T00:00:00"/>
    <x v="71"/>
    <s v="Eleonora Mutis"/>
    <s v="Chefibio"/>
    <n v="3330"/>
    <m/>
    <n v="128700"/>
    <n v="0"/>
    <n v="128700"/>
    <n v="0"/>
    <n v="0"/>
  </r>
  <r>
    <d v="2026-01-30T00:00:00"/>
    <x v="71"/>
    <s v="Eleonora Mutis"/>
    <s v="bancolombia"/>
    <m/>
    <n v="128700"/>
    <m/>
    <n v="0"/>
    <n v="0"/>
    <n v="0"/>
    <n v="0"/>
  </r>
  <r>
    <d v="2026-02-14T00:00:00"/>
    <x v="71"/>
    <s v="Eleonora Mutis"/>
    <s v="bancolombia"/>
    <m/>
    <n v="128700"/>
    <m/>
    <n v="128700"/>
    <n v="0"/>
    <n v="0"/>
    <n v="0"/>
  </r>
  <r>
    <d v="2026-02-16T00:00:00"/>
    <x v="71"/>
    <s v="Eleonora Mutis"/>
    <s v="Chefibio"/>
    <n v="3330"/>
    <m/>
    <n v="128700"/>
    <n v="0"/>
    <n v="0"/>
    <n v="0"/>
    <n v="0"/>
  </r>
  <r>
    <d v="2026-01-23T00:00:00"/>
    <x v="72"/>
    <s v="Eliana Turrini"/>
    <s v="Caja menor"/>
    <m/>
    <n v="187650"/>
    <m/>
    <n v="187650"/>
    <n v="0"/>
    <n v="0"/>
    <n v="0"/>
  </r>
  <r>
    <d v="2026-01-23T00:00:00"/>
    <x v="72"/>
    <s v="Eliana Turrini"/>
    <s v="Chefibio"/>
    <n v="4500"/>
    <m/>
    <n v="187650"/>
    <n v="0"/>
    <n v="0"/>
    <n v="0"/>
    <n v="0"/>
  </r>
  <r>
    <d v="2026-02-09T00:00:00"/>
    <x v="72"/>
    <s v="Eliana Turrini-Jorge Zambrano"/>
    <s v="Chefibio"/>
    <n v="4500"/>
    <m/>
    <n v="187650"/>
    <n v="0"/>
    <n v="187650"/>
    <n v="0"/>
    <n v="0"/>
  </r>
  <r>
    <d v="2026-02-09T00:00:00"/>
    <x v="72"/>
    <s v="Eliana Turrini-Jorge Zambrano"/>
    <s v="Caja menor"/>
    <m/>
    <n v="187650"/>
    <m/>
    <n v="0"/>
    <n v="0"/>
    <n v="0"/>
    <n v="0"/>
  </r>
  <r>
    <d v="2026-02-02T00:00:00"/>
    <x v="73"/>
    <s v="Ericka Núñez"/>
    <s v="bancolombia"/>
    <m/>
    <n v="97800"/>
    <m/>
    <n v="97800"/>
    <n v="0"/>
    <n v="0"/>
    <n v="0"/>
  </r>
  <r>
    <d v="2026-02-02T00:00:00"/>
    <x v="73"/>
    <s v="Ericka Núñez"/>
    <s v="Chefibio"/>
    <n v="2550"/>
    <m/>
    <n v="97800"/>
    <n v="0"/>
    <n v="0"/>
    <n v="0"/>
    <n v="0"/>
  </r>
  <r>
    <d v="2026-02-17T00:00:00"/>
    <x v="73"/>
    <s v="Ericka Núñez"/>
    <s v="bancolombia"/>
    <m/>
    <n v="48900"/>
    <m/>
    <n v="48900"/>
    <n v="0"/>
    <n v="0"/>
    <n v="0"/>
  </r>
  <r>
    <d v="2026-02-17T00:00:00"/>
    <x v="73"/>
    <s v="Ericka Núñez"/>
    <s v="Chefibio"/>
    <n v="1190"/>
    <m/>
    <n v="45640"/>
    <n v="3260"/>
    <n v="0"/>
    <n v="3260"/>
    <n v="0"/>
  </r>
  <r>
    <d v="2026-01-26T00:00:00"/>
    <x v="74"/>
    <s v="Erika Villamizar Bruno"/>
    <s v="Chefibio"/>
    <n v="3000"/>
    <m/>
    <n v="96000"/>
    <n v="0"/>
    <n v="96000"/>
    <n v="0"/>
    <n v="0"/>
  </r>
  <r>
    <d v="2026-01-30T00:00:00"/>
    <x v="74"/>
    <s v="Erika Villamizar Bruno"/>
    <s v="bancolombia"/>
    <m/>
    <n v="96000"/>
    <m/>
    <n v="0"/>
    <n v="0"/>
    <n v="0"/>
    <n v="0"/>
  </r>
  <r>
    <d v="2026-01-17T00:00:00"/>
    <x v="75"/>
    <s v="Evelin Herrera"/>
    <m/>
    <m/>
    <m/>
    <n v="71080"/>
    <n v="0"/>
    <n v="71080"/>
    <n v="0"/>
    <n v="0"/>
  </r>
  <r>
    <d v="2026-01-20T00:00:00"/>
    <x v="75"/>
    <s v="Evelin Herrera"/>
    <s v="bancolombia"/>
    <m/>
    <n v="142160"/>
    <m/>
    <n v="71080"/>
    <n v="0"/>
    <n v="0"/>
    <n v="0"/>
  </r>
  <r>
    <d v="2026-01-30T00:00:00"/>
    <x v="75"/>
    <s v="Evelin Herrera"/>
    <s v="Chefibio"/>
    <n v="1260"/>
    <m/>
    <n v="73080"/>
    <n v="0"/>
    <n v="2000"/>
    <n v="0"/>
    <n v="0"/>
  </r>
  <r>
    <d v="2026-02-11T00:00:00"/>
    <x v="75"/>
    <s v="Evelin Herrera"/>
    <s v="bancolombia"/>
    <m/>
    <n v="142160"/>
    <m/>
    <n v="140160"/>
    <n v="0"/>
    <n v="0"/>
    <n v="0"/>
  </r>
  <r>
    <d v="2026-02-11T00:00:00"/>
    <x v="75"/>
    <s v="Evelin Herrera"/>
    <s v="bancolombia"/>
    <m/>
    <n v="4000"/>
    <m/>
    <n v="144160"/>
    <n v="0"/>
    <n v="0"/>
    <n v="0"/>
  </r>
  <r>
    <d v="2026-02-13T00:00:00"/>
    <x v="75"/>
    <s v="Evelin Herrera"/>
    <s v="Chefibio"/>
    <n v="1260"/>
    <m/>
    <n v="73080"/>
    <n v="71080"/>
    <n v="0"/>
    <n v="71080"/>
    <n v="0"/>
  </r>
  <r>
    <d v="2026-01-17T00:00:00"/>
    <x v="76"/>
    <s v="Fabiola Delgado Montalbo"/>
    <s v="bancolombia"/>
    <m/>
    <n v="112320"/>
    <m/>
    <n v="112320"/>
    <n v="0"/>
    <n v="0"/>
    <n v="0"/>
  </r>
  <r>
    <d v="2026-01-17T00:00:00"/>
    <x v="76"/>
    <s v="Fabiola Delgado Montalbo"/>
    <m/>
    <m/>
    <m/>
    <n v="112320"/>
    <n v="0"/>
    <n v="0"/>
    <n v="0"/>
    <n v="0"/>
  </r>
  <r>
    <d v="2026-01-29T00:00:00"/>
    <x v="76"/>
    <s v="Fabiola Delgado Montalbo"/>
    <s v="bancolombia"/>
    <m/>
    <n v="112320"/>
    <m/>
    <n v="112320"/>
    <n v="0"/>
    <n v="0"/>
    <n v="0"/>
  </r>
  <r>
    <d v="2026-01-29T00:00:00"/>
    <x v="76"/>
    <s v="Fabiola Delgado Montalbo"/>
    <s v="Chefibio"/>
    <n v="2880"/>
    <m/>
    <n v="112320"/>
    <n v="0"/>
    <n v="0"/>
    <n v="0"/>
    <n v="0"/>
  </r>
  <r>
    <d v="2026-02-12T00:00:00"/>
    <x v="76"/>
    <s v="Fabiola Delgado Montalbo"/>
    <s v="bancolombia"/>
    <m/>
    <n v="112320"/>
    <m/>
    <n v="112320"/>
    <n v="0"/>
    <n v="0"/>
    <n v="0"/>
  </r>
  <r>
    <d v="2026-02-13T00:00:00"/>
    <x v="76"/>
    <s v="Fabiola Delgado Montalbo"/>
    <s v="Chefibio"/>
    <n v="2880"/>
    <m/>
    <n v="112320"/>
    <n v="0"/>
    <n v="0"/>
    <n v="0"/>
    <n v="0"/>
  </r>
  <r>
    <d v="2026-02-08T00:00:00"/>
    <x v="77"/>
    <s v="Fanny Duque Guinard"/>
    <s v="bancolombia"/>
    <m/>
    <n v="122600"/>
    <m/>
    <n v="122600"/>
    <n v="0"/>
    <n v="0"/>
    <n v="0"/>
  </r>
  <r>
    <d v="2026-02-09T00:00:00"/>
    <x v="77"/>
    <s v="Fanny Duque Guinard"/>
    <s v="Nuggets"/>
    <n v="200"/>
    <m/>
    <n v="0"/>
    <n v="122600"/>
    <n v="0"/>
    <n v="0"/>
    <n v="0"/>
  </r>
  <r>
    <d v="2026-02-09T00:00:00"/>
    <x v="77"/>
    <s v="Fanny Duque Guinard"/>
    <s v="Chefibio"/>
    <n v="2835"/>
    <m/>
    <n v="122600"/>
    <n v="0"/>
    <n v="0"/>
    <n v="0"/>
    <n v="0"/>
  </r>
  <r>
    <d v="2026-01-17T00:00:00"/>
    <x v="78"/>
    <s v="Fernando Monroy"/>
    <m/>
    <m/>
    <n v="0"/>
    <m/>
    <n v="0"/>
    <n v="0"/>
    <n v="0"/>
    <n v="0"/>
  </r>
  <r>
    <d v="2026-01-29T00:00:00"/>
    <x v="78"/>
    <s v="Fernando Monroy"/>
    <s v="Chefibio"/>
    <n v="4500"/>
    <m/>
    <n v="171000"/>
    <n v="0"/>
    <n v="171000"/>
    <n v="0"/>
    <n v="0"/>
  </r>
  <r>
    <d v="2026-01-29T00:00:00"/>
    <x v="78"/>
    <s v="Fernando Monroy"/>
    <s v="Nuggets"/>
    <n v="2000"/>
    <m/>
    <n v="57000"/>
    <n v="0"/>
    <n v="228000"/>
    <n v="0"/>
    <n v="0"/>
  </r>
  <r>
    <d v="2026-01-31T00:00:00"/>
    <x v="78"/>
    <s v="Fernando Monroy"/>
    <s v="bancolombia"/>
    <m/>
    <n v="228000"/>
    <m/>
    <n v="0"/>
    <n v="0"/>
    <n v="0"/>
    <n v="0"/>
  </r>
  <r>
    <d v="2026-01-17T00:00:00"/>
    <x v="79"/>
    <s v="Gabriela Ramirez Caro"/>
    <m/>
    <m/>
    <n v="0"/>
    <m/>
    <n v="0"/>
    <n v="0"/>
    <n v="0"/>
    <n v="0"/>
  </r>
  <r>
    <d v="2026-01-23T00:00:00"/>
    <x v="79"/>
    <s v="Gabriela Ramirez Caro"/>
    <s v="Chefibio"/>
    <n v="3000"/>
    <m/>
    <n v="84000"/>
    <n v="0"/>
    <n v="84000"/>
    <n v="0"/>
    <n v="0"/>
  </r>
  <r>
    <d v="2026-01-31T00:00:00"/>
    <x v="79"/>
    <s v="Gabriela Ramirez Caro"/>
    <s v="bancolombia"/>
    <m/>
    <n v="84000"/>
    <m/>
    <n v="0"/>
    <n v="0"/>
    <n v="0"/>
    <n v="0"/>
  </r>
  <r>
    <d v="2026-01-18T00:00:00"/>
    <x v="80"/>
    <s v="Geraldin Bustamante"/>
    <s v="Chefibio"/>
    <n v="1320"/>
    <m/>
    <n v="0"/>
    <n v="0"/>
    <n v="0"/>
    <n v="0"/>
    <n v="0"/>
  </r>
  <r>
    <d v="2026-01-19T00:00:00"/>
    <x v="80"/>
    <s v="Geraldin Bustamante"/>
    <s v="Chefibio"/>
    <n v="2310"/>
    <m/>
    <n v="0"/>
    <n v="0"/>
    <n v="0"/>
    <n v="0"/>
    <n v="0"/>
  </r>
  <r>
    <d v="2026-01-30T00:00:00"/>
    <x v="80"/>
    <s v="Geraldin Bustamante"/>
    <s v="Chefibio"/>
    <n v="3600"/>
    <m/>
    <n v="0"/>
    <n v="0"/>
    <n v="0"/>
    <n v="0"/>
    <n v="0"/>
  </r>
  <r>
    <d v="2026-02-10T00:00:00"/>
    <x v="80"/>
    <s v="Geraldin Bustamante"/>
    <s v="Chefibio"/>
    <n v="3600"/>
    <m/>
    <n v="0"/>
    <n v="0"/>
    <n v="0"/>
    <n v="0"/>
    <n v="0"/>
  </r>
  <r>
    <d v="2026-01-17T00:00:00"/>
    <x v="81"/>
    <s v="Giovanny Andrés Gómez"/>
    <m/>
    <m/>
    <m/>
    <n v="151200"/>
    <n v="0"/>
    <n v="151200"/>
    <n v="0"/>
    <n v="0"/>
  </r>
  <r>
    <d v="2026-01-18T00:00:00"/>
    <x v="81"/>
    <s v="Giovanny Andrés Gómez"/>
    <s v="bancolombia"/>
    <m/>
    <n v="151200"/>
    <m/>
    <n v="0"/>
    <n v="0"/>
    <n v="0"/>
    <n v="0"/>
  </r>
  <r>
    <d v="2026-01-27T00:00:00"/>
    <x v="81"/>
    <s v="Giovanny Andrés Gómez"/>
    <s v="Chefibio"/>
    <n v="4200"/>
    <m/>
    <n v="151200"/>
    <n v="0"/>
    <n v="151200"/>
    <n v="0"/>
    <n v="0"/>
  </r>
  <r>
    <d v="2026-01-29T00:00:00"/>
    <x v="81"/>
    <s v="Giovanny Andrés Gómez"/>
    <s v="bancolombia"/>
    <m/>
    <n v="151200"/>
    <m/>
    <n v="0"/>
    <n v="0"/>
    <n v="0"/>
    <n v="0"/>
  </r>
  <r>
    <d v="2026-02-16T00:00:00"/>
    <x v="81"/>
    <s v="Giovanny Andrés Gómez"/>
    <s v="Chefibio"/>
    <n v="4200"/>
    <m/>
    <n v="151200"/>
    <n v="0"/>
    <n v="151200"/>
    <n v="0"/>
    <n v="0"/>
  </r>
  <r>
    <d v="2026-02-17T00:00:00"/>
    <x v="81"/>
    <s v="Giovanny Andrés Gómez"/>
    <s v="bancolombia"/>
    <m/>
    <n v="152000"/>
    <m/>
    <n v="800"/>
    <n v="0"/>
    <n v="800"/>
    <n v="0"/>
  </r>
  <r>
    <d v="2026-01-17T00:00:00"/>
    <x v="82"/>
    <s v="Gladis Baquero"/>
    <m/>
    <m/>
    <n v="56200"/>
    <m/>
    <n v="56200"/>
    <n v="0"/>
    <n v="0"/>
    <n v="0"/>
  </r>
  <r>
    <d v="2026-01-28T00:00:00"/>
    <x v="82"/>
    <s v="Gladis Baquero"/>
    <s v="Chefibio"/>
    <n v="1800"/>
    <m/>
    <n v="59400"/>
    <n v="0"/>
    <n v="3200"/>
    <n v="0"/>
    <n v="0"/>
  </r>
  <r>
    <d v="2026-02-12T00:00:00"/>
    <x v="82"/>
    <s v="Gladis Baquero"/>
    <s v="Chefibio"/>
    <n v="1800"/>
    <m/>
    <n v="59400"/>
    <n v="0"/>
    <n v="62600"/>
    <n v="0"/>
    <n v="0"/>
  </r>
  <r>
    <d v="2026-02-12T00:00:00"/>
    <x v="82"/>
    <s v="Gladis Baquero"/>
    <s v="bancolombia"/>
    <m/>
    <n v="118000"/>
    <m/>
    <n v="55400"/>
    <n v="0"/>
    <n v="55400"/>
    <n v="0"/>
  </r>
  <r>
    <d v="2026-01-18T00:00:00"/>
    <x v="83"/>
    <s v="Gloria Ines Ayala Baquero"/>
    <s v="Chefibio"/>
    <n v="7500"/>
    <m/>
    <n v="202500"/>
    <n v="0"/>
    <n v="202500"/>
    <n v="0"/>
    <n v="0"/>
  </r>
  <r>
    <d v="2026-01-20T00:00:00"/>
    <x v="83"/>
    <s v="Gloria Ines Ayala Baquero"/>
    <s v="bancolombia"/>
    <m/>
    <n v="202500"/>
    <m/>
    <n v="0"/>
    <n v="0"/>
    <n v="0"/>
    <n v="0"/>
  </r>
  <r>
    <d v="2026-01-19T00:00:00"/>
    <x v="84"/>
    <s v="Gloria Muriel Botero"/>
    <s v="Davivienda"/>
    <m/>
    <n v="108000"/>
    <m/>
    <n v="108000"/>
    <n v="0"/>
    <n v="0"/>
    <n v="0"/>
  </r>
  <r>
    <d v="2026-01-19T00:00:00"/>
    <x v="84"/>
    <s v="Gloria Muriel Botero"/>
    <s v="Chefibio"/>
    <n v="1800"/>
    <m/>
    <n v="108000"/>
    <n v="0"/>
    <n v="0"/>
    <n v="0"/>
    <n v="0"/>
  </r>
  <r>
    <d v="2026-02-04T00:00:00"/>
    <x v="84"/>
    <s v="Gloria Muriel Botero"/>
    <s v="Chefibio"/>
    <n v="1800"/>
    <m/>
    <n v="108000"/>
    <n v="0"/>
    <n v="108000"/>
    <n v="0"/>
    <n v="0"/>
  </r>
  <r>
    <d v="2026-02-06T00:00:00"/>
    <x v="84"/>
    <s v="Gloria Muriel Botero"/>
    <s v="Chefibio"/>
    <n v="1800"/>
    <m/>
    <n v="108000"/>
    <n v="0"/>
    <n v="216000"/>
    <n v="0"/>
    <n v="216000"/>
  </r>
  <r>
    <d v="2026-01-17T00:00:00"/>
    <x v="85"/>
    <s v="Guillermo Gonzalez"/>
    <m/>
    <m/>
    <n v="182700"/>
    <m/>
    <n v="182700"/>
    <n v="0"/>
    <n v="0"/>
    <n v="0"/>
  </r>
  <r>
    <d v="2026-02-02T00:00:00"/>
    <x v="85"/>
    <s v="Guillermo Gonzalez"/>
    <s v="Chefibio"/>
    <n v="6300"/>
    <m/>
    <n v="182700"/>
    <n v="0"/>
    <n v="0"/>
    <n v="0"/>
    <n v="0"/>
  </r>
  <r>
    <d v="2026-02-18T00:00:00"/>
    <x v="85"/>
    <s v="Guillermo Gonzalez"/>
    <s v="Ahorro efectivo"/>
    <m/>
    <n v="382600"/>
    <m/>
    <n v="382600"/>
    <n v="0"/>
    <n v="0"/>
    <n v="0"/>
  </r>
  <r>
    <d v="2026-02-18T00:00:00"/>
    <x v="85"/>
    <s v="Guillermo Gonzalez"/>
    <s v="Chefibio"/>
    <n v="6300"/>
    <m/>
    <n v="182700"/>
    <n v="199900"/>
    <n v="0"/>
    <n v="199900"/>
    <n v="0"/>
  </r>
  <r>
    <d v="2026-01-29T00:00:00"/>
    <x v="86"/>
    <s v="Gustavo Ferro"/>
    <s v="Chefibio"/>
    <n v="3450"/>
    <m/>
    <n v="90000"/>
    <n v="0"/>
    <n v="90000"/>
    <n v="0"/>
    <n v="0"/>
  </r>
  <r>
    <d v="2026-02-03T00:00:00"/>
    <x v="86"/>
    <s v="Gustavo Ferro"/>
    <s v="bancolombia"/>
    <m/>
    <n v="90000"/>
    <m/>
    <n v="0"/>
    <n v="0"/>
    <n v="0"/>
    <n v="0"/>
  </r>
  <r>
    <d v="2026-02-09T00:00:00"/>
    <x v="86"/>
    <s v="Gustavo Ferro"/>
    <s v="Chefibio"/>
    <n v="3450"/>
    <m/>
    <n v="103500"/>
    <n v="0"/>
    <n v="103500"/>
    <n v="0"/>
    <n v="0"/>
  </r>
  <r>
    <d v="2026-02-16T00:00:00"/>
    <x v="86"/>
    <s v="Gustavo Ferro"/>
    <s v="bancolombia"/>
    <m/>
    <n v="103500"/>
    <m/>
    <n v="0"/>
    <n v="0"/>
    <n v="0"/>
    <n v="0"/>
  </r>
  <r>
    <d v="2026-01-17T00:00:00"/>
    <x v="87"/>
    <s v="Gustavo Toro"/>
    <m/>
    <m/>
    <m/>
    <n v="120000"/>
    <n v="0"/>
    <n v="120000"/>
    <n v="0"/>
    <n v="120000"/>
  </r>
  <r>
    <d v="2026-02-03T00:00:00"/>
    <x v="88"/>
    <s v="Hair Muñoz 250"/>
    <s v="Chefibio"/>
    <n v="6000"/>
    <m/>
    <n v="180000"/>
    <n v="0"/>
    <n v="180000"/>
    <n v="0"/>
    <n v="0"/>
  </r>
  <r>
    <d v="2026-02-14T00:00:00"/>
    <x v="88"/>
    <s v="Hair Muñoz 250"/>
    <s v="bancolombia"/>
    <m/>
    <n v="180000"/>
    <m/>
    <n v="0"/>
    <n v="0"/>
    <n v="0"/>
    <n v="0"/>
  </r>
  <r>
    <d v="2026-02-06T00:00:00"/>
    <x v="89"/>
    <s v="Happy Pets Paradise"/>
    <s v="Caja menor"/>
    <m/>
    <n v="52000"/>
    <m/>
    <n v="52000"/>
    <n v="0"/>
    <n v="0"/>
    <n v="0"/>
  </r>
  <r>
    <d v="2026-02-06T00:00:00"/>
    <x v="89"/>
    <s v="Happy Pets Paradise"/>
    <s v="Chefibio"/>
    <n v="16000"/>
    <m/>
    <n v="352000"/>
    <n v="0"/>
    <n v="300000"/>
    <n v="0"/>
    <n v="0"/>
  </r>
  <r>
    <d v="2026-02-06T00:00:00"/>
    <x v="89"/>
    <s v="Happy Pets Paradise"/>
    <s v="bancolombia"/>
    <m/>
    <n v="300000"/>
    <m/>
    <n v="0"/>
    <n v="0"/>
    <n v="0"/>
    <n v="0"/>
  </r>
  <r>
    <d v="2026-01-17T00:00:00"/>
    <x v="90"/>
    <s v="Helena Mojica"/>
    <m/>
    <m/>
    <m/>
    <n v="421200"/>
    <n v="0"/>
    <n v="421200"/>
    <n v="0"/>
    <n v="421200"/>
  </r>
  <r>
    <d v="2026-01-19T00:00:00"/>
    <x v="91"/>
    <s v="Ingrid Natalia Beltrán Ramírez"/>
    <s v="bancolombia"/>
    <m/>
    <n v="202500"/>
    <m/>
    <n v="202500"/>
    <n v="0"/>
    <n v="0"/>
    <n v="0"/>
  </r>
  <r>
    <d v="2026-01-19T00:00:00"/>
    <x v="91"/>
    <s v="Ingrid Natalia Beltrán Ramírez"/>
    <s v="Chefibio"/>
    <n v="7500"/>
    <m/>
    <n v="202500"/>
    <n v="0"/>
    <n v="0"/>
    <n v="0"/>
    <n v="0"/>
  </r>
  <r>
    <d v="2026-02-02T00:00:00"/>
    <x v="91"/>
    <s v="Ingrid Natalia Beltrán Ramírez"/>
    <s v="bancolombia"/>
    <m/>
    <n v="202500"/>
    <m/>
    <n v="202500"/>
    <n v="0"/>
    <n v="0"/>
    <n v="0"/>
  </r>
  <r>
    <d v="2026-02-02T00:00:00"/>
    <x v="91"/>
    <s v="Ingrid Natalia Beltrán Ramírez"/>
    <s v="Chefibio"/>
    <n v="7500"/>
    <m/>
    <n v="202500"/>
    <n v="0"/>
    <n v="0"/>
    <n v="0"/>
    <n v="0"/>
  </r>
  <r>
    <d v="2026-02-16T00:00:00"/>
    <x v="91"/>
    <s v="Ingrid Natalia Beltrán Ramírez"/>
    <s v="Chefibio"/>
    <n v="3500"/>
    <m/>
    <n v="94500"/>
    <n v="0"/>
    <n v="94500"/>
    <n v="0"/>
    <n v="0"/>
  </r>
  <r>
    <d v="2026-02-16T00:00:00"/>
    <x v="91"/>
    <s v="Ingrid Natalia Beltrán Ramírez"/>
    <s v="bancolombia"/>
    <m/>
    <n v="101250"/>
    <m/>
    <n v="6750"/>
    <n v="0"/>
    <n v="6750"/>
    <n v="0"/>
  </r>
  <r>
    <d v="2026-01-17T00:00:00"/>
    <x v="92"/>
    <s v="Isabel Gómez"/>
    <m/>
    <m/>
    <n v="120000"/>
    <m/>
    <n v="120000"/>
    <n v="0"/>
    <n v="0"/>
    <n v="0"/>
  </r>
  <r>
    <d v="2026-01-20T00:00:00"/>
    <x v="92"/>
    <s v="Isabel Gómez"/>
    <s v="Chefibio"/>
    <n v="6000"/>
    <m/>
    <n v="120000"/>
    <n v="0"/>
    <n v="0"/>
    <n v="0"/>
    <n v="0"/>
  </r>
  <r>
    <d v="2026-02-06T00:00:00"/>
    <x v="93"/>
    <s v="Jaime Rolando Ayala Garcia"/>
    <s v="Chefibio"/>
    <n v="3000"/>
    <m/>
    <n v="120000"/>
    <n v="0"/>
    <n v="120000"/>
    <n v="0"/>
    <n v="0"/>
  </r>
  <r>
    <d v="2026-02-06T00:00:00"/>
    <x v="93"/>
    <s v="Jaime Rolando Ayala Garcia"/>
    <s v="bancolombia"/>
    <m/>
    <n v="120000"/>
    <m/>
    <n v="0"/>
    <n v="0"/>
    <n v="0"/>
    <n v="0"/>
  </r>
  <r>
    <d v="2026-01-17T00:00:00"/>
    <x v="94"/>
    <s v="Jairo Rosas Hernandez"/>
    <m/>
    <m/>
    <m/>
    <n v="180000"/>
    <n v="0"/>
    <n v="180000"/>
    <n v="0"/>
    <n v="0"/>
  </r>
  <r>
    <d v="2026-01-27T00:00:00"/>
    <x v="94"/>
    <s v="Jairo Rosas Hernandez"/>
    <s v="bancolombia"/>
    <m/>
    <n v="360000"/>
    <m/>
    <n v="180000"/>
    <n v="0"/>
    <n v="0"/>
    <n v="0"/>
  </r>
  <r>
    <d v="2026-01-30T00:00:00"/>
    <x v="94"/>
    <s v="Jairo Rosas Hernandez"/>
    <s v="Chefibio"/>
    <n v="6000"/>
    <m/>
    <n v="180000"/>
    <n v="0"/>
    <n v="0"/>
    <n v="0"/>
    <n v="0"/>
  </r>
  <r>
    <d v="2026-02-16T00:00:00"/>
    <x v="94"/>
    <s v="Jairo Rosas Hernandez"/>
    <s v="Chefibio"/>
    <n v="6000"/>
    <m/>
    <n v="180000"/>
    <n v="0"/>
    <n v="180000"/>
    <n v="0"/>
    <n v="180000"/>
  </r>
  <r>
    <d v="2026-01-17T00:00:00"/>
    <x v="95"/>
    <s v="Javier Diaz"/>
    <s v="Davivienda"/>
    <m/>
    <n v="253400"/>
    <m/>
    <n v="253400"/>
    <n v="0"/>
    <n v="0"/>
    <n v="0"/>
  </r>
  <r>
    <d v="2026-01-17T00:00:00"/>
    <x v="95"/>
    <s v="Javier Diaz"/>
    <m/>
    <m/>
    <m/>
    <n v="253400"/>
    <n v="0"/>
    <n v="0"/>
    <n v="0"/>
    <n v="0"/>
  </r>
  <r>
    <d v="2026-02-04T00:00:00"/>
    <x v="95"/>
    <s v="Javier Diaz"/>
    <s v="Chefibio"/>
    <n v="1680"/>
    <m/>
    <n v="70500"/>
    <n v="0"/>
    <n v="70500"/>
    <n v="0"/>
    <n v="0"/>
  </r>
  <r>
    <d v="2026-02-07T00:00:00"/>
    <x v="95"/>
    <s v="Javier Diaz"/>
    <s v="bancolombia"/>
    <m/>
    <n v="70500"/>
    <m/>
    <n v="0"/>
    <n v="0"/>
    <n v="0"/>
    <n v="0"/>
  </r>
  <r>
    <d v="2026-02-12T00:00:00"/>
    <x v="95"/>
    <s v="Javier Diaz"/>
    <s v="Chefibio"/>
    <n v="1680"/>
    <m/>
    <n v="70500"/>
    <n v="0"/>
    <n v="70500"/>
    <n v="0"/>
    <n v="0"/>
  </r>
  <r>
    <d v="2026-02-13T00:00:00"/>
    <x v="95"/>
    <s v="Javier Diaz"/>
    <s v="bancolombia"/>
    <m/>
    <n v="70500"/>
    <m/>
    <n v="0"/>
    <n v="0"/>
    <n v="0"/>
    <n v="0"/>
  </r>
  <r>
    <d v="2026-02-18T00:00:00"/>
    <x v="95"/>
    <s v="Javier Diaz"/>
    <s v="Chefibio"/>
    <n v="1680"/>
    <m/>
    <n v="70500"/>
    <n v="0"/>
    <n v="70500"/>
    <n v="0"/>
    <n v="70500"/>
  </r>
  <r>
    <d v="2026-01-22T00:00:00"/>
    <x v="96"/>
    <s v="Jeimmy Pinzon "/>
    <s v="Chefibio"/>
    <n v="10170"/>
    <m/>
    <n v="387600"/>
    <n v="0"/>
    <n v="387600"/>
    <n v="0"/>
    <n v="0"/>
  </r>
  <r>
    <d v="2026-01-23T00:00:00"/>
    <x v="96"/>
    <s v="Jeimmy Pinzon "/>
    <s v="bancolombia"/>
    <m/>
    <n v="387600"/>
    <m/>
    <n v="0"/>
    <n v="0"/>
    <n v="0"/>
    <n v="0"/>
  </r>
  <r>
    <d v="2026-02-06T00:00:00"/>
    <x v="96"/>
    <s v="Jeimmy Pinzon "/>
    <s v="Chefibio"/>
    <n v="10170"/>
    <m/>
    <n v="387600"/>
    <n v="0"/>
    <n v="387600"/>
    <n v="0"/>
    <n v="0"/>
  </r>
  <r>
    <d v="2026-02-06T00:00:00"/>
    <x v="96"/>
    <s v="Jeimmy Pinzon "/>
    <s v="bancolombia"/>
    <m/>
    <n v="387600"/>
    <m/>
    <n v="0"/>
    <n v="0"/>
    <n v="0"/>
    <n v="0"/>
  </r>
  <r>
    <d v="2026-01-17T00:00:00"/>
    <x v="97"/>
    <s v="Jerson David Ortiz Puentes Auri"/>
    <m/>
    <m/>
    <m/>
    <n v="29250"/>
    <n v="0"/>
    <n v="29250"/>
    <n v="0"/>
    <n v="0"/>
  </r>
  <r>
    <d v="2026-01-23T00:00:00"/>
    <x v="97"/>
    <s v="Jerson David Ortiz Puentes Dulce"/>
    <s v="Chefibio"/>
    <n v="2400"/>
    <m/>
    <n v="36000"/>
    <n v="0"/>
    <n v="65250"/>
    <n v="0"/>
    <n v="0"/>
  </r>
  <r>
    <d v="2026-01-31T00:00:00"/>
    <x v="97"/>
    <s v="Jerson David Ortiz Puentes Auri"/>
    <s v="Caja menor"/>
    <m/>
    <n v="71250"/>
    <m/>
    <n v="6000"/>
    <n v="0"/>
    <n v="0"/>
    <n v="0"/>
  </r>
  <r>
    <d v="2026-02-02T00:00:00"/>
    <x v="97"/>
    <s v="Jerson David Ortiz Puentes Auri"/>
    <s v="Chefibio"/>
    <n v="1850"/>
    <m/>
    <n v="27750"/>
    <n v="0"/>
    <n v="21750"/>
    <n v="0"/>
    <n v="0"/>
  </r>
  <r>
    <d v="2026-02-06T00:00:00"/>
    <x v="97"/>
    <s v="Jerson David Ortiz Puentes Dulce"/>
    <s v="Chefibio"/>
    <n v="2400"/>
    <m/>
    <n v="36000"/>
    <n v="0"/>
    <n v="57750"/>
    <n v="0"/>
    <n v="0"/>
  </r>
  <r>
    <d v="2026-02-16T00:00:00"/>
    <x v="97"/>
    <s v="Jerson David Ortiz Puentes Auri"/>
    <s v="Chefibio"/>
    <n v="2250"/>
    <m/>
    <n v="33750"/>
    <n v="0"/>
    <n v="91500"/>
    <n v="0"/>
    <n v="91500"/>
  </r>
  <r>
    <d v="2026-01-29T00:00:00"/>
    <x v="98"/>
    <s v="Jessica Cabrera"/>
    <s v="bancolombia"/>
    <m/>
    <n v="120000"/>
    <m/>
    <n v="120000"/>
    <n v="0"/>
    <n v="0"/>
    <n v="0"/>
  </r>
  <r>
    <d v="2026-01-29T00:00:00"/>
    <x v="98"/>
    <s v="Jessica Cabrera"/>
    <s v="Chefibio"/>
    <n v="3750"/>
    <m/>
    <n v="120000"/>
    <n v="0"/>
    <n v="0"/>
    <n v="0"/>
    <n v="0"/>
  </r>
  <r>
    <d v="2026-02-13T00:00:00"/>
    <x v="98"/>
    <s v="Jessica Cabrera"/>
    <s v="Chefibio"/>
    <n v="3750"/>
    <m/>
    <n v="120000"/>
    <n v="0"/>
    <n v="120000"/>
    <n v="0"/>
    <n v="0"/>
  </r>
  <r>
    <d v="2026-02-17T00:00:00"/>
    <x v="98"/>
    <s v="Jessica Cabrera"/>
    <s v="bancolombia"/>
    <m/>
    <n v="120000"/>
    <m/>
    <n v="0"/>
    <n v="0"/>
    <n v="0"/>
    <n v="0"/>
  </r>
  <r>
    <d v="2026-01-26T00:00:00"/>
    <x v="99"/>
    <s v="Jessica Moreno 48"/>
    <s v="bancolombia"/>
    <m/>
    <n v="107000"/>
    <m/>
    <n v="107000"/>
    <n v="0"/>
    <n v="0"/>
    <n v="0"/>
  </r>
  <r>
    <d v="2026-01-26T00:00:00"/>
    <x v="99"/>
    <s v="Jessica Moreno 48"/>
    <s v="Chefibio"/>
    <n v="2160"/>
    <m/>
    <n v="107000"/>
    <n v="0"/>
    <n v="0"/>
    <n v="0"/>
    <n v="0"/>
  </r>
  <r>
    <d v="2026-02-09T00:00:00"/>
    <x v="99"/>
    <s v="Jessica Moreno 48"/>
    <s v="Chefibio"/>
    <n v="2160"/>
    <m/>
    <n v="107000"/>
    <n v="0"/>
    <n v="107000"/>
    <n v="0"/>
    <n v="0"/>
  </r>
  <r>
    <d v="2026-02-13T00:00:00"/>
    <x v="99"/>
    <s v="Jessica Moreno 48"/>
    <s v="bancolombia"/>
    <m/>
    <n v="107000"/>
    <m/>
    <n v="0"/>
    <n v="0"/>
    <n v="0"/>
    <n v="0"/>
  </r>
  <r>
    <d v="2026-01-21T00:00:00"/>
    <x v="100"/>
    <s v="Jhoan Camilo Sanchez Valderrama"/>
    <s v="Nuggets"/>
    <n v="500"/>
    <m/>
    <n v="50000"/>
    <n v="0"/>
    <n v="50000"/>
    <n v="0"/>
    <n v="0"/>
  </r>
  <r>
    <d v="2026-02-12T00:00:00"/>
    <x v="100"/>
    <s v="Jhoan Camilo Sanchez Valderrama"/>
    <s v="Nuggets"/>
    <n v="1000"/>
    <m/>
    <n v="40000"/>
    <n v="0"/>
    <n v="90000"/>
    <n v="0"/>
    <n v="0"/>
  </r>
  <r>
    <d v="2026-02-12T00:00:00"/>
    <x v="100"/>
    <s v="Jhoan Camilo Sanchez Valderrama"/>
    <s v="Chefibio"/>
    <n v="4950"/>
    <m/>
    <n v="138600"/>
    <n v="0"/>
    <n v="228600"/>
    <n v="0"/>
    <n v="0"/>
  </r>
  <r>
    <d v="2026-02-13T00:00:00"/>
    <x v="100"/>
    <s v="Jhoan Camilo Sanchez Valderrama"/>
    <s v="Bolsas"/>
    <m/>
    <n v="14000"/>
    <m/>
    <n v="0"/>
    <n v="214600"/>
    <n v="0"/>
    <n v="0"/>
  </r>
  <r>
    <d v="2026-02-13T00:00:00"/>
    <x v="100"/>
    <s v="Jhoan Camilo Sanchez Valderrama"/>
    <s v="Datafono"/>
    <m/>
    <n v="214600"/>
    <m/>
    <n v="0"/>
    <n v="0"/>
    <n v="0"/>
    <n v="0"/>
  </r>
  <r>
    <d v="2026-01-17T00:00:00"/>
    <x v="101"/>
    <s v="Jhon Bocanegra"/>
    <m/>
    <m/>
    <m/>
    <n v="125000"/>
    <n v="0"/>
    <n v="125000"/>
    <n v="0"/>
    <n v="0"/>
  </r>
  <r>
    <d v="2026-01-26T00:00:00"/>
    <x v="101"/>
    <s v="Jhon Bocanegra"/>
    <s v="Chefibio"/>
    <n v="5000"/>
    <m/>
    <n v="125000"/>
    <n v="0"/>
    <n v="250000"/>
    <n v="0"/>
    <n v="0"/>
  </r>
  <r>
    <d v="2026-02-04T00:00:00"/>
    <x v="101"/>
    <s v="Jhon Bocanegra"/>
    <s v="Chefibio"/>
    <n v="5000"/>
    <m/>
    <n v="125000"/>
    <n v="0"/>
    <n v="375000"/>
    <n v="0"/>
    <n v="0"/>
  </r>
  <r>
    <d v="2026-02-09T00:00:00"/>
    <x v="101"/>
    <s v="Jhon Bocanegra"/>
    <s v="Datafono"/>
    <m/>
    <n v="375000"/>
    <m/>
    <n v="0"/>
    <n v="0"/>
    <n v="0"/>
    <n v="0"/>
  </r>
  <r>
    <d v="2026-02-12T00:00:00"/>
    <x v="101"/>
    <s v="Jhon Bocanegra"/>
    <s v="Chefibio"/>
    <n v="5000"/>
    <m/>
    <n v="125000"/>
    <n v="0"/>
    <n v="125000"/>
    <n v="0"/>
    <n v="125000"/>
  </r>
  <r>
    <d v="2026-01-30T00:00:00"/>
    <x v="102"/>
    <s v="Jhon Fredy Meneses Leal"/>
    <s v="bancolombia"/>
    <m/>
    <n v="128700"/>
    <m/>
    <n v="128700"/>
    <n v="0"/>
    <n v="0"/>
    <n v="0"/>
  </r>
  <r>
    <d v="2026-01-30T00:00:00"/>
    <x v="102"/>
    <s v="Jhon Fredy Meneses Leal"/>
    <s v="Chefibio"/>
    <n v="3300"/>
    <m/>
    <n v="118800"/>
    <n v="9900"/>
    <n v="0"/>
    <n v="0"/>
    <n v="0"/>
  </r>
  <r>
    <d v="2026-02-17T00:00:00"/>
    <x v="102"/>
    <s v="Jhon Fredy Meneses Leal"/>
    <s v="Chefibio"/>
    <n v="3300"/>
    <m/>
    <n v="118800"/>
    <n v="0"/>
    <n v="108900"/>
    <n v="0"/>
    <n v="108900"/>
  </r>
  <r>
    <d v="2026-01-17T00:00:00"/>
    <x v="103"/>
    <s v="Jimmy Puentes 260"/>
    <m/>
    <m/>
    <m/>
    <n v="59800"/>
    <n v="0"/>
    <n v="59800"/>
    <n v="0"/>
    <n v="0"/>
  </r>
  <r>
    <d v="2026-01-20T00:00:00"/>
    <x v="103"/>
    <s v="Jimmy Puentes 230"/>
    <s v="Chefibio"/>
    <n v="2300"/>
    <m/>
    <n v="62100"/>
    <n v="0"/>
    <n v="121900"/>
    <n v="0"/>
    <n v="0"/>
  </r>
  <r>
    <d v="2026-02-02T00:00:00"/>
    <x v="103"/>
    <s v="Jimmy Puentes 230"/>
    <s v="bancolombia"/>
    <m/>
    <n v="121900"/>
    <m/>
    <n v="0"/>
    <n v="0"/>
    <n v="0"/>
    <n v="0"/>
  </r>
  <r>
    <d v="2026-02-02T00:00:00"/>
    <x v="103"/>
    <s v="Jimmy Puentes 230"/>
    <s v="Chefibio"/>
    <n v="2300"/>
    <m/>
    <n v="62100"/>
    <n v="0"/>
    <n v="62100"/>
    <n v="0"/>
    <n v="0"/>
  </r>
  <r>
    <d v="2026-02-12T00:00:00"/>
    <x v="103"/>
    <s v="Jimmy Puentes 230"/>
    <s v="Chefibio"/>
    <n v="2300"/>
    <m/>
    <n v="62100"/>
    <n v="0"/>
    <n v="124200"/>
    <n v="0"/>
    <n v="124200"/>
  </r>
  <r>
    <d v="2026-01-20T00:00:00"/>
    <x v="104"/>
    <s v="John Barbosa Hernandez"/>
    <s v="Chefibio"/>
    <n v="870"/>
    <m/>
    <n v="36000"/>
    <n v="0"/>
    <n v="36000"/>
    <n v="0"/>
    <n v="36000"/>
  </r>
  <r>
    <d v="2026-01-29T00:00:00"/>
    <x v="105"/>
    <s v="John Beltrán"/>
    <s v="bancolombia"/>
    <m/>
    <n v="164100"/>
    <m/>
    <n v="164100"/>
    <n v="0"/>
    <n v="0"/>
    <n v="0"/>
  </r>
  <r>
    <d v="2026-01-29T00:00:00"/>
    <x v="105"/>
    <s v="John Beltrán"/>
    <s v="Chefibio"/>
    <n v="4200"/>
    <m/>
    <n v="164100"/>
    <n v="0"/>
    <n v="0"/>
    <n v="0"/>
    <n v="0"/>
  </r>
  <r>
    <d v="2026-01-17T00:00:00"/>
    <x v="106"/>
    <s v="John Bernal Castañeda Vs"/>
    <s v="bancolombia"/>
    <m/>
    <n v="87000"/>
    <m/>
    <n v="87000"/>
    <n v="0"/>
    <n v="0"/>
    <n v="0"/>
  </r>
  <r>
    <d v="2026-01-17T00:00:00"/>
    <x v="106"/>
    <s v="John Bernal Castañeda Vs"/>
    <m/>
    <m/>
    <m/>
    <n v="87000"/>
    <n v="0"/>
    <n v="0"/>
    <n v="0"/>
    <n v="0"/>
  </r>
  <r>
    <d v="2026-01-26T00:00:00"/>
    <x v="106"/>
    <s v="John Bernal Castañeda Vs"/>
    <s v="Chefibio"/>
    <n v="750"/>
    <m/>
    <n v="29000"/>
    <n v="0"/>
    <n v="29000"/>
    <n v="0"/>
    <n v="0"/>
  </r>
  <r>
    <d v="2026-01-30T00:00:00"/>
    <x v="106"/>
    <s v="John Bernal Castañeda Vs"/>
    <s v="Chefibio"/>
    <n v="2250"/>
    <m/>
    <n v="94500"/>
    <n v="0"/>
    <n v="123500"/>
    <n v="0"/>
    <n v="0"/>
  </r>
  <r>
    <d v="2026-02-05T00:00:00"/>
    <x v="106"/>
    <s v="John Bernal Castañeda Vs"/>
    <s v="bancolombia"/>
    <m/>
    <n v="94500"/>
    <m/>
    <n v="0"/>
    <n v="29000"/>
    <n v="0"/>
    <n v="0"/>
  </r>
  <r>
    <d v="2026-02-16T00:00:00"/>
    <x v="106"/>
    <s v="John Bernal Castañeda Vs"/>
    <s v="bancolombia"/>
    <m/>
    <n v="94500"/>
    <m/>
    <n v="65500"/>
    <n v="0"/>
    <n v="0"/>
    <n v="0"/>
  </r>
  <r>
    <d v="2026-02-16T00:00:00"/>
    <x v="106"/>
    <s v="John Bernal Castañeda Vs"/>
    <s v="Chefibio"/>
    <n v="2250"/>
    <m/>
    <n v="94500"/>
    <n v="0"/>
    <n v="29000"/>
    <n v="0"/>
    <n v="29000"/>
  </r>
  <r>
    <d v="2026-01-17T00:00:00"/>
    <x v="107"/>
    <s v="John Fernando Rivera Rincón"/>
    <m/>
    <m/>
    <m/>
    <n v="162750"/>
    <n v="0"/>
    <n v="162750"/>
    <n v="0"/>
    <n v="0"/>
  </r>
  <r>
    <d v="2026-01-30T00:00:00"/>
    <x v="107"/>
    <s v="John Fernando Rivera Rincón"/>
    <s v="Chefibio"/>
    <n v="4650"/>
    <m/>
    <n v="180000"/>
    <n v="0"/>
    <n v="342750"/>
    <n v="0"/>
    <n v="342750"/>
  </r>
  <r>
    <d v="2026-01-19T00:00:00"/>
    <x v="108"/>
    <s v="John Miranda"/>
    <s v="Chefibio"/>
    <n v="2730"/>
    <m/>
    <n v="86600"/>
    <n v="0"/>
    <n v="86600"/>
    <n v="0"/>
    <n v="0"/>
  </r>
  <r>
    <d v="2026-01-27T00:00:00"/>
    <x v="108"/>
    <s v="John Miranda"/>
    <s v="bancolombia"/>
    <m/>
    <n v="86600"/>
    <m/>
    <n v="0"/>
    <n v="0"/>
    <n v="0"/>
    <n v="0"/>
  </r>
  <r>
    <d v="2026-02-13T00:00:00"/>
    <x v="108"/>
    <s v="John Miranda"/>
    <s v="bancolombia"/>
    <m/>
    <n v="86600"/>
    <m/>
    <n v="86600"/>
    <n v="0"/>
    <n v="0"/>
    <n v="0"/>
  </r>
  <r>
    <d v="2026-02-16T00:00:00"/>
    <x v="108"/>
    <s v="John Miranda"/>
    <s v="Chefibio"/>
    <n v="3150"/>
    <m/>
    <n v="99900"/>
    <n v="0"/>
    <n v="13300"/>
    <n v="0"/>
    <n v="13300"/>
  </r>
  <r>
    <d v="2026-01-30T00:00:00"/>
    <x v="109"/>
    <s v="Jonathan Lopez Puerta"/>
    <s v="bancolombia"/>
    <m/>
    <n v="67500"/>
    <m/>
    <n v="67500"/>
    <n v="0"/>
    <n v="0"/>
    <n v="0"/>
  </r>
  <r>
    <d v="2026-01-30T00:00:00"/>
    <x v="109"/>
    <s v="Jonathan Lopez Puerta"/>
    <s v="Chefibio"/>
    <n v="2250"/>
    <m/>
    <n v="67500"/>
    <n v="0"/>
    <n v="0"/>
    <n v="0"/>
    <n v="0"/>
  </r>
  <r>
    <d v="2026-02-16T00:00:00"/>
    <x v="109"/>
    <s v="Jonathan Lopez Puerta"/>
    <s v="bancolombia"/>
    <m/>
    <n v="67500"/>
    <m/>
    <n v="67500"/>
    <n v="0"/>
    <n v="0"/>
    <n v="0"/>
  </r>
  <r>
    <d v="2026-02-16T00:00:00"/>
    <x v="109"/>
    <s v="Jonathan Lopez Puerta"/>
    <s v="Chefibio"/>
    <n v="2250"/>
    <m/>
    <n v="67500"/>
    <n v="0"/>
    <n v="0"/>
    <n v="0"/>
    <n v="0"/>
  </r>
  <r>
    <d v="2026-01-18T00:00:00"/>
    <x v="110"/>
    <s v="Jorge Patarroyo 140"/>
    <s v="bancolombia"/>
    <m/>
    <n v="207000"/>
    <m/>
    <n v="207000"/>
    <n v="0"/>
    <n v="0"/>
    <n v="0"/>
  </r>
  <r>
    <d v="2026-01-19T00:00:00"/>
    <x v="110"/>
    <s v="Jorge Patarroyo 140"/>
    <s v="Chefibio"/>
    <n v="4200"/>
    <m/>
    <n v="127000"/>
    <n v="80000"/>
    <n v="0"/>
    <n v="0"/>
    <n v="0"/>
  </r>
  <r>
    <d v="2026-01-19T00:00:00"/>
    <x v="110"/>
    <s v="Jorge Patarroyo 140"/>
    <s v="Nuggets"/>
    <n v="1000"/>
    <m/>
    <n v="80000"/>
    <n v="0"/>
    <n v="0"/>
    <n v="0"/>
    <n v="0"/>
  </r>
  <r>
    <d v="2026-01-31T00:00:00"/>
    <x v="110"/>
    <s v="Jorge Patarroyo 140"/>
    <s v="bancolombia"/>
    <m/>
    <n v="166000"/>
    <m/>
    <n v="166000"/>
    <n v="0"/>
    <n v="0"/>
    <n v="0"/>
  </r>
  <r>
    <d v="2026-02-02T00:00:00"/>
    <x v="110"/>
    <s v="Jorge Patarroyo 140"/>
    <s v="Nuggets"/>
    <n v="200"/>
    <m/>
    <n v="6000"/>
    <n v="160000"/>
    <n v="0"/>
    <n v="0"/>
    <n v="0"/>
  </r>
  <r>
    <d v="2026-02-02T00:00:00"/>
    <x v="110"/>
    <s v="Jorge Patarroyo 140"/>
    <s v="Chefibio"/>
    <n v="4200"/>
    <m/>
    <n v="126000"/>
    <n v="34000"/>
    <n v="0"/>
    <n v="0"/>
    <n v="0"/>
  </r>
  <r>
    <d v="2026-02-17T00:00:00"/>
    <x v="110"/>
    <s v="Jorge Patarroyo 140"/>
    <s v="Nuggets"/>
    <n v="1000"/>
    <m/>
    <n v="40000"/>
    <n v="0"/>
    <n v="6000"/>
    <n v="0"/>
    <n v="0"/>
  </r>
  <r>
    <d v="2026-02-17T00:00:00"/>
    <x v="110"/>
    <s v="Jorge Patarroyo 140"/>
    <s v="bancolombia"/>
    <m/>
    <n v="207000"/>
    <m/>
    <n v="201000"/>
    <n v="0"/>
    <n v="0"/>
    <n v="0"/>
  </r>
  <r>
    <d v="2026-02-17T00:00:00"/>
    <x v="110"/>
    <s v="Jorge Patarroyo 140"/>
    <s v="Chefibio"/>
    <n v="4200"/>
    <m/>
    <n v="126000"/>
    <n v="75000"/>
    <n v="0"/>
    <n v="75000"/>
    <n v="0"/>
  </r>
  <r>
    <d v="2026-01-17T00:00:00"/>
    <x v="111"/>
    <s v="Jorge Quispe"/>
    <m/>
    <m/>
    <n v="48900"/>
    <m/>
    <n v="48900"/>
    <n v="0"/>
    <n v="0"/>
    <n v="0"/>
  </r>
  <r>
    <d v="2026-01-19T00:00:00"/>
    <x v="111"/>
    <s v="Jorge Quispe"/>
    <s v="Chefibio"/>
    <n v="1190"/>
    <m/>
    <n v="48900"/>
    <n v="0"/>
    <n v="0"/>
    <n v="0"/>
    <n v="0"/>
  </r>
  <r>
    <d v="2026-02-12T00:00:00"/>
    <x v="111"/>
    <s v="Jorge Quispe"/>
    <s v="bancolombia"/>
    <m/>
    <n v="48900"/>
    <m/>
    <n v="48900"/>
    <n v="0"/>
    <n v="0"/>
    <n v="0"/>
  </r>
  <r>
    <d v="2026-02-13T00:00:00"/>
    <x v="111"/>
    <s v="Jorge Quispe"/>
    <s v="Chefibio"/>
    <n v="1190"/>
    <m/>
    <n v="48900"/>
    <n v="0"/>
    <n v="0"/>
    <n v="0"/>
    <n v="0"/>
  </r>
  <r>
    <d v="2026-01-19T00:00:00"/>
    <x v="112"/>
    <s v="Jose Alejandro Paez"/>
    <s v="bancolombia"/>
    <m/>
    <n v="267600"/>
    <m/>
    <n v="267600"/>
    <n v="0"/>
    <n v="0"/>
    <n v="0"/>
  </r>
  <r>
    <d v="2026-01-19T00:00:00"/>
    <x v="112"/>
    <s v="Jose Alejandro Paez"/>
    <s v="Chefibio"/>
    <n v="3772"/>
    <m/>
    <n v="136773"/>
    <n v="130827"/>
    <n v="0"/>
    <n v="0"/>
    <n v="0"/>
  </r>
  <r>
    <d v="2026-01-19T00:00:00"/>
    <x v="112"/>
    <s v="Jose Alejandro Paez"/>
    <s v="Chefibio"/>
    <n v="3608"/>
    <m/>
    <n v="130827"/>
    <n v="0"/>
    <n v="0"/>
    <n v="0"/>
    <n v="0"/>
  </r>
  <r>
    <d v="2026-02-13T00:00:00"/>
    <x v="113"/>
    <s v="Jose Alfonso Garzon Cedeño"/>
    <s v="Chefibio"/>
    <n v="4200"/>
    <m/>
    <n v="0"/>
    <n v="0"/>
    <n v="0"/>
    <n v="0"/>
    <n v="0"/>
  </r>
  <r>
    <d v="2026-01-17T00:00:00"/>
    <x v="114"/>
    <s v="Jose Jaime López Velandia"/>
    <m/>
    <m/>
    <m/>
    <n v="69000"/>
    <n v="0"/>
    <n v="69000"/>
    <n v="0"/>
    <n v="0"/>
  </r>
  <r>
    <d v="2026-01-19T00:00:00"/>
    <x v="114"/>
    <s v="Jose Jaime López Velandia"/>
    <s v="Chefibio"/>
    <n v="12000"/>
    <m/>
    <n v="276000"/>
    <n v="0"/>
    <n v="345000"/>
    <n v="0"/>
    <n v="0"/>
  </r>
  <r>
    <d v="2026-01-26T00:00:00"/>
    <x v="114"/>
    <s v="Jose Jaime López Velandia"/>
    <s v="bancolombia"/>
    <m/>
    <n v="345000"/>
    <m/>
    <n v="0"/>
    <n v="0"/>
    <n v="0"/>
    <n v="0"/>
  </r>
  <r>
    <d v="2026-02-10T00:00:00"/>
    <x v="114"/>
    <s v="Jose Jaime López Velandia"/>
    <s v="Chefibio"/>
    <n v="15000"/>
    <m/>
    <n v="345000"/>
    <n v="0"/>
    <n v="345000"/>
    <n v="0"/>
    <n v="345000"/>
  </r>
  <r>
    <d v="2026-01-28T00:00:00"/>
    <x v="115"/>
    <s v="Jose Luis Barrios 115"/>
    <s v="Datafono"/>
    <m/>
    <n v="295800"/>
    <m/>
    <n v="295800"/>
    <n v="0"/>
    <n v="0"/>
    <n v="0"/>
  </r>
  <r>
    <d v="2026-01-29T00:00:00"/>
    <x v="115"/>
    <s v="Jose Luis Barrios 115"/>
    <s v="Chefibio"/>
    <n v="3450"/>
    <m/>
    <n v="117300"/>
    <n v="178500"/>
    <n v="0"/>
    <n v="0"/>
    <n v="0"/>
  </r>
  <r>
    <d v="2026-01-29T00:00:00"/>
    <x v="115"/>
    <s v="Jose Luis Barrios 175"/>
    <s v="Chefibio"/>
    <n v="5250"/>
    <m/>
    <n v="178500"/>
    <n v="0"/>
    <n v="0"/>
    <n v="0"/>
    <n v="0"/>
  </r>
  <r>
    <d v="2026-02-11T00:00:00"/>
    <x v="115"/>
    <s v="Jose Luis Barrios 115"/>
    <s v="Datafono"/>
    <m/>
    <n v="352800"/>
    <m/>
    <n v="352800"/>
    <n v="0"/>
    <n v="0"/>
    <n v="0"/>
  </r>
  <r>
    <d v="2026-02-13T00:00:00"/>
    <x v="115"/>
    <s v="Jose Luis Barrios 115"/>
    <s v="Chefibio"/>
    <n v="3450"/>
    <m/>
    <n v="117300"/>
    <n v="235500"/>
    <n v="0"/>
    <n v="0"/>
    <n v="0"/>
  </r>
  <r>
    <d v="2026-02-13T00:00:00"/>
    <x v="115"/>
    <s v="Jose Luis Barrios 175"/>
    <s v="Nuggets"/>
    <n v="2000"/>
    <m/>
    <n v="57000"/>
    <n v="178500"/>
    <n v="0"/>
    <n v="0"/>
    <n v="0"/>
  </r>
  <r>
    <d v="2026-02-13T00:00:00"/>
    <x v="115"/>
    <s v="Jose Luis Barrios 175"/>
    <s v="Chefibio"/>
    <n v="5250"/>
    <m/>
    <n v="178500"/>
    <n v="0"/>
    <n v="0"/>
    <n v="0"/>
    <n v="0"/>
  </r>
  <r>
    <d v="2026-02-04T00:00:00"/>
    <x v="116"/>
    <s v="José María Robayo 30"/>
    <s v="Chefibio"/>
    <n v="900"/>
    <m/>
    <n v="50800"/>
    <n v="0"/>
    <n v="50800"/>
    <n v="0"/>
    <n v="0"/>
  </r>
  <r>
    <d v="2026-02-04T00:00:00"/>
    <x v="116"/>
    <s v="José María Robayo 45"/>
    <s v="Chefibio"/>
    <n v="1350"/>
    <m/>
    <n v="72800"/>
    <n v="0"/>
    <n v="123600"/>
    <n v="0"/>
    <n v="0"/>
  </r>
  <r>
    <d v="2026-02-05T00:00:00"/>
    <x v="116"/>
    <s v="José María Robayo 30"/>
    <s v=""/>
    <n v="0"/>
    <m/>
    <n v="0"/>
    <n v="0"/>
    <n v="123600"/>
    <n v="0"/>
    <n v="0"/>
  </r>
  <r>
    <d v="2026-02-18T00:00:00"/>
    <x v="116"/>
    <s v="José María Robayo 30"/>
    <s v="Ahorro efectivo"/>
    <m/>
    <n v="123400"/>
    <m/>
    <n v="0"/>
    <n v="200"/>
    <n v="0"/>
    <n v="0"/>
  </r>
  <r>
    <d v="2026-02-18T00:00:00"/>
    <x v="116"/>
    <s v="José María Robayo 30"/>
    <s v=""/>
    <n v="0"/>
    <m/>
    <n v="0"/>
    <n v="0"/>
    <n v="200"/>
    <n v="0"/>
    <n v="200"/>
  </r>
  <r>
    <d v="2026-02-06T00:00:00"/>
    <x v="117"/>
    <s v="José Odair Suárez"/>
    <s v="Caja menor"/>
    <m/>
    <n v="188000"/>
    <m/>
    <n v="188000"/>
    <n v="0"/>
    <n v="0"/>
    <n v="0"/>
  </r>
  <r>
    <d v="2026-02-06T00:00:00"/>
    <x v="117"/>
    <s v="José Odair Suárez"/>
    <s v="Chefibio"/>
    <n v="4950"/>
    <m/>
    <n v="188100"/>
    <n v="0"/>
    <n v="100"/>
    <n v="0"/>
    <n v="100"/>
  </r>
  <r>
    <d v="2026-01-20T00:00:00"/>
    <x v="118"/>
    <s v="Juan Andres Restrepo"/>
    <s v="Chefibio"/>
    <n v="3750"/>
    <m/>
    <n v="127500"/>
    <n v="0"/>
    <n v="127500"/>
    <n v="0"/>
    <n v="0"/>
  </r>
  <r>
    <d v="2026-02-03T00:00:00"/>
    <x v="118"/>
    <s v="Juan Andres Restrepo"/>
    <s v="bancolombia"/>
    <m/>
    <n v="255000"/>
    <m/>
    <n v="127500"/>
    <n v="0"/>
    <n v="0"/>
    <n v="0"/>
  </r>
  <r>
    <d v="2026-02-04T00:00:00"/>
    <x v="118"/>
    <s v="Juan Andres Restrepo"/>
    <s v="Chefibio"/>
    <n v="3750"/>
    <m/>
    <n v="127500"/>
    <n v="0"/>
    <n v="0"/>
    <n v="0"/>
    <n v="0"/>
  </r>
  <r>
    <d v="2026-02-18T00:00:00"/>
    <x v="118"/>
    <s v="Juan Andres Restrepo"/>
    <s v="Chefibio"/>
    <n v="3750"/>
    <m/>
    <n v="127500"/>
    <n v="0"/>
    <n v="127500"/>
    <n v="0"/>
    <n v="127500"/>
  </r>
  <r>
    <d v="2026-01-17T00:00:00"/>
    <x v="119"/>
    <s v="Juan Carlos Arango Castano 150"/>
    <s v="bancolombia"/>
    <m/>
    <n v="334400"/>
    <m/>
    <n v="334400"/>
    <n v="0"/>
    <n v="0"/>
    <n v="0"/>
  </r>
  <r>
    <d v="2026-01-17T00:00:00"/>
    <x v="119"/>
    <s v="Juan Carlos Arango Castano 150"/>
    <m/>
    <m/>
    <m/>
    <n v="18900"/>
    <n v="315500"/>
    <n v="0"/>
    <n v="0"/>
    <n v="0"/>
  </r>
  <r>
    <d v="2026-01-19T00:00:00"/>
    <x v="119"/>
    <s v="Juan Carlos Arango Castano 150"/>
    <s v="Chefibio"/>
    <n v="1500"/>
    <m/>
    <n v="43500"/>
    <n v="272000"/>
    <n v="0"/>
    <n v="0"/>
    <n v="0"/>
  </r>
  <r>
    <d v="2026-01-19T00:00:00"/>
    <x v="119"/>
    <s v="Juan Carlos Arango Castano 200"/>
    <s v="Chefibio"/>
    <n v="2000"/>
    <m/>
    <n v="58000"/>
    <n v="214000"/>
    <n v="0"/>
    <n v="0"/>
    <n v="0"/>
  </r>
  <r>
    <d v="2026-01-30T00:00:00"/>
    <x v="119"/>
    <s v="Juan Carlos Arango Castano 150"/>
    <s v="Chefibio"/>
    <n v="1500"/>
    <m/>
    <n v="43500"/>
    <n v="170500"/>
    <n v="0"/>
    <n v="0"/>
    <n v="0"/>
  </r>
  <r>
    <d v="2026-01-30T00:00:00"/>
    <x v="119"/>
    <s v="Juan Carlos Arango Castano 200"/>
    <s v="Chefibio"/>
    <n v="2000"/>
    <m/>
    <n v="58000"/>
    <n v="112500"/>
    <n v="0"/>
    <n v="0"/>
    <n v="0"/>
  </r>
  <r>
    <d v="2026-02-09T00:00:00"/>
    <x v="119"/>
    <s v="Juan Carlos Arango Castano 150"/>
    <s v="Chefibio"/>
    <n v="1500"/>
    <m/>
    <n v="43500"/>
    <n v="69000"/>
    <n v="0"/>
    <n v="0"/>
    <n v="0"/>
  </r>
  <r>
    <d v="2026-02-09T00:00:00"/>
    <x v="119"/>
    <s v="Juan Carlos Arango Castano 200"/>
    <s v="Chefibio"/>
    <n v="2000"/>
    <m/>
    <n v="58000"/>
    <n v="11000"/>
    <n v="0"/>
    <n v="0"/>
    <n v="0"/>
  </r>
  <r>
    <d v="2026-02-18T00:00:00"/>
    <x v="119"/>
    <s v="Juan Carlos Arango Castano 150"/>
    <s v="Chefibio"/>
    <n v="1500"/>
    <m/>
    <n v="43500"/>
    <n v="0"/>
    <n v="32500"/>
    <n v="0"/>
    <n v="0"/>
  </r>
  <r>
    <d v="2026-02-18T00:00:00"/>
    <x v="119"/>
    <s v="Juan Carlos Arango Castano 200"/>
    <s v="Chefibio"/>
    <n v="2000"/>
    <m/>
    <n v="58000"/>
    <n v="0"/>
    <n v="90500"/>
    <n v="0"/>
    <n v="90500"/>
  </r>
  <r>
    <d v="2026-01-18T00:00:00"/>
    <x v="120"/>
    <s v="Juan Carlos Ospina Arango"/>
    <s v="bancolombia"/>
    <m/>
    <n v="95550"/>
    <m/>
    <n v="95550"/>
    <n v="0"/>
    <n v="0"/>
    <n v="0"/>
  </r>
  <r>
    <d v="2026-01-19T00:00:00"/>
    <x v="120"/>
    <s v="Juan Carlos Ospina Arango"/>
    <s v="Chefibio"/>
    <n v="2450"/>
    <m/>
    <n v="95550"/>
    <n v="0"/>
    <n v="0"/>
    <n v="0"/>
    <n v="0"/>
  </r>
  <r>
    <d v="2026-01-25T00:00:00"/>
    <x v="120"/>
    <s v="Juan Carlos Ospina Arango"/>
    <s v="bancolombia"/>
    <m/>
    <n v="95550"/>
    <m/>
    <n v="95550"/>
    <n v="0"/>
    <n v="0"/>
    <n v="0"/>
  </r>
  <r>
    <d v="2026-01-26T00:00:00"/>
    <x v="120"/>
    <s v="Juan Carlos Ospina Arango"/>
    <s v="Chefibio"/>
    <n v="2450"/>
    <m/>
    <n v="95550"/>
    <n v="0"/>
    <n v="0"/>
    <n v="0"/>
    <n v="0"/>
  </r>
  <r>
    <d v="2026-02-01T00:00:00"/>
    <x v="120"/>
    <s v="Juan Carlos Ospina Arango"/>
    <s v="bancolombia"/>
    <m/>
    <n v="109200"/>
    <m/>
    <n v="109200"/>
    <n v="0"/>
    <n v="0"/>
    <n v="0"/>
  </r>
  <r>
    <d v="2026-02-02T00:00:00"/>
    <x v="120"/>
    <s v="Juan Carlos Ospina Arango"/>
    <s v="Chefibio"/>
    <n v="2800"/>
    <m/>
    <n v="109200"/>
    <n v="0"/>
    <n v="0"/>
    <n v="0"/>
    <n v="0"/>
  </r>
  <r>
    <d v="2026-02-08T00:00:00"/>
    <x v="120"/>
    <s v="Juan Carlos Ospina Arango"/>
    <s v="bancolombia"/>
    <m/>
    <n v="109200"/>
    <m/>
    <n v="109200"/>
    <n v="0"/>
    <n v="0"/>
    <n v="0"/>
  </r>
  <r>
    <d v="2026-02-09T00:00:00"/>
    <x v="120"/>
    <s v="Juan Carlos Ospina Arango"/>
    <s v="Chefibio"/>
    <n v="2800"/>
    <m/>
    <n v="109200"/>
    <n v="0"/>
    <n v="0"/>
    <n v="0"/>
    <n v="0"/>
  </r>
  <r>
    <d v="2026-02-15T00:00:00"/>
    <x v="120"/>
    <s v="Juan Carlos Ospina Arango"/>
    <s v="bancolombia"/>
    <m/>
    <n v="109200"/>
    <m/>
    <n v="109200"/>
    <n v="0"/>
    <n v="0"/>
    <n v="0"/>
  </r>
  <r>
    <d v="2026-02-16T00:00:00"/>
    <x v="120"/>
    <s v="Juan Carlos Ospina Arango"/>
    <s v="Chefibio"/>
    <n v="2800"/>
    <m/>
    <n v="109200"/>
    <n v="0"/>
    <n v="0"/>
    <n v="0"/>
    <n v="0"/>
  </r>
  <r>
    <d v="2026-01-28T00:00:00"/>
    <x v="121"/>
    <s v="Juan Esteban Ramirez"/>
    <s v="Chefibio"/>
    <n v="4500"/>
    <m/>
    <n v="85500"/>
    <n v="0"/>
    <n v="85500"/>
    <n v="0"/>
    <n v="0"/>
  </r>
  <r>
    <d v="2026-01-28T00:00:00"/>
    <x v="121"/>
    <s v="Juan Esteban Ramirez"/>
    <s v="Caja menor"/>
    <m/>
    <n v="156750"/>
    <m/>
    <n v="71250"/>
    <n v="0"/>
    <n v="0"/>
    <n v="0"/>
  </r>
  <r>
    <d v="2026-01-28T00:00:00"/>
    <x v="121"/>
    <s v="Juan Esteban Ramirez 125"/>
    <s v="Chefibio"/>
    <n v="3750"/>
    <m/>
    <n v="71250"/>
    <n v="0"/>
    <n v="0"/>
    <n v="0"/>
    <n v="0"/>
  </r>
  <r>
    <d v="2026-02-17T00:00:00"/>
    <x v="121"/>
    <s v="Juan Esteban Ramirez"/>
    <s v="bancolombia"/>
    <m/>
    <n v="73750"/>
    <m/>
    <n v="73750"/>
    <n v="0"/>
    <n v="0"/>
    <n v="0"/>
  </r>
  <r>
    <d v="2026-02-17T00:00:00"/>
    <x v="121"/>
    <s v="Juan Esteban Ramirez"/>
    <s v="Chefibio"/>
    <n v="4500"/>
    <m/>
    <n v="85500"/>
    <n v="0"/>
    <n v="11750"/>
    <n v="0"/>
    <n v="0"/>
  </r>
  <r>
    <d v="2026-02-17T00:00:00"/>
    <x v="121"/>
    <s v="Juan Esteban Ramirez"/>
    <s v="Caja menor"/>
    <m/>
    <n v="83000"/>
    <m/>
    <n v="71250"/>
    <n v="0"/>
    <n v="0"/>
    <n v="0"/>
  </r>
  <r>
    <d v="2026-02-17T00:00:00"/>
    <x v="121"/>
    <s v="Juan Esteban Ramirez 125"/>
    <s v="Chefibio"/>
    <n v="3750"/>
    <m/>
    <n v="71250"/>
    <n v="0"/>
    <n v="0"/>
    <n v="0"/>
    <n v="0"/>
  </r>
  <r>
    <d v="2026-01-20T00:00:00"/>
    <x v="122"/>
    <s v="Juan Sebastian Prieto Pinzón"/>
    <s v="Chefibio"/>
    <n v="3000"/>
    <m/>
    <n v="126000"/>
    <n v="0"/>
    <n v="126000"/>
    <n v="0"/>
    <n v="0"/>
  </r>
  <r>
    <d v="2026-01-22T00:00:00"/>
    <x v="122"/>
    <s v="Juan Sebastian Prieto Pinzón"/>
    <s v="bancolombia"/>
    <m/>
    <n v="126000"/>
    <m/>
    <n v="0"/>
    <n v="0"/>
    <n v="0"/>
    <n v="0"/>
  </r>
  <r>
    <d v="2026-02-06T00:00:00"/>
    <x v="122"/>
    <s v="Juan Sebastian Prieto Pinzón"/>
    <s v="Chefibio"/>
    <n v="3000"/>
    <m/>
    <n v="126000"/>
    <n v="0"/>
    <n v="126000"/>
    <n v="0"/>
    <n v="0"/>
  </r>
  <r>
    <d v="2026-02-11T00:00:00"/>
    <x v="122"/>
    <s v="Juan Sebastian Prieto Pinzón"/>
    <s v="bancolombia"/>
    <m/>
    <n v="126000"/>
    <m/>
    <n v="0"/>
    <n v="0"/>
    <n v="0"/>
    <n v="0"/>
  </r>
  <r>
    <d v="2026-01-27T00:00:00"/>
    <x v="123"/>
    <s v="Juan Sebastian Tintinago"/>
    <s v="Chefibio"/>
    <n v="1965"/>
    <m/>
    <n v="78600"/>
    <n v="0"/>
    <n v="78600"/>
    <n v="0"/>
    <n v="78600"/>
  </r>
  <r>
    <d v="2026-01-17T00:00:00"/>
    <x v="124"/>
    <s v="Juanita Valencia"/>
    <m/>
    <m/>
    <m/>
    <n v="150000"/>
    <n v="0"/>
    <n v="150000"/>
    <n v="0"/>
    <n v="0"/>
  </r>
  <r>
    <d v="2026-01-26T00:00:00"/>
    <x v="124"/>
    <s v="Juanita Valencia"/>
    <s v="bancolombia"/>
    <m/>
    <n v="129000"/>
    <m/>
    <n v="0"/>
    <n v="21000"/>
    <n v="0"/>
    <n v="0"/>
  </r>
  <r>
    <d v="2026-01-26T00:00:00"/>
    <x v="124"/>
    <s v="Juanita Valencia"/>
    <s v=""/>
    <n v="0"/>
    <m/>
    <n v="0"/>
    <n v="0"/>
    <n v="21000"/>
    <n v="0"/>
    <n v="21000"/>
  </r>
  <r>
    <d v="2026-01-17T00:00:00"/>
    <x v="125"/>
    <s v="Juliana Sofia Torres Osorio"/>
    <m/>
    <m/>
    <n v="0"/>
    <m/>
    <n v="0"/>
    <n v="0"/>
    <n v="0"/>
    <n v="0"/>
  </r>
  <r>
    <d v="2026-01-23T00:00:00"/>
    <x v="125"/>
    <s v="Juliana Sofia Torres Osorio"/>
    <s v="Chefibio"/>
    <n v="6450"/>
    <m/>
    <n v="219300"/>
    <n v="0"/>
    <n v="219300"/>
    <n v="0"/>
    <n v="0"/>
  </r>
  <r>
    <d v="2026-02-17T00:00:00"/>
    <x v="125"/>
    <s v="Juliana Sofia Torres Osorio"/>
    <s v="bancolombia"/>
    <m/>
    <n v="219300"/>
    <m/>
    <n v="0"/>
    <n v="0"/>
    <n v="0"/>
    <n v="0"/>
  </r>
  <r>
    <d v="2026-01-17T00:00:00"/>
    <x v="126"/>
    <s v="Karen Forero"/>
    <m/>
    <m/>
    <n v="0"/>
    <m/>
    <n v="0"/>
    <n v="0"/>
    <n v="0"/>
    <n v="0"/>
  </r>
  <r>
    <d v="2026-01-17T00:00:00"/>
    <x v="127"/>
    <s v="Karen Sofía Bolívar Triviño"/>
    <m/>
    <m/>
    <n v="107600"/>
    <m/>
    <n v="107600"/>
    <n v="0"/>
    <n v="107600"/>
    <n v="0"/>
  </r>
  <r>
    <d v="2026-01-25T00:00:00"/>
    <x v="128"/>
    <s v="Katherine Padilla Mosquera"/>
    <s v="bancolombia"/>
    <m/>
    <n v="445500"/>
    <m/>
    <n v="445500"/>
    <n v="0"/>
    <n v="0"/>
    <n v="0"/>
  </r>
  <r>
    <d v="2026-01-26T00:00:00"/>
    <x v="128"/>
    <s v="Katherine Padilla Mosquera"/>
    <s v="Chefibio"/>
    <n v="13500"/>
    <m/>
    <n v="445500"/>
    <n v="0"/>
    <n v="0"/>
    <n v="0"/>
    <n v="0"/>
  </r>
  <r>
    <d v="2026-02-07T00:00:00"/>
    <x v="128"/>
    <s v="Katherine Padilla Mosquera"/>
    <s v="bancolombia"/>
    <m/>
    <n v="445500"/>
    <m/>
    <n v="445500"/>
    <n v="0"/>
    <n v="0"/>
    <n v="0"/>
  </r>
  <r>
    <d v="2026-02-09T00:00:00"/>
    <x v="128"/>
    <s v="Katherine Padilla Mosquera"/>
    <s v="Chefibio"/>
    <n v="13500"/>
    <m/>
    <n v="445500"/>
    <n v="0"/>
    <n v="0"/>
    <n v="0"/>
    <n v="0"/>
  </r>
  <r>
    <d v="2026-02-12T00:00:00"/>
    <x v="129"/>
    <s v="Kevin Leonardo Quevedo Ardila "/>
    <s v="Chefibio"/>
    <n v="4900"/>
    <m/>
    <n v="127400"/>
    <n v="0"/>
    <n v="127400"/>
    <n v="0"/>
    <n v="0"/>
  </r>
  <r>
    <d v="2026-02-14T00:00:00"/>
    <x v="129"/>
    <s v="Kevin Leonardo Quevedo Ardila "/>
    <s v="bancolombia"/>
    <m/>
    <n v="127400"/>
    <m/>
    <n v="0"/>
    <n v="0"/>
    <n v="0"/>
    <n v="0"/>
  </r>
  <r>
    <d v="2026-01-19T00:00:00"/>
    <x v="130"/>
    <s v="La Tienda De Mechas Y Sus Amigos"/>
    <s v="bancolombia"/>
    <m/>
    <n v="66000"/>
    <m/>
    <n v="66000"/>
    <n v="0"/>
    <n v="0"/>
    <n v="0"/>
  </r>
  <r>
    <d v="2026-01-19T00:00:00"/>
    <x v="130"/>
    <s v="La Tienda De Mechas Y Sus Amigos"/>
    <s v="Chefibio"/>
    <n v="3000"/>
    <m/>
    <n v="66000"/>
    <n v="0"/>
    <n v="0"/>
    <n v="0"/>
    <n v="0"/>
  </r>
  <r>
    <d v="2026-02-04T00:00:00"/>
    <x v="130"/>
    <s v="La Tienda De Mechas Y Sus Amigos"/>
    <s v="Caja menor"/>
    <m/>
    <n v="66000"/>
    <m/>
    <n v="66000"/>
    <n v="0"/>
    <n v="0"/>
    <n v="0"/>
  </r>
  <r>
    <d v="2026-02-04T00:00:00"/>
    <x v="130"/>
    <s v="La Tienda De Mechas Y Sus Amigos"/>
    <s v="Chefibio"/>
    <n v="3000"/>
    <m/>
    <n v="90000"/>
    <n v="0"/>
    <n v="24000"/>
    <n v="0"/>
    <n v="0"/>
  </r>
  <r>
    <d v="2026-02-06T00:00:00"/>
    <x v="130"/>
    <s v="La Tienda De Mechas Y Sus Amigos"/>
    <s v="Chefibio"/>
    <n v="3900"/>
    <m/>
    <n v="117000"/>
    <n v="0"/>
    <n v="141000"/>
    <n v="0"/>
    <n v="141000"/>
  </r>
  <r>
    <d v="2026-01-29T00:00:00"/>
    <x v="131"/>
    <s v="Lady Johanna Camargo Cardona"/>
    <s v="Chefibio"/>
    <n v="3300"/>
    <m/>
    <n v="125400"/>
    <n v="0"/>
    <n v="125400"/>
    <n v="0"/>
    <n v="0"/>
  </r>
  <r>
    <d v="2026-01-30T00:00:00"/>
    <x v="131"/>
    <s v="Lady Johanna Camargo Cardona"/>
    <s v="bancolombia"/>
    <m/>
    <n v="125400"/>
    <m/>
    <n v="0"/>
    <n v="0"/>
    <n v="0"/>
    <n v="0"/>
  </r>
  <r>
    <d v="2026-02-09T00:00:00"/>
    <x v="131"/>
    <s v="Lady Johanna Camargo Cardona"/>
    <s v="bancolombia"/>
    <m/>
    <n v="108000"/>
    <m/>
    <n v="108000"/>
    <n v="0"/>
    <n v="0"/>
    <n v="0"/>
  </r>
  <r>
    <d v="2026-02-16T00:00:00"/>
    <x v="131"/>
    <s v="Lady Johanna Camargo Cardona"/>
    <s v="bancolombia"/>
    <m/>
    <n v="125400"/>
    <m/>
    <n v="233400"/>
    <n v="0"/>
    <n v="0"/>
    <n v="0"/>
  </r>
  <r>
    <d v="2026-02-16T00:00:00"/>
    <x v="131"/>
    <s v="Lady Johanna Camargo Cardona"/>
    <s v="Chefibio"/>
    <n v="3300"/>
    <m/>
    <n v="125400"/>
    <n v="108000"/>
    <n v="0"/>
    <n v="108000"/>
    <n v="0"/>
  </r>
  <r>
    <d v="2026-01-22T00:00:00"/>
    <x v="132"/>
    <s v="Laura Alejandra Torres Granados"/>
    <s v="Chefibio"/>
    <n v="5400"/>
    <m/>
    <n v="136000"/>
    <n v="0"/>
    <n v="136000"/>
    <n v="0"/>
    <n v="0"/>
  </r>
  <r>
    <d v="2026-02-03T00:00:00"/>
    <x v="132"/>
    <s v="Laura Alejandra Torres Granados"/>
    <s v="bancolombia"/>
    <m/>
    <n v="272000"/>
    <m/>
    <n v="136000"/>
    <n v="0"/>
    <n v="0"/>
    <n v="0"/>
  </r>
  <r>
    <d v="2026-02-06T00:00:00"/>
    <x v="132"/>
    <s v="Laura Alejandra Torres Granados"/>
    <s v="Chefibio"/>
    <n v="5400"/>
    <m/>
    <n v="136000"/>
    <n v="0"/>
    <n v="0"/>
    <n v="0"/>
    <n v="0"/>
  </r>
  <r>
    <d v="2026-01-17T00:00:00"/>
    <x v="133"/>
    <s v="Laura Cristina Sanabria Moreno"/>
    <m/>
    <m/>
    <m/>
    <n v="117300"/>
    <n v="0"/>
    <n v="117300"/>
    <n v="0"/>
    <n v="0"/>
  </r>
  <r>
    <d v="2026-01-17T00:00:00"/>
    <x v="133"/>
    <s v="Laura Cristina Sanabria Moreno"/>
    <s v="bancolombia"/>
    <m/>
    <n v="117300"/>
    <m/>
    <n v="0"/>
    <n v="0"/>
    <n v="0"/>
    <n v="0"/>
  </r>
  <r>
    <d v="2026-01-30T00:00:00"/>
    <x v="133"/>
    <s v="Laura Cristina Sanabria Moreno"/>
    <s v="Chefibio"/>
    <n v="3450"/>
    <m/>
    <n v="117300"/>
    <n v="0"/>
    <n v="117300"/>
    <n v="0"/>
    <n v="0"/>
  </r>
  <r>
    <d v="2026-02-02T00:00:00"/>
    <x v="133"/>
    <s v="Laura Cristina Sanabria Moreno"/>
    <s v="bancolombia"/>
    <m/>
    <n v="117300"/>
    <m/>
    <n v="0"/>
    <n v="0"/>
    <n v="0"/>
    <n v="0"/>
  </r>
  <r>
    <d v="2026-02-13T00:00:00"/>
    <x v="133"/>
    <s v="Laura Cristina Sanabria Moreno"/>
    <s v="Chefibio"/>
    <n v="3450"/>
    <m/>
    <n v="117300"/>
    <n v="0"/>
    <n v="117300"/>
    <n v="0"/>
    <n v="0"/>
  </r>
  <r>
    <d v="2026-02-16T00:00:00"/>
    <x v="133"/>
    <s v="Laura Cristina Sanabria Moreno"/>
    <s v="bancolombia"/>
    <m/>
    <n v="117300"/>
    <m/>
    <n v="0"/>
    <n v="0"/>
    <n v="0"/>
    <n v="0"/>
  </r>
  <r>
    <d v="2026-01-17T00:00:00"/>
    <x v="134"/>
    <s v="Laura Fernanda Gomez Ramirez"/>
    <m/>
    <m/>
    <m/>
    <n v="138200"/>
    <n v="0"/>
    <n v="138200"/>
    <n v="0"/>
    <n v="0"/>
  </r>
  <r>
    <d v="2026-01-18T00:00:00"/>
    <x v="134"/>
    <s v="Laura Fernanda Gomez Ramirez"/>
    <s v="bancolombia"/>
    <m/>
    <n v="138200"/>
    <m/>
    <n v="0"/>
    <n v="0"/>
    <n v="0"/>
    <n v="0"/>
  </r>
  <r>
    <d v="2026-01-19T00:00:00"/>
    <x v="134"/>
    <s v="Laura Fernanda Gomez Ramirez"/>
    <s v="Chefibio"/>
    <n v="2700"/>
    <m/>
    <n v="108500"/>
    <n v="0"/>
    <n v="108500"/>
    <n v="0"/>
    <n v="0"/>
  </r>
  <r>
    <d v="2026-01-20T00:00:00"/>
    <x v="134"/>
    <s v="Laura Fernanda Gomez Ramirez"/>
    <s v="bancolombia"/>
    <m/>
    <n v="108500"/>
    <m/>
    <n v="0"/>
    <n v="0"/>
    <n v="0"/>
    <n v="0"/>
  </r>
  <r>
    <d v="2026-02-04T00:00:00"/>
    <x v="134"/>
    <s v="Laura Fernanda Gomez Ramirez"/>
    <s v="Chefibio"/>
    <n v="2700"/>
    <m/>
    <n v="108500"/>
    <n v="0"/>
    <n v="108500"/>
    <n v="0"/>
    <n v="0"/>
  </r>
  <r>
    <d v="2026-02-17T00:00:00"/>
    <x v="134"/>
    <s v="Laura Fernanda Gomez Ramirez"/>
    <s v="Chefibio"/>
    <n v="2700"/>
    <m/>
    <n v="108500"/>
    <n v="0"/>
    <n v="217000"/>
    <n v="0"/>
    <n v="217000"/>
  </r>
  <r>
    <d v="2026-01-17T00:00:00"/>
    <x v="135"/>
    <s v="Laura Marcela Niño Rojas"/>
    <s v="bancolombia"/>
    <m/>
    <n v="71400"/>
    <m/>
    <n v="71400"/>
    <n v="0"/>
    <n v="0"/>
    <n v="0"/>
  </r>
  <r>
    <d v="2026-01-17T00:00:00"/>
    <x v="135"/>
    <s v="Laura Marcela Niño Rojas"/>
    <m/>
    <m/>
    <m/>
    <n v="71400"/>
    <n v="0"/>
    <n v="0"/>
    <n v="0"/>
    <n v="0"/>
  </r>
  <r>
    <d v="2026-02-09T00:00:00"/>
    <x v="135"/>
    <s v="Laura Marcela Niño Rojas"/>
    <s v="Chefibio"/>
    <n v="2100"/>
    <m/>
    <n v="71400"/>
    <n v="0"/>
    <n v="71400"/>
    <n v="0"/>
    <n v="0"/>
  </r>
  <r>
    <d v="2026-02-10T00:00:00"/>
    <x v="135"/>
    <s v="Laura Marcela Niño Rojas"/>
    <s v="bancolombia"/>
    <m/>
    <n v="71400"/>
    <m/>
    <n v="0"/>
    <n v="0"/>
    <n v="0"/>
    <n v="0"/>
  </r>
  <r>
    <d v="2026-01-17T00:00:00"/>
    <x v="136"/>
    <s v="Laura Posso"/>
    <m/>
    <m/>
    <n v="77400"/>
    <m/>
    <n v="77400"/>
    <n v="0"/>
    <n v="0"/>
    <n v="0"/>
  </r>
  <r>
    <d v="2026-01-18T00:00:00"/>
    <x v="136"/>
    <s v="Laura Posso"/>
    <s v="Chefibio"/>
    <n v="1800"/>
    <m/>
    <n v="77400"/>
    <n v="0"/>
    <n v="0"/>
    <n v="0"/>
    <n v="0"/>
  </r>
  <r>
    <d v="2026-02-04T00:00:00"/>
    <x v="136"/>
    <s v="Laura Posso"/>
    <s v="bancolombia"/>
    <m/>
    <n v="154800"/>
    <m/>
    <n v="154800"/>
    <n v="0"/>
    <n v="0"/>
    <n v="0"/>
  </r>
  <r>
    <d v="2026-02-04T00:00:00"/>
    <x v="136"/>
    <s v="Laura Posso"/>
    <s v="Chefibio"/>
    <n v="1800"/>
    <m/>
    <n v="77400"/>
    <n v="77400"/>
    <n v="0"/>
    <n v="0"/>
    <n v="0"/>
  </r>
  <r>
    <d v="2026-02-17T00:00:00"/>
    <x v="136"/>
    <s v="Laura Posso"/>
    <s v="Chefibio"/>
    <n v="2700"/>
    <m/>
    <n v="116100"/>
    <n v="0"/>
    <n v="38700"/>
    <n v="0"/>
    <n v="38700"/>
  </r>
  <r>
    <d v="2026-01-17T00:00:00"/>
    <x v="137"/>
    <s v="Laura Solano-Paola Garcia"/>
    <m/>
    <m/>
    <m/>
    <n v="98900"/>
    <n v="0"/>
    <n v="98900"/>
    <n v="0"/>
    <n v="0"/>
  </r>
  <r>
    <d v="2026-01-22T00:00:00"/>
    <x v="137"/>
    <s v="Laura Solano-Paola Garcia"/>
    <s v="Chefibio"/>
    <n v="3150"/>
    <m/>
    <n v="94000"/>
    <n v="0"/>
    <n v="192900"/>
    <n v="0"/>
    <n v="0"/>
  </r>
  <r>
    <d v="2026-01-27T00:00:00"/>
    <x v="137"/>
    <s v="Laura Solano-Paola Garcia"/>
    <s v="Chefibio"/>
    <n v="3150"/>
    <m/>
    <n v="94000"/>
    <n v="0"/>
    <n v="286900"/>
    <n v="0"/>
    <n v="0"/>
  </r>
  <r>
    <d v="2026-02-03T00:00:00"/>
    <x v="137"/>
    <s v="Laura Solano-Paola Garcia"/>
    <s v="Chefibio"/>
    <n v="3150"/>
    <m/>
    <n v="94000"/>
    <n v="0"/>
    <n v="380900"/>
    <n v="0"/>
    <n v="0"/>
  </r>
  <r>
    <d v="2026-02-06T00:00:00"/>
    <x v="137"/>
    <s v="Laura Solano-Paola Garcia"/>
    <s v="bancolombia"/>
    <m/>
    <n v="286900"/>
    <m/>
    <n v="0"/>
    <n v="94000"/>
    <n v="0"/>
    <n v="0"/>
  </r>
  <r>
    <d v="2026-02-11T00:00:00"/>
    <x v="137"/>
    <s v="Laura Solano-Paola Garcia"/>
    <s v="Chefibio"/>
    <n v="3150"/>
    <m/>
    <n v="94000"/>
    <n v="0"/>
    <n v="188000"/>
    <n v="0"/>
    <n v="0"/>
  </r>
  <r>
    <d v="2026-02-18T00:00:00"/>
    <x v="137"/>
    <s v="Laura Solano-Paola Garcia"/>
    <s v="Chefibio"/>
    <n v="3150"/>
    <m/>
    <n v="94000"/>
    <n v="0"/>
    <n v="282000"/>
    <n v="0"/>
    <n v="282000"/>
  </r>
  <r>
    <d v="2026-01-17T00:00:00"/>
    <x v="138"/>
    <s v="Leidy Gaviria"/>
    <m/>
    <m/>
    <m/>
    <n v="32750"/>
    <n v="0"/>
    <n v="32750"/>
    <n v="0"/>
    <n v="0"/>
  </r>
  <r>
    <d v="2026-01-19T00:00:00"/>
    <x v="138"/>
    <s v="Leidy Gaviria"/>
    <s v="Chefibio"/>
    <n v="9240"/>
    <m/>
    <n v="138600"/>
    <n v="0"/>
    <n v="171350"/>
    <n v="0"/>
    <n v="0"/>
  </r>
  <r>
    <d v="2026-01-28T00:00:00"/>
    <x v="138"/>
    <s v="Leidy Gaviria"/>
    <s v="Caja menor"/>
    <m/>
    <n v="171350"/>
    <m/>
    <n v="0"/>
    <n v="0"/>
    <n v="0"/>
    <n v="0"/>
  </r>
  <r>
    <d v="2026-01-30T00:00:00"/>
    <x v="138"/>
    <s v="Leidy Gaviria"/>
    <s v="Chefibio"/>
    <n v="8400"/>
    <m/>
    <n v="109200"/>
    <n v="0"/>
    <n v="109200"/>
    <n v="0"/>
    <n v="109200"/>
  </r>
  <r>
    <d v="2026-01-23T00:00:00"/>
    <x v="139"/>
    <s v="Leidy Johana Murcia"/>
    <s v="Caja menor"/>
    <m/>
    <n v="108000"/>
    <m/>
    <n v="108000"/>
    <n v="0"/>
    <n v="0"/>
    <n v="0"/>
  </r>
  <r>
    <d v="2026-01-23T00:00:00"/>
    <x v="139"/>
    <s v="Leidy Johana Murcia"/>
    <s v="Chefibio"/>
    <n v="2700"/>
    <m/>
    <n v="108000"/>
    <n v="0"/>
    <n v="0"/>
    <n v="0"/>
    <n v="0"/>
  </r>
  <r>
    <d v="2026-02-09T00:00:00"/>
    <x v="139"/>
    <s v="Leidy Johana Murcia"/>
    <s v="Chefibio"/>
    <n v="2700"/>
    <m/>
    <n v="108000"/>
    <n v="0"/>
    <n v="108000"/>
    <n v="0"/>
    <n v="108000"/>
  </r>
  <r>
    <d v="2026-01-29T00:00:00"/>
    <x v="140"/>
    <s v="Liliana Andrea Sánchez Cristancho Chiripa"/>
    <s v="Chefibio"/>
    <n v="4050"/>
    <m/>
    <n v="101250"/>
    <n v="0"/>
    <n v="101250"/>
    <n v="0"/>
    <n v="0"/>
  </r>
  <r>
    <d v="2026-01-29T00:00:00"/>
    <x v="140"/>
    <s v="Liliana Andrea Sánchez Cristancho Manolo"/>
    <s v="Chefibio"/>
    <n v="4725"/>
    <m/>
    <n v="118125"/>
    <n v="0"/>
    <n v="219375"/>
    <n v="0"/>
    <n v="0"/>
  </r>
  <r>
    <d v="2026-01-29T00:00:00"/>
    <x v="140"/>
    <s v="Liliana Andrea Sánchez Cristancho Mia"/>
    <s v="Chefibio"/>
    <n v="3080"/>
    <m/>
    <n v="77000"/>
    <n v="0"/>
    <n v="296375"/>
    <n v="0"/>
    <n v="0"/>
  </r>
  <r>
    <d v="2026-01-29T00:00:00"/>
    <x v="140"/>
    <s v="Liliana Andrea Sánchez Cristancho Mia"/>
    <s v="Chefibio"/>
    <n v="3220"/>
    <m/>
    <n v="80500"/>
    <n v="0"/>
    <n v="376875"/>
    <n v="0"/>
    <n v="0"/>
  </r>
  <r>
    <d v="2026-01-29T00:00:00"/>
    <x v="140"/>
    <s v="Liliana Andrea Sánchez Cristancho Milo"/>
    <s v="Chefibio"/>
    <n v="3600"/>
    <m/>
    <n v="90000"/>
    <n v="0"/>
    <n v="466875"/>
    <n v="0"/>
    <n v="0"/>
  </r>
  <r>
    <d v="2026-01-29T00:00:00"/>
    <x v="140"/>
    <s v="Liliana Andrea Sánchez Cristancho Ramon"/>
    <s v="Chefibio"/>
    <n v="4725"/>
    <m/>
    <n v="118125"/>
    <n v="0"/>
    <n v="585000"/>
    <n v="0"/>
    <n v="0"/>
  </r>
  <r>
    <d v="2026-01-29T00:00:00"/>
    <x v="140"/>
    <s v="Liliana Andrea Sánchez Cristancho Tostao"/>
    <s v="Chefibio"/>
    <n v="2700"/>
    <m/>
    <n v="67500"/>
    <n v="0"/>
    <n v="652500"/>
    <n v="0"/>
    <n v="0"/>
  </r>
  <r>
    <d v="2026-01-29T00:00:00"/>
    <x v="140"/>
    <s v="Liliana Andrea Sánchez Cristancho Trufa"/>
    <s v="Chefibio"/>
    <n v="3150"/>
    <m/>
    <n v="78750"/>
    <n v="0"/>
    <n v="731250"/>
    <n v="0"/>
    <n v="0"/>
  </r>
  <r>
    <d v="2026-01-30T00:00:00"/>
    <x v="140"/>
    <s v="Liliana Andrea Sánchez Cristancho Chiripa"/>
    <s v="bancolombia"/>
    <m/>
    <n v="731250"/>
    <m/>
    <n v="0"/>
    <n v="0"/>
    <n v="0"/>
    <n v="0"/>
  </r>
  <r>
    <d v="2026-02-13T00:00:00"/>
    <x v="140"/>
    <s v="Liliana Andrea Sánchez Cristancho Chiripa"/>
    <s v="bancolombia"/>
    <m/>
    <n v="731250"/>
    <m/>
    <n v="731250"/>
    <n v="0"/>
    <n v="0"/>
    <n v="0"/>
  </r>
  <r>
    <d v="2026-02-13T00:00:00"/>
    <x v="140"/>
    <s v="Liliana Andrea Sánchez Cristancho Chiripa"/>
    <s v="Chefibio"/>
    <n v="4050"/>
    <m/>
    <n v="101250"/>
    <n v="630000"/>
    <n v="0"/>
    <n v="0"/>
    <n v="0"/>
  </r>
  <r>
    <d v="2026-02-13T00:00:00"/>
    <x v="140"/>
    <s v="Liliana Andrea Sánchez Cristancho Manolo"/>
    <s v="Chefibio"/>
    <n v="4725"/>
    <m/>
    <n v="118125"/>
    <n v="511875"/>
    <n v="0"/>
    <n v="0"/>
    <n v="0"/>
  </r>
  <r>
    <d v="2026-02-13T00:00:00"/>
    <x v="140"/>
    <s v="Liliana Andrea Sánchez Cristancho Mia"/>
    <s v="Chefibio"/>
    <n v="3220"/>
    <m/>
    <n v="80500"/>
    <n v="431375"/>
    <n v="0"/>
    <n v="0"/>
    <n v="0"/>
  </r>
  <r>
    <d v="2026-02-13T00:00:00"/>
    <x v="140"/>
    <s v="Liliana Andrea Sánchez Cristancho Mia"/>
    <s v="Chefibio"/>
    <n v="3080"/>
    <m/>
    <n v="77000"/>
    <n v="354375"/>
    <n v="0"/>
    <n v="0"/>
    <n v="0"/>
  </r>
  <r>
    <d v="2026-02-13T00:00:00"/>
    <x v="140"/>
    <s v="Liliana Andrea Sánchez Cristancho Milo"/>
    <s v="Chefibio"/>
    <n v="3600"/>
    <m/>
    <n v="90000"/>
    <n v="264375"/>
    <n v="0"/>
    <n v="0"/>
    <n v="0"/>
  </r>
  <r>
    <d v="2026-02-13T00:00:00"/>
    <x v="140"/>
    <s v="Liliana Andrea Sánchez Cristancho Ramon"/>
    <s v="Chefibio"/>
    <n v="4725"/>
    <m/>
    <n v="118125"/>
    <n v="146250"/>
    <n v="0"/>
    <n v="0"/>
    <n v="0"/>
  </r>
  <r>
    <d v="2026-02-13T00:00:00"/>
    <x v="140"/>
    <s v="Liliana Andrea Sánchez Cristancho Tostao"/>
    <s v="Chefibio"/>
    <n v="2700"/>
    <m/>
    <n v="67500"/>
    <n v="78750"/>
    <n v="0"/>
    <n v="0"/>
    <n v="0"/>
  </r>
  <r>
    <d v="2026-02-13T00:00:00"/>
    <x v="140"/>
    <s v="Liliana Andrea Sánchez Cristancho Trufa"/>
    <s v="Chefibio"/>
    <n v="3150"/>
    <m/>
    <n v="78750"/>
    <n v="0"/>
    <n v="0"/>
    <n v="0"/>
    <n v="0"/>
  </r>
  <r>
    <d v="2026-01-17T00:00:00"/>
    <x v="141"/>
    <s v="Liliana Gomez"/>
    <m/>
    <m/>
    <n v="105000"/>
    <m/>
    <n v="105000"/>
    <n v="0"/>
    <n v="0"/>
    <n v="0"/>
  </r>
  <r>
    <d v="2026-01-18T00:00:00"/>
    <x v="141"/>
    <s v="Liliana Gomez"/>
    <s v="Chefibio"/>
    <n v="5000"/>
    <m/>
    <n v="105000"/>
    <n v="0"/>
    <n v="0"/>
    <n v="0"/>
    <n v="0"/>
  </r>
  <r>
    <d v="2026-01-28T00:00:00"/>
    <x v="142"/>
    <s v="Lina Bustos 140"/>
    <s v="Chefibio"/>
    <n v="4200"/>
    <m/>
    <n v="101298"/>
    <n v="0"/>
    <n v="101298"/>
    <n v="0"/>
    <n v="0"/>
  </r>
  <r>
    <d v="2026-01-28T00:00:00"/>
    <x v="142"/>
    <s v="Lina Bustos 190"/>
    <s v="Chefibio"/>
    <n v="4940"/>
    <m/>
    <n v="170208"/>
    <n v="0"/>
    <n v="271506"/>
    <n v="0"/>
    <n v="0"/>
  </r>
  <r>
    <d v="2026-01-28T00:00:00"/>
    <x v="142"/>
    <s v="Lina Bustos 240"/>
    <s v="Chefibio"/>
    <n v="960"/>
    <m/>
    <n v="33081"/>
    <n v="0"/>
    <n v="304587"/>
    <n v="0"/>
    <n v="0"/>
  </r>
  <r>
    <d v="2026-01-30T00:00:00"/>
    <x v="142"/>
    <s v="Lina Bustos 140"/>
    <s v="Datafono"/>
    <m/>
    <n v="304600"/>
    <m/>
    <n v="13"/>
    <n v="0"/>
    <n v="0"/>
    <n v="0"/>
  </r>
  <r>
    <d v="2026-02-13T00:00:00"/>
    <x v="142"/>
    <s v="Lina Bustos 140"/>
    <s v="Chefibio"/>
    <n v="4200"/>
    <m/>
    <n v="144711"/>
    <n v="0"/>
    <n v="144698"/>
    <n v="0"/>
    <n v="0"/>
  </r>
  <r>
    <d v="2026-02-13T00:00:00"/>
    <x v="142"/>
    <s v="Lina Bustos 190"/>
    <s v="Chefibio"/>
    <n v="4940"/>
    <m/>
    <n v="170208"/>
    <n v="0"/>
    <n v="314906"/>
    <n v="0"/>
    <n v="0"/>
  </r>
  <r>
    <d v="2026-02-13T00:00:00"/>
    <x v="142"/>
    <s v="Lina Bustos 240"/>
    <s v="Chefibio"/>
    <n v="960"/>
    <m/>
    <n v="33077"/>
    <n v="0"/>
    <n v="347983"/>
    <n v="0"/>
    <n v="347983"/>
  </r>
  <r>
    <d v="2026-01-23T00:00:00"/>
    <x v="143"/>
    <s v="Lina Marcela Vasquez "/>
    <s v="bancolombia"/>
    <m/>
    <n v="56700"/>
    <m/>
    <n v="56700"/>
    <n v="0"/>
    <n v="0"/>
    <n v="0"/>
  </r>
  <r>
    <d v="2026-01-23T00:00:00"/>
    <x v="143"/>
    <s v="Lina Marcela Vasquez "/>
    <s v="Chefibio"/>
    <n v="1260"/>
    <m/>
    <n v="56700"/>
    <n v="0"/>
    <n v="0"/>
    <n v="0"/>
    <n v="0"/>
  </r>
  <r>
    <d v="2026-01-30T00:00:00"/>
    <x v="143"/>
    <s v="Lina Marcela Vasquez "/>
    <s v="Chefibio"/>
    <n v="1260"/>
    <m/>
    <n v="56700"/>
    <n v="0"/>
    <n v="56700"/>
    <n v="0"/>
    <n v="0"/>
  </r>
  <r>
    <d v="2026-02-01T00:00:00"/>
    <x v="143"/>
    <s v="Lina Marcela Vasquez "/>
    <s v="bancolombia"/>
    <m/>
    <n v="56700"/>
    <m/>
    <n v="0"/>
    <n v="0"/>
    <n v="0"/>
    <n v="0"/>
  </r>
  <r>
    <d v="2026-02-06T00:00:00"/>
    <x v="143"/>
    <s v="Lina Marcela Vasquez "/>
    <s v="Chefibio"/>
    <n v="1260"/>
    <m/>
    <n v="56700"/>
    <n v="0"/>
    <n v="56700"/>
    <n v="0"/>
    <n v="0"/>
  </r>
  <r>
    <d v="2026-02-06T00:00:00"/>
    <x v="143"/>
    <s v="Lina Marcela Vasquez "/>
    <s v="bancolombia"/>
    <m/>
    <n v="56700"/>
    <m/>
    <n v="0"/>
    <n v="0"/>
    <n v="0"/>
    <n v="0"/>
  </r>
  <r>
    <d v="2026-02-13T00:00:00"/>
    <x v="143"/>
    <s v="Lina Marcela Vasquez "/>
    <s v="Nuggets"/>
    <n v="200"/>
    <m/>
    <n v="19000"/>
    <n v="0"/>
    <n v="19000"/>
    <n v="0"/>
    <n v="0"/>
  </r>
  <r>
    <d v="2026-02-13T00:00:00"/>
    <x v="143"/>
    <s v="Lina Marcela Vasquez "/>
    <s v="Chefibio"/>
    <n v="1260"/>
    <m/>
    <n v="56700"/>
    <n v="0"/>
    <n v="75700"/>
    <n v="0"/>
    <n v="0"/>
  </r>
  <r>
    <d v="2026-02-15T00:00:00"/>
    <x v="143"/>
    <s v="Lina Marcela Vasquez "/>
    <s v="bancolombia"/>
    <m/>
    <n v="75700"/>
    <m/>
    <n v="0"/>
    <n v="0"/>
    <n v="0"/>
    <n v="0"/>
  </r>
  <r>
    <d v="2026-01-17T00:00:00"/>
    <x v="144"/>
    <s v="Luis Alonso"/>
    <m/>
    <m/>
    <m/>
    <n v="187034"/>
    <n v="0"/>
    <n v="187034"/>
    <n v="0"/>
    <n v="0"/>
  </r>
  <r>
    <d v="2026-01-25T00:00:00"/>
    <x v="144"/>
    <s v="Luis Alonso"/>
    <s v="bancolombia"/>
    <m/>
    <n v="374000"/>
    <m/>
    <n v="186966"/>
    <n v="0"/>
    <n v="0"/>
    <n v="0"/>
  </r>
  <r>
    <d v="2026-01-27T00:00:00"/>
    <x v="144"/>
    <s v="Luis Alonso"/>
    <s v="Chefibio"/>
    <n v="9000"/>
    <m/>
    <n v="225000"/>
    <n v="0"/>
    <n v="38034"/>
    <n v="0"/>
    <n v="0"/>
  </r>
  <r>
    <d v="2026-02-12T00:00:00"/>
    <x v="144"/>
    <s v="Luis Alonso"/>
    <s v="Chefibio"/>
    <n v="9000"/>
    <m/>
    <n v="225000"/>
    <n v="0"/>
    <n v="263034"/>
    <n v="0"/>
    <n v="263034"/>
  </r>
  <r>
    <d v="2026-01-17T00:00:00"/>
    <x v="145"/>
    <s v="Luis Fernando Galvis Osorio Gaia"/>
    <m/>
    <m/>
    <n v="0"/>
    <m/>
    <n v="0"/>
    <n v="0"/>
    <n v="0"/>
    <n v="0"/>
  </r>
  <r>
    <d v="2026-01-27T00:00:00"/>
    <x v="145"/>
    <s v="Luis Fernando Galvis Osorio Gaia"/>
    <s v="Chefibio"/>
    <n v="2250"/>
    <m/>
    <n v="72000"/>
    <n v="0"/>
    <n v="72000"/>
    <n v="0"/>
    <n v="0"/>
  </r>
  <r>
    <d v="2026-01-27T00:00:00"/>
    <x v="145"/>
    <s v="Luis Fernando Galvis Osorio Thor"/>
    <s v="Nuggets"/>
    <n v="200"/>
    <m/>
    <n v="19000"/>
    <n v="0"/>
    <n v="91000"/>
    <n v="0"/>
    <n v="0"/>
  </r>
  <r>
    <d v="2026-01-27T00:00:00"/>
    <x v="145"/>
    <s v="Luis Fernando Galvis Osorio Thor"/>
    <s v="Chefibio"/>
    <n v="2550"/>
    <m/>
    <n v="81600"/>
    <n v="0"/>
    <n v="172600"/>
    <n v="0"/>
    <n v="0"/>
  </r>
  <r>
    <d v="2026-01-30T00:00:00"/>
    <x v="145"/>
    <s v="Luis Fernando Galvis Osorio Gaia"/>
    <s v="bancolombia"/>
    <m/>
    <n v="172600"/>
    <m/>
    <n v="0"/>
    <n v="0"/>
    <n v="0"/>
    <n v="0"/>
  </r>
  <r>
    <d v="2026-02-09T00:00:00"/>
    <x v="145"/>
    <s v="Luis Fernando Galvis Osorio Gaia"/>
    <s v="Chefibio"/>
    <n v="2250"/>
    <m/>
    <n v="72000"/>
    <n v="0"/>
    <n v="72000"/>
    <n v="0"/>
    <n v="0"/>
  </r>
  <r>
    <d v="2026-02-09T00:00:00"/>
    <x v="145"/>
    <s v="Luis Fernando Galvis Osorio Thor"/>
    <s v="Nuggets"/>
    <n v="400"/>
    <m/>
    <n v="12800"/>
    <n v="0"/>
    <n v="84800"/>
    <n v="0"/>
    <n v="0"/>
  </r>
  <r>
    <d v="2026-02-09T00:00:00"/>
    <x v="145"/>
    <s v="Luis Fernando Galvis Osorio Thor"/>
    <s v="Chefibio"/>
    <n v="2550"/>
    <m/>
    <n v="81600"/>
    <n v="0"/>
    <n v="166400"/>
    <n v="0"/>
    <n v="0"/>
  </r>
  <r>
    <d v="2026-02-16T00:00:00"/>
    <x v="145"/>
    <s v="Luis Fernando Galvis Osorio Gaia"/>
    <s v="bancolombia"/>
    <m/>
    <n v="172600"/>
    <m/>
    <n v="6200"/>
    <n v="0"/>
    <n v="6200"/>
    <n v="0"/>
  </r>
  <r>
    <d v="2026-01-30T00:00:00"/>
    <x v="146"/>
    <s v="Luisa Fernanda Barbosa"/>
    <s v="Chefibio"/>
    <n v="1800"/>
    <m/>
    <n v="77400"/>
    <n v="0"/>
    <n v="77400"/>
    <n v="0"/>
    <n v="0"/>
  </r>
  <r>
    <d v="2026-02-09T00:00:00"/>
    <x v="146"/>
    <s v="Luisa Fernanda Barbosa"/>
    <s v="bancolombia"/>
    <m/>
    <n v="77400"/>
    <m/>
    <n v="0"/>
    <n v="0"/>
    <n v="0"/>
    <n v="0"/>
  </r>
  <r>
    <d v="2026-02-18T00:00:00"/>
    <x v="146"/>
    <s v="Luisa Fernanda Barbosa"/>
    <s v="Chefibio"/>
    <n v="1800"/>
    <m/>
    <n v="77400"/>
    <n v="0"/>
    <n v="77400"/>
    <n v="0"/>
    <n v="77400"/>
  </r>
  <r>
    <d v="2026-01-22T00:00:00"/>
    <x v="147"/>
    <s v="Luisa Fernanda Duque Barreiro"/>
    <s v="bancolombia"/>
    <m/>
    <n v="130000"/>
    <m/>
    <n v="130000"/>
    <n v="0"/>
    <n v="0"/>
    <n v="0"/>
  </r>
  <r>
    <d v="2026-01-22T00:00:00"/>
    <x v="147"/>
    <s v="Luisa Fernanda Duque Barreiro"/>
    <s v="Chefibio"/>
    <n v="2700"/>
    <m/>
    <n v="130000"/>
    <n v="0"/>
    <n v="0"/>
    <n v="0"/>
    <n v="0"/>
  </r>
  <r>
    <d v="2026-02-05T00:00:00"/>
    <x v="147"/>
    <s v="Luisa Fernanda Duque Barreiro"/>
    <s v="bancolombia"/>
    <m/>
    <n v="130000"/>
    <m/>
    <n v="130000"/>
    <n v="0"/>
    <n v="0"/>
    <n v="0"/>
  </r>
  <r>
    <d v="2026-02-05T00:00:00"/>
    <x v="147"/>
    <s v="Luisa Fernanda Duque Barreiro"/>
    <s v="Chefibio"/>
    <n v="2700"/>
    <m/>
    <n v="130000"/>
    <n v="0"/>
    <n v="0"/>
    <n v="0"/>
    <n v="0"/>
  </r>
  <r>
    <d v="2026-01-17T00:00:00"/>
    <x v="148"/>
    <s v="Luvier Fernando Lugo 130"/>
    <m/>
    <m/>
    <n v="0"/>
    <m/>
    <n v="0"/>
    <n v="0"/>
    <n v="0"/>
    <n v="0"/>
  </r>
  <r>
    <d v="2026-02-02T00:00:00"/>
    <x v="148"/>
    <s v="Luvier Fernando Lugo 130"/>
    <s v="Chefibio"/>
    <n v="3900"/>
    <m/>
    <n v="113100"/>
    <n v="0"/>
    <n v="113100"/>
    <n v="0"/>
    <n v="0"/>
  </r>
  <r>
    <d v="2026-02-02T00:00:00"/>
    <x v="148"/>
    <s v="Luvier Fernando Lugo 130"/>
    <s v="Datafono"/>
    <m/>
    <n v="268000"/>
    <m/>
    <n v="154900"/>
    <n v="0"/>
    <n v="0"/>
    <n v="0"/>
  </r>
  <r>
    <d v="2026-02-02T00:00:00"/>
    <x v="148"/>
    <s v="Luvier Fernando Lugo 200"/>
    <s v="Chefibio"/>
    <n v="6000"/>
    <m/>
    <n v="174000"/>
    <n v="0"/>
    <n v="19100"/>
    <n v="0"/>
    <n v="0"/>
  </r>
  <r>
    <d v="2026-02-16T00:00:00"/>
    <x v="148"/>
    <s v="Luvier Fernando Lugo 130"/>
    <s v="Chefibio"/>
    <n v="3900"/>
    <m/>
    <n v="113100"/>
    <n v="0"/>
    <n v="132200"/>
    <n v="0"/>
    <n v="0"/>
  </r>
  <r>
    <d v="2026-02-16T00:00:00"/>
    <x v="148"/>
    <s v="Luvier Fernando Lugo 130"/>
    <s v="Datafono"/>
    <m/>
    <n v="287100"/>
    <m/>
    <n v="154900"/>
    <n v="0"/>
    <n v="0"/>
    <n v="0"/>
  </r>
  <r>
    <d v="2026-02-16T00:00:00"/>
    <x v="148"/>
    <s v="Luvier Fernando Lugo 200"/>
    <s v="Chefibio"/>
    <n v="6000"/>
    <m/>
    <n v="174000"/>
    <n v="0"/>
    <n v="19100"/>
    <n v="0"/>
    <n v="19100"/>
  </r>
  <r>
    <d v="2026-01-17T00:00:00"/>
    <x v="149"/>
    <s v="Luz Marina Monroy 25"/>
    <m/>
    <m/>
    <n v="0"/>
    <m/>
    <n v="0"/>
    <n v="0"/>
    <n v="0"/>
    <n v="0"/>
  </r>
  <r>
    <d v="2026-01-29T00:00:00"/>
    <x v="149"/>
    <s v="Luz Marina Monroy 25"/>
    <s v="bancolombia"/>
    <m/>
    <n v="128400"/>
    <m/>
    <n v="128400"/>
    <n v="0"/>
    <n v="0"/>
    <n v="0"/>
  </r>
  <r>
    <d v="2026-01-29T00:00:00"/>
    <x v="149"/>
    <s v="Luz Marina Monroy 25"/>
    <s v="Chefibio"/>
    <n v="1125"/>
    <m/>
    <n v="54406"/>
    <n v="73994"/>
    <n v="0"/>
    <n v="0"/>
    <n v="0"/>
  </r>
  <r>
    <d v="2026-01-29T00:00:00"/>
    <x v="149"/>
    <s v="Luz Marina Monroy 34"/>
    <s v="Chefibio"/>
    <n v="1530"/>
    <m/>
    <n v="73992"/>
    <n v="2"/>
    <n v="0"/>
    <n v="2"/>
    <n v="0"/>
  </r>
  <r>
    <d v="2026-01-22T00:00:00"/>
    <x v="150"/>
    <s v="Luz Mery Camen"/>
    <s v="Caja menor"/>
    <m/>
    <n v="153900"/>
    <m/>
    <n v="153900"/>
    <n v="0"/>
    <n v="0"/>
    <n v="0"/>
  </r>
  <r>
    <d v="2026-01-22T00:00:00"/>
    <x v="150"/>
    <s v="Luz Mery Camen"/>
    <s v="Chefibio"/>
    <n v="5130"/>
    <m/>
    <n v="153900"/>
    <n v="0"/>
    <n v="0"/>
    <n v="0"/>
    <n v="0"/>
  </r>
  <r>
    <d v="2026-01-23T00:00:00"/>
    <x v="151"/>
    <s v="Marcela Diaz"/>
    <s v="Chefibio"/>
    <n v="4200"/>
    <m/>
    <n v="105000"/>
    <n v="0"/>
    <n v="105000"/>
    <n v="0"/>
    <n v="0"/>
  </r>
  <r>
    <d v="2026-01-24T00:00:00"/>
    <x v="151"/>
    <s v="Marcela Diaz"/>
    <s v="bancolombia"/>
    <m/>
    <n v="315000"/>
    <m/>
    <n v="210000"/>
    <n v="0"/>
    <n v="0"/>
    <n v="0"/>
  </r>
  <r>
    <d v="2026-02-09T00:00:00"/>
    <x v="151"/>
    <s v="Marcela Diaz"/>
    <s v="Chefibio"/>
    <n v="4200"/>
    <m/>
    <n v="105000"/>
    <n v="105000"/>
    <n v="0"/>
    <n v="105000"/>
    <n v="0"/>
  </r>
  <r>
    <d v="2026-01-17T00:00:00"/>
    <x v="152"/>
    <s v="Marcela Hernandez"/>
    <m/>
    <m/>
    <n v="0"/>
    <m/>
    <n v="0"/>
    <n v="0"/>
    <n v="0"/>
    <n v="0"/>
  </r>
  <r>
    <d v="2026-01-20T00:00:00"/>
    <x v="152"/>
    <s v="Marcela Hernandez"/>
    <s v="Chefibio"/>
    <n v="5060"/>
    <m/>
    <n v="126500"/>
    <n v="0"/>
    <n v="126500"/>
    <n v="0"/>
    <n v="0"/>
  </r>
  <r>
    <d v="2026-01-31T00:00:00"/>
    <x v="152"/>
    <s v="Marcela Hernandez"/>
    <s v="bancolombia"/>
    <m/>
    <n v="126500"/>
    <m/>
    <n v="0"/>
    <n v="0"/>
    <n v="0"/>
    <n v="0"/>
  </r>
  <r>
    <d v="2026-02-16T00:00:00"/>
    <x v="152"/>
    <s v="Marcela Hernandez"/>
    <s v="Chefibio"/>
    <n v="5060"/>
    <m/>
    <n v="126500"/>
    <n v="0"/>
    <n v="126500"/>
    <n v="0"/>
    <n v="126500"/>
  </r>
  <r>
    <d v="2026-02-02T00:00:00"/>
    <x v="153"/>
    <s v="María Alejandra Morales"/>
    <s v="Chefibio"/>
    <n v="2250"/>
    <m/>
    <n v="94500"/>
    <n v="0"/>
    <n v="94500"/>
    <n v="0"/>
    <n v="0"/>
  </r>
  <r>
    <d v="2026-02-03T00:00:00"/>
    <x v="153"/>
    <s v="María Alejandra Morales"/>
    <s v="bancolombia"/>
    <m/>
    <n v="94500"/>
    <m/>
    <n v="0"/>
    <n v="0"/>
    <n v="0"/>
    <n v="0"/>
  </r>
  <r>
    <d v="2026-01-17T00:00:00"/>
    <x v="154"/>
    <s v="Maria Alejandra Reina 145"/>
    <m/>
    <m/>
    <m/>
    <m/>
    <n v="0"/>
    <n v="0"/>
    <n v="0"/>
    <n v="0"/>
  </r>
  <r>
    <d v="2026-01-23T00:00:00"/>
    <x v="154"/>
    <s v="Maria Alejandra Reina 170"/>
    <s v="Chefibio"/>
    <n v="1190"/>
    <m/>
    <n v="47600"/>
    <n v="0"/>
    <n v="47600"/>
    <n v="0"/>
    <n v="0"/>
  </r>
  <r>
    <d v="2026-01-24T00:00:00"/>
    <x v="154"/>
    <s v="Maria Alejandra Reina 170"/>
    <s v="bancolombia"/>
    <m/>
    <n v="47600"/>
    <m/>
    <n v="0"/>
    <n v="0"/>
    <n v="0"/>
    <n v="0"/>
  </r>
  <r>
    <d v="2026-01-30T00:00:00"/>
    <x v="154"/>
    <s v="Maria Alejandra Reina 145"/>
    <s v="bancolombia"/>
    <m/>
    <n v="47600"/>
    <m/>
    <n v="47600"/>
    <n v="0"/>
    <n v="0"/>
    <n v="0"/>
  </r>
  <r>
    <d v="2026-01-30T00:00:00"/>
    <x v="154"/>
    <s v="Maria Alejandra Reina 170"/>
    <s v="Chefibio"/>
    <n v="1190"/>
    <m/>
    <n v="47600"/>
    <n v="0"/>
    <n v="0"/>
    <n v="0"/>
    <n v="0"/>
  </r>
  <r>
    <d v="2026-02-06T00:00:00"/>
    <x v="154"/>
    <s v="Maria Alejandra Reina 145"/>
    <s v="bancolombia"/>
    <m/>
    <n v="47600"/>
    <m/>
    <n v="47600"/>
    <n v="0"/>
    <n v="0"/>
    <n v="0"/>
  </r>
  <r>
    <d v="2026-02-06T00:00:00"/>
    <x v="154"/>
    <s v="Maria Alejandra Reina 170"/>
    <s v="Chefibio"/>
    <n v="1190"/>
    <m/>
    <n v="47600"/>
    <n v="0"/>
    <n v="0"/>
    <n v="0"/>
    <n v="0"/>
  </r>
  <r>
    <d v="2026-02-13T00:00:00"/>
    <x v="154"/>
    <s v="Maria Alejandra Reina 170"/>
    <s v="Chefibio"/>
    <n v="1190"/>
    <m/>
    <n v="47600"/>
    <n v="0"/>
    <n v="47600"/>
    <n v="0"/>
    <n v="0"/>
  </r>
  <r>
    <d v="2026-02-14T00:00:00"/>
    <x v="154"/>
    <s v="Maria Alejandra Reina 170"/>
    <s v="bancolombia"/>
    <m/>
    <n v="47600"/>
    <m/>
    <n v="0"/>
    <n v="0"/>
    <n v="0"/>
    <n v="0"/>
  </r>
  <r>
    <d v="2026-02-13T00:00:00"/>
    <x v="155"/>
    <s v="Maria Alejandra Wilches"/>
    <s v="bancolombia"/>
    <m/>
    <n v="71600"/>
    <m/>
    <n v="71600"/>
    <n v="0"/>
    <n v="0"/>
    <n v="0"/>
  </r>
  <r>
    <d v="2026-02-13T00:00:00"/>
    <x v="155"/>
    <s v="Maria Alejandra Wilches"/>
    <s v="Chefibio"/>
    <n v="1610"/>
    <m/>
    <n v="65100"/>
    <n v="6500"/>
    <n v="0"/>
    <n v="6500"/>
    <n v="0"/>
  </r>
  <r>
    <d v="2026-01-27T00:00:00"/>
    <x v="156"/>
    <s v="María Angélica Márquez Rozo"/>
    <s v="Chefibio"/>
    <n v="15000"/>
    <m/>
    <n v="375000"/>
    <n v="0"/>
    <n v="375000"/>
    <n v="0"/>
    <n v="0"/>
  </r>
  <r>
    <d v="2026-01-31T00:00:00"/>
    <x v="156"/>
    <s v="María Angélica Márquez Rozo"/>
    <s v="bancolombia"/>
    <m/>
    <n v="346000"/>
    <m/>
    <n v="0"/>
    <n v="29000"/>
    <n v="0"/>
    <n v="29000"/>
  </r>
  <r>
    <d v="2026-01-28T00:00:00"/>
    <x v="157"/>
    <s v="María Claudia Muriel Botero"/>
    <s v="bancolombia"/>
    <m/>
    <n v="80000"/>
    <m/>
    <n v="80000"/>
    <n v="0"/>
    <n v="0"/>
    <n v="0"/>
  </r>
  <r>
    <d v="2026-01-30T00:00:00"/>
    <x v="157"/>
    <s v="María Claudia Muriel Botero"/>
    <s v="Chefibio"/>
    <n v="1800"/>
    <m/>
    <n v="79200"/>
    <n v="800"/>
    <n v="0"/>
    <n v="0"/>
    <n v="0"/>
  </r>
  <r>
    <d v="2026-02-16T00:00:00"/>
    <x v="157"/>
    <s v="María Claudia Muriel Botero"/>
    <s v="Chefibio"/>
    <n v="1800"/>
    <m/>
    <n v="79200"/>
    <n v="0"/>
    <n v="78400"/>
    <n v="0"/>
    <n v="0"/>
  </r>
  <r>
    <d v="2026-02-17T00:00:00"/>
    <x v="157"/>
    <s v="María Claudia Muriel Botero"/>
    <s v="bancolombia"/>
    <m/>
    <n v="80000"/>
    <m/>
    <n v="1600"/>
    <n v="0"/>
    <n v="1600"/>
    <n v="0"/>
  </r>
  <r>
    <d v="2026-01-17T00:00:00"/>
    <x v="158"/>
    <s v="Maria Consuelo Ruiz"/>
    <m/>
    <m/>
    <m/>
    <n v="291000"/>
    <n v="0"/>
    <n v="291000"/>
    <n v="0"/>
    <n v="0"/>
  </r>
  <r>
    <d v="2026-01-26T00:00:00"/>
    <x v="158"/>
    <s v="Maria Consuelo Ruiz"/>
    <s v="Chefibio"/>
    <n v="2100"/>
    <m/>
    <n v="0"/>
    <n v="0"/>
    <n v="291000"/>
    <n v="0"/>
    <n v="0"/>
  </r>
  <r>
    <d v="2026-01-30T00:00:00"/>
    <x v="158"/>
    <s v="Maria Consuelo Ruiz"/>
    <s v="bancolombia"/>
    <m/>
    <n v="190000"/>
    <m/>
    <n v="0"/>
    <n v="101000"/>
    <n v="0"/>
    <n v="0"/>
  </r>
  <r>
    <d v="2026-01-30T00:00:00"/>
    <x v="158"/>
    <s v="Maria Consuelo Ruiz"/>
    <s v="Chefibio"/>
    <n v="3300"/>
    <m/>
    <n v="79200"/>
    <n v="0"/>
    <n v="180200"/>
    <n v="0"/>
    <n v="0"/>
  </r>
  <r>
    <d v="2026-01-30T00:00:00"/>
    <x v="158"/>
    <s v="Maria Consuelo Ruiz"/>
    <s v="Chefibio"/>
    <n v="3450"/>
    <m/>
    <n v="82800"/>
    <n v="0"/>
    <n v="263000"/>
    <n v="0"/>
    <n v="0"/>
  </r>
  <r>
    <d v="2026-02-16T00:00:00"/>
    <x v="158"/>
    <s v="Maria Consuelo Ruiz"/>
    <s v="Chefibio"/>
    <n v="3300"/>
    <m/>
    <n v="79200"/>
    <n v="0"/>
    <n v="342200"/>
    <n v="0"/>
    <n v="0"/>
  </r>
  <r>
    <d v="2026-02-16T00:00:00"/>
    <x v="158"/>
    <s v="Maria Consuelo Ruiz"/>
    <s v="Chefibio"/>
    <n v="3450"/>
    <m/>
    <n v="82800"/>
    <n v="0"/>
    <n v="425000"/>
    <n v="0"/>
    <n v="425000"/>
  </r>
  <r>
    <d v="2026-01-17T00:00:00"/>
    <x v="159"/>
    <s v="Maria Magdalena Saavedra"/>
    <m/>
    <m/>
    <n v="3500"/>
    <m/>
    <n v="3500"/>
    <n v="0"/>
    <n v="0"/>
    <n v="0"/>
  </r>
  <r>
    <d v="2026-02-02T00:00:00"/>
    <x v="159"/>
    <s v="Maria Magdalena Saavedra"/>
    <s v="Caja menor"/>
    <m/>
    <n v="73000"/>
    <m/>
    <n v="76500"/>
    <n v="0"/>
    <n v="0"/>
    <n v="0"/>
  </r>
  <r>
    <d v="2026-02-02T00:00:00"/>
    <x v="159"/>
    <s v="Maria Magdalena Saavedra"/>
    <s v="Chefibio"/>
    <n v="2550"/>
    <m/>
    <n v="76500"/>
    <n v="0"/>
    <n v="0"/>
    <n v="0"/>
    <n v="0"/>
  </r>
  <r>
    <d v="2026-02-17T00:00:00"/>
    <x v="159"/>
    <s v="Maria Magdalena Saavedra"/>
    <s v="Caja menor"/>
    <m/>
    <n v="76500"/>
    <m/>
    <n v="76500"/>
    <n v="0"/>
    <n v="0"/>
    <n v="0"/>
  </r>
  <r>
    <d v="2026-02-17T00:00:00"/>
    <x v="159"/>
    <s v="Maria Magdalena Saavedra"/>
    <s v="Chefibio"/>
    <n v="2550"/>
    <m/>
    <n v="76500"/>
    <n v="0"/>
    <n v="0"/>
    <n v="0"/>
    <n v="0"/>
  </r>
  <r>
    <d v="2026-01-17T00:00:00"/>
    <x v="160"/>
    <s v="Maria Rosa Gallego"/>
    <m/>
    <m/>
    <m/>
    <n v="127500"/>
    <n v="0"/>
    <n v="127500"/>
    <n v="0"/>
    <n v="0"/>
  </r>
  <r>
    <d v="2026-01-17T00:00:00"/>
    <x v="160"/>
    <s v="Maria Rosa Gallego"/>
    <m/>
    <m/>
    <n v="0"/>
    <m/>
    <n v="0"/>
    <n v="127500"/>
    <n v="0"/>
    <n v="0"/>
  </r>
  <r>
    <d v="2026-02-03T00:00:00"/>
    <x v="160"/>
    <s v="Maria Rosa Gallego"/>
    <s v="bancolombia"/>
    <m/>
    <n v="255000"/>
    <m/>
    <n v="127500"/>
    <n v="0"/>
    <n v="0"/>
    <n v="0"/>
  </r>
  <r>
    <d v="2026-02-03T00:00:00"/>
    <x v="160"/>
    <s v="Maria Rosa Gallego"/>
    <s v="Chefibio"/>
    <n v="5100"/>
    <m/>
    <n v="127500"/>
    <n v="0"/>
    <n v="0"/>
    <n v="0"/>
    <n v="0"/>
  </r>
  <r>
    <d v="2026-02-18T00:00:00"/>
    <x v="160"/>
    <s v="Maria Rosa Gallego"/>
    <s v="Chefibio"/>
    <n v="5100"/>
    <m/>
    <n v="127500"/>
    <n v="0"/>
    <n v="127500"/>
    <n v="0"/>
    <n v="127500"/>
  </r>
  <r>
    <d v="2026-02-02T00:00:00"/>
    <x v="161"/>
    <s v="Mariana Jimenez"/>
    <s v="bancolombia"/>
    <m/>
    <n v="336000"/>
    <m/>
    <n v="336000"/>
    <n v="0"/>
    <n v="0"/>
    <n v="0"/>
  </r>
  <r>
    <d v="2026-02-03T00:00:00"/>
    <x v="161"/>
    <s v="Mariana Jimenez"/>
    <s v="Chefibio"/>
    <n v="9900"/>
    <m/>
    <n v="336000"/>
    <n v="0"/>
    <n v="0"/>
    <n v="0"/>
    <n v="0"/>
  </r>
  <r>
    <d v="2026-01-17T00:00:00"/>
    <x v="162"/>
    <s v="Maribel Vidal"/>
    <m/>
    <m/>
    <m/>
    <n v="220250"/>
    <n v="0"/>
    <n v="220250"/>
    <n v="0"/>
    <n v="0"/>
  </r>
  <r>
    <d v="2026-01-20T00:00:00"/>
    <x v="162"/>
    <s v="Maribel Vidal"/>
    <s v="bancolombia"/>
    <m/>
    <n v="195750"/>
    <m/>
    <n v="0"/>
    <n v="24500"/>
    <n v="0"/>
    <n v="0"/>
  </r>
  <r>
    <d v="2026-01-21T00:00:00"/>
    <x v="162"/>
    <s v="Maribel Vidal"/>
    <m/>
    <m/>
    <n v="24500"/>
    <m/>
    <n v="0"/>
    <n v="0"/>
    <n v="0"/>
    <n v="0"/>
  </r>
  <r>
    <d v="2026-01-30T00:00:00"/>
    <x v="162"/>
    <s v="Maribel Vidal"/>
    <s v="Chefibio"/>
    <n v="3300"/>
    <m/>
    <n v="95700"/>
    <n v="0"/>
    <n v="95700"/>
    <n v="0"/>
    <n v="0"/>
  </r>
  <r>
    <d v="2026-01-30T00:00:00"/>
    <x v="162"/>
    <s v="Maribel Vidal"/>
    <s v="Chefibio"/>
    <n v="3450"/>
    <m/>
    <n v="100050"/>
    <n v="0"/>
    <n v="195750"/>
    <n v="0"/>
    <n v="0"/>
  </r>
  <r>
    <d v="2026-02-09T00:00:00"/>
    <x v="162"/>
    <s v="Maribel Vidal"/>
    <s v="bancolombia"/>
    <m/>
    <n v="195750"/>
    <m/>
    <n v="0"/>
    <n v="0"/>
    <n v="0"/>
    <n v="0"/>
  </r>
  <r>
    <d v="2026-02-13T00:00:00"/>
    <x v="162"/>
    <s v="Maribel Vidal"/>
    <s v="Chefibio"/>
    <n v="3450"/>
    <m/>
    <n v="100050"/>
    <n v="0"/>
    <n v="100050"/>
    <n v="0"/>
    <n v="0"/>
  </r>
  <r>
    <d v="2026-02-13T00:00:00"/>
    <x v="162"/>
    <s v="Maribel Vidal"/>
    <s v="Chefibio"/>
    <n v="3300"/>
    <m/>
    <n v="95700"/>
    <n v="0"/>
    <n v="195750"/>
    <n v="0"/>
    <n v="0"/>
  </r>
  <r>
    <d v="2026-02-17T00:00:00"/>
    <x v="162"/>
    <s v="Maribel Vidal"/>
    <s v="bancolombia"/>
    <m/>
    <n v="195750"/>
    <m/>
    <n v="0"/>
    <n v="0"/>
    <n v="0"/>
    <n v="0"/>
  </r>
  <r>
    <d v="2026-01-17T00:00:00"/>
    <x v="163"/>
    <s v="Martha Cecilia Romero"/>
    <m/>
    <m/>
    <n v="0"/>
    <m/>
    <n v="0"/>
    <n v="0"/>
    <n v="0"/>
    <n v="0"/>
  </r>
  <r>
    <d v="2026-01-20T00:00:00"/>
    <x v="163"/>
    <s v="Martha Cecilia Romero"/>
    <s v="bancolombia"/>
    <m/>
    <n v="37500"/>
    <m/>
    <n v="37500"/>
    <n v="0"/>
    <n v="0"/>
    <n v="0"/>
  </r>
  <r>
    <d v="2026-01-21T00:00:00"/>
    <x v="163"/>
    <s v="Martha Cecilia Romero"/>
    <s v="Chefibio"/>
    <n v="826"/>
    <m/>
    <n v="37500"/>
    <n v="0"/>
    <n v="0"/>
    <n v="0"/>
    <n v="0"/>
  </r>
  <r>
    <d v="2026-02-06T00:00:00"/>
    <x v="163"/>
    <s v="Martha Cecilia Romero"/>
    <s v="bancolombia"/>
    <m/>
    <n v="41300"/>
    <m/>
    <n v="41300"/>
    <n v="0"/>
    <n v="0"/>
    <n v="0"/>
  </r>
  <r>
    <d v="2026-02-09T00:00:00"/>
    <x v="163"/>
    <s v="Martha Cecilia Romero"/>
    <s v="Chefibio"/>
    <n v="826"/>
    <m/>
    <n v="41300"/>
    <n v="0"/>
    <n v="0"/>
    <n v="0"/>
    <n v="0"/>
  </r>
  <r>
    <d v="2026-01-17T00:00:00"/>
    <x v="164"/>
    <s v="Martha Salgado Pet O Vet"/>
    <m/>
    <m/>
    <n v="10000"/>
    <m/>
    <n v="10000"/>
    <n v="0"/>
    <n v="0"/>
    <n v="0"/>
  </r>
  <r>
    <d v="2026-01-19T00:00:00"/>
    <x v="164"/>
    <s v="Martha Salgado Pet O Vet"/>
    <s v="Datafono"/>
    <m/>
    <n v="142100"/>
    <m/>
    <n v="152100"/>
    <n v="0"/>
    <n v="0"/>
    <n v="0"/>
  </r>
  <r>
    <d v="2026-01-21T00:00:00"/>
    <x v="164"/>
    <s v="Martha Salgado Pet O Vet"/>
    <s v="Chefibio"/>
    <n v="3900"/>
    <m/>
    <n v="152100"/>
    <n v="0"/>
    <n v="0"/>
    <n v="0"/>
    <n v="0"/>
  </r>
  <r>
    <d v="2026-02-05T00:00:00"/>
    <x v="164"/>
    <s v="Martha Salgado Pet O Vet"/>
    <s v="Datafono"/>
    <m/>
    <n v="152100"/>
    <m/>
    <n v="152100"/>
    <n v="0"/>
    <n v="0"/>
    <n v="0"/>
  </r>
  <r>
    <d v="2026-02-06T00:00:00"/>
    <x v="164"/>
    <s v="Martha Salgado Pet O Vet"/>
    <s v="Chefibio"/>
    <n v="3900"/>
    <m/>
    <n v="152100"/>
    <n v="0"/>
    <n v="0"/>
    <n v="0"/>
    <n v="0"/>
  </r>
  <r>
    <d v="2026-02-18T00:00:00"/>
    <x v="164"/>
    <s v="Martha Salgado Pet O Vet"/>
    <s v="Datafono"/>
    <m/>
    <n v="152100"/>
    <m/>
    <n v="152100"/>
    <n v="0"/>
    <n v="152100"/>
    <n v="0"/>
  </r>
  <r>
    <d v="2026-02-03T00:00:00"/>
    <x v="165"/>
    <s v="Mauricio Antonio Bernal Torre"/>
    <s v="Chefibio"/>
    <n v="1020"/>
    <m/>
    <n v="86700"/>
    <n v="0"/>
    <n v="86700"/>
    <n v="0"/>
    <n v="0"/>
  </r>
  <r>
    <d v="2026-02-03T00:00:00"/>
    <x v="165"/>
    <s v="Mauricio Antonio Bernal Torre"/>
    <s v="bancolombia"/>
    <m/>
    <n v="86700"/>
    <m/>
    <n v="0"/>
    <n v="0"/>
    <n v="0"/>
    <n v="0"/>
  </r>
  <r>
    <d v="2026-01-28T00:00:00"/>
    <x v="166"/>
    <s v="Mauricio Vargas 270"/>
    <s v="Chefibio"/>
    <n v="4050"/>
    <m/>
    <n v="101250"/>
    <n v="0"/>
    <n v="101250"/>
    <n v="0"/>
    <n v="0"/>
  </r>
  <r>
    <d v="2026-01-28T00:00:00"/>
    <x v="166"/>
    <s v="Mauricio Vargas 350"/>
    <s v="Chefibio"/>
    <n v="5250"/>
    <m/>
    <n v="131250"/>
    <n v="0"/>
    <n v="232500"/>
    <n v="0"/>
    <n v="0"/>
  </r>
  <r>
    <d v="2026-01-29T00:00:00"/>
    <x v="166"/>
    <s v="Mauricio Vargas 270"/>
    <s v="bancolombia"/>
    <m/>
    <n v="232500"/>
    <m/>
    <n v="0"/>
    <n v="0"/>
    <n v="0"/>
    <n v="0"/>
  </r>
  <r>
    <d v="2026-02-12T00:00:00"/>
    <x v="166"/>
    <s v="Mauricio Vargas 270"/>
    <s v="bancolombia"/>
    <m/>
    <n v="232500"/>
    <m/>
    <n v="232500"/>
    <n v="0"/>
    <n v="0"/>
    <n v="0"/>
  </r>
  <r>
    <d v="2026-02-12T00:00:00"/>
    <x v="166"/>
    <s v="Mauricio Vargas 270"/>
    <s v="Chefibio"/>
    <n v="4050"/>
    <m/>
    <n v="101250"/>
    <n v="131250"/>
    <n v="0"/>
    <n v="0"/>
    <n v="0"/>
  </r>
  <r>
    <d v="2026-02-12T00:00:00"/>
    <x v="166"/>
    <s v="Mauricio Vargas 350"/>
    <s v="Chefibio"/>
    <n v="5250"/>
    <m/>
    <n v="131250"/>
    <n v="0"/>
    <n v="0"/>
    <n v="0"/>
    <n v="0"/>
  </r>
  <r>
    <d v="2026-01-17T00:00:00"/>
    <x v="167"/>
    <s v="Maye Delgado"/>
    <m/>
    <m/>
    <m/>
    <n v="130200"/>
    <n v="0"/>
    <n v="130200"/>
    <n v="0"/>
    <n v="0"/>
  </r>
  <r>
    <d v="2026-01-17T00:00:00"/>
    <x v="167"/>
    <s v="Maye Delgado"/>
    <m/>
    <m/>
    <n v="0"/>
    <m/>
    <n v="0"/>
    <n v="130200"/>
    <n v="0"/>
    <n v="0"/>
  </r>
  <r>
    <d v="2026-01-20T00:00:00"/>
    <x v="167"/>
    <s v="Maye Delgado"/>
    <s v="Davivienda"/>
    <m/>
    <n v="440200"/>
    <m/>
    <n v="310000"/>
    <n v="0"/>
    <n v="0"/>
    <n v="0"/>
  </r>
  <r>
    <d v="2026-01-21T00:00:00"/>
    <x v="167"/>
    <s v="Maye Delgado"/>
    <s v="Chefibio"/>
    <n v="4400"/>
    <m/>
    <n v="110000"/>
    <n v="200000"/>
    <n v="0"/>
    <n v="0"/>
    <n v="0"/>
  </r>
  <r>
    <d v="2026-01-21T00:00:00"/>
    <x v="167"/>
    <s v="Maye Delgado"/>
    <s v="Chefibio"/>
    <n v="1800"/>
    <m/>
    <n v="45000"/>
    <n v="155000"/>
    <n v="0"/>
    <n v="0"/>
    <n v="0"/>
  </r>
  <r>
    <d v="2026-02-03T00:00:00"/>
    <x v="167"/>
    <s v="Maye Delgado"/>
    <s v="Chefibio"/>
    <n v="4400"/>
    <m/>
    <n v="110000"/>
    <n v="45000"/>
    <n v="0"/>
    <n v="0"/>
    <n v="0"/>
  </r>
  <r>
    <d v="2026-02-03T00:00:00"/>
    <x v="167"/>
    <s v="Maye Delgado"/>
    <s v="Chefibio"/>
    <n v="1800"/>
    <m/>
    <n v="45000"/>
    <n v="0"/>
    <n v="0"/>
    <n v="0"/>
    <n v="0"/>
  </r>
  <r>
    <d v="2026-02-03T00:00:00"/>
    <x v="167"/>
    <s v="Maye Delgado"/>
    <s v="Nuggets"/>
    <n v="200"/>
    <m/>
    <n v="0"/>
    <n v="0"/>
    <n v="0"/>
    <n v="0"/>
    <n v="0"/>
  </r>
  <r>
    <d v="2026-02-13T00:00:00"/>
    <x v="167"/>
    <s v="Maye Delgado"/>
    <s v="Nuggets"/>
    <n v="200"/>
    <m/>
    <n v="5000"/>
    <n v="0"/>
    <n v="5000"/>
    <n v="0"/>
    <n v="0"/>
  </r>
  <r>
    <d v="2026-02-13T00:00:00"/>
    <x v="167"/>
    <s v="Maye Delgado"/>
    <s v="Chefibio"/>
    <n v="4400"/>
    <m/>
    <n v="110000"/>
    <n v="0"/>
    <n v="115000"/>
    <n v="0"/>
    <n v="0"/>
  </r>
  <r>
    <d v="2026-02-13T00:00:00"/>
    <x v="167"/>
    <s v="Maye Delgado"/>
    <s v="Chefibio"/>
    <n v="1800"/>
    <m/>
    <n v="45000"/>
    <n v="0"/>
    <n v="160000"/>
    <n v="0"/>
    <n v="0"/>
  </r>
  <r>
    <d v="2026-02-16T00:00:00"/>
    <x v="167"/>
    <s v="Maye Delgado"/>
    <s v="bancolombia"/>
    <m/>
    <n v="465000"/>
    <m/>
    <n v="305000"/>
    <n v="0"/>
    <n v="305000"/>
    <n v="0"/>
  </r>
  <r>
    <d v="2026-01-26T00:00:00"/>
    <x v="168"/>
    <s v="Melissa Ortiz"/>
    <s v="Nuggets"/>
    <n v="500"/>
    <m/>
    <n v="50000"/>
    <n v="0"/>
    <n v="50000"/>
    <n v="0"/>
    <n v="0"/>
  </r>
  <r>
    <d v="2026-01-30T00:00:00"/>
    <x v="168"/>
    <s v="Melissa Ortiz"/>
    <s v="bancolombia"/>
    <m/>
    <n v="50000"/>
    <m/>
    <n v="0"/>
    <n v="0"/>
    <n v="0"/>
    <n v="0"/>
  </r>
  <r>
    <d v="2026-01-24T00:00:00"/>
    <x v="169"/>
    <s v="Mercedes Paez"/>
    <s v="Chefibio"/>
    <n v="1500"/>
    <m/>
    <n v="0"/>
    <n v="0"/>
    <n v="0"/>
    <n v="0"/>
    <n v="0"/>
  </r>
  <r>
    <d v="2026-01-27T00:00:00"/>
    <x v="169"/>
    <s v="Mercedes Paez"/>
    <s v="Chefibio"/>
    <n v="5500"/>
    <m/>
    <n v="137500"/>
    <n v="0"/>
    <n v="137500"/>
    <n v="0"/>
    <n v="0"/>
  </r>
  <r>
    <d v="2026-01-27T00:00:00"/>
    <x v="169"/>
    <s v="Mercedes Paez"/>
    <s v="Chefibio"/>
    <n v="5750"/>
    <m/>
    <n v="143750"/>
    <n v="0"/>
    <n v="281250"/>
    <n v="0"/>
    <n v="0"/>
  </r>
  <r>
    <d v="2026-01-28T00:00:00"/>
    <x v="169"/>
    <s v="Mercedes Paez"/>
    <s v="bancolombia"/>
    <m/>
    <n v="281250"/>
    <m/>
    <n v="0"/>
    <n v="0"/>
    <n v="0"/>
    <n v="0"/>
  </r>
  <r>
    <d v="2026-02-09T00:00:00"/>
    <x v="169"/>
    <s v="Mercedes Paez"/>
    <s v="bancolombia"/>
    <m/>
    <n v="562500"/>
    <m/>
    <n v="562500"/>
    <n v="0"/>
    <n v="0"/>
    <n v="0"/>
  </r>
  <r>
    <d v="2026-02-09T00:00:00"/>
    <x v="169"/>
    <s v="Mercedes Paez"/>
    <s v="Chefibio"/>
    <n v="11500"/>
    <m/>
    <n v="287500"/>
    <n v="275000"/>
    <n v="0"/>
    <n v="0"/>
    <n v="0"/>
  </r>
  <r>
    <d v="2026-02-09T00:00:00"/>
    <x v="169"/>
    <s v="Mercedes Paez"/>
    <s v="Chefibio"/>
    <n v="11000"/>
    <m/>
    <n v="275000"/>
    <n v="0"/>
    <n v="0"/>
    <n v="0"/>
    <n v="0"/>
  </r>
  <r>
    <d v="2026-01-30T00:00:00"/>
    <x v="170"/>
    <s v="Miguel David Avellaneda Mendoza"/>
    <s v="Chefibio"/>
    <n v="2010"/>
    <m/>
    <n v="80400"/>
    <n v="0"/>
    <n v="80400"/>
    <n v="0"/>
    <n v="0"/>
  </r>
  <r>
    <d v="2026-01-30T00:00:00"/>
    <x v="170"/>
    <s v="Miguel David Avellaneda Mendoza"/>
    <s v="Caja menor"/>
    <m/>
    <n v="80400"/>
    <m/>
    <n v="0"/>
    <n v="0"/>
    <n v="0"/>
    <n v="0"/>
  </r>
  <r>
    <d v="2026-02-07T00:00:00"/>
    <x v="170"/>
    <s v="Miguel David Avellaneda Mendoza"/>
    <s v="Chefibio"/>
    <n v="2010"/>
    <m/>
    <n v="80400"/>
    <n v="0"/>
    <n v="80400"/>
    <n v="0"/>
    <n v="0"/>
  </r>
  <r>
    <d v="2026-02-07T00:00:00"/>
    <x v="170"/>
    <s v="Miguel David Avellaneda Mendoza"/>
    <s v="Datafono"/>
    <m/>
    <n v="80400"/>
    <m/>
    <n v="0"/>
    <n v="0"/>
    <n v="0"/>
    <n v="0"/>
  </r>
  <r>
    <d v="2026-01-29T00:00:00"/>
    <x v="171"/>
    <s v="Milena Castillo"/>
    <s v="Chefibio"/>
    <n v="1050"/>
    <m/>
    <n v="44000"/>
    <n v="0"/>
    <n v="44000"/>
    <n v="0"/>
    <n v="0"/>
  </r>
  <r>
    <d v="2026-02-12T00:00:00"/>
    <x v="171"/>
    <s v="Milena Castillo"/>
    <s v="bancolombia"/>
    <m/>
    <n v="88000"/>
    <m/>
    <n v="44000"/>
    <n v="0"/>
    <n v="0"/>
    <n v="0"/>
  </r>
  <r>
    <d v="2026-02-12T00:00:00"/>
    <x v="171"/>
    <s v="Milena Castillo"/>
    <s v="Chefibio"/>
    <n v="1050"/>
    <m/>
    <n v="44000"/>
    <n v="0"/>
    <n v="0"/>
    <n v="0"/>
    <n v="0"/>
  </r>
  <r>
    <d v="2026-02-04T00:00:00"/>
    <x v="172"/>
    <s v="Monica Calderon Urrego"/>
    <s v="Chefibio"/>
    <n v="4800"/>
    <m/>
    <n v="144000"/>
    <n v="0"/>
    <n v="144000"/>
    <n v="0"/>
    <n v="144000"/>
  </r>
  <r>
    <d v="2026-01-19T00:00:00"/>
    <x v="173"/>
    <s v="Monica Rodriguez  Márquez"/>
    <s v="Chefibio"/>
    <n v="1260"/>
    <m/>
    <n v="10000"/>
    <n v="0"/>
    <n v="10000"/>
    <n v="0"/>
    <n v="0"/>
  </r>
  <r>
    <d v="2026-01-19T00:00:00"/>
    <x v="173"/>
    <s v="Monica Rodriguez  Márquez"/>
    <s v="Caja menor"/>
    <m/>
    <n v="10000"/>
    <m/>
    <n v="0"/>
    <n v="0"/>
    <n v="0"/>
    <n v="0"/>
  </r>
  <r>
    <d v="2026-01-17T00:00:00"/>
    <x v="174"/>
    <s v="Mónica Romero"/>
    <m/>
    <m/>
    <n v="0"/>
    <m/>
    <n v="0"/>
    <n v="0"/>
    <n v="0"/>
    <n v="0"/>
  </r>
  <r>
    <d v="2026-01-17T00:00:00"/>
    <x v="175"/>
    <s v="Nancy Romero"/>
    <m/>
    <m/>
    <n v="0"/>
    <m/>
    <n v="0"/>
    <n v="0"/>
    <n v="0"/>
    <n v="0"/>
  </r>
  <r>
    <d v="2026-01-17T00:00:00"/>
    <x v="176"/>
    <s v="Narda Mendez"/>
    <m/>
    <m/>
    <m/>
    <n v="132600"/>
    <n v="0"/>
    <n v="132600"/>
    <n v="0"/>
    <n v="0"/>
  </r>
  <r>
    <d v="2026-01-17T00:00:00"/>
    <x v="176"/>
    <s v="Narda Mendez"/>
    <m/>
    <m/>
    <n v="0"/>
    <m/>
    <n v="0"/>
    <n v="132600"/>
    <n v="0"/>
    <n v="0"/>
  </r>
  <r>
    <d v="2026-02-02T00:00:00"/>
    <x v="176"/>
    <s v="Narda Mendez"/>
    <s v="bancolombia"/>
    <m/>
    <n v="132600"/>
    <m/>
    <n v="0"/>
    <n v="0"/>
    <n v="0"/>
    <n v="0"/>
  </r>
  <r>
    <d v="2026-02-02T00:00:00"/>
    <x v="176"/>
    <s v="Narda Mendez"/>
    <s v="Chefibio"/>
    <n v="5100"/>
    <m/>
    <n v="132600"/>
    <n v="0"/>
    <n v="132600"/>
    <n v="0"/>
    <n v="0"/>
  </r>
  <r>
    <d v="2026-02-03T00:00:00"/>
    <x v="176"/>
    <s v="Narda Mendez"/>
    <s v="Bolsas"/>
    <m/>
    <n v="7500"/>
    <m/>
    <n v="0"/>
    <n v="125100"/>
    <n v="0"/>
    <n v="0"/>
  </r>
  <r>
    <d v="2026-02-17T00:00:00"/>
    <x v="176"/>
    <s v="Narda Mendez"/>
    <s v="bancolombia"/>
    <m/>
    <n v="132600"/>
    <m/>
    <n v="7500"/>
    <n v="0"/>
    <n v="0"/>
    <n v="0"/>
  </r>
  <r>
    <d v="2026-02-18T00:00:00"/>
    <x v="176"/>
    <s v="Narda Mendez"/>
    <s v="Chefibio"/>
    <n v="5100"/>
    <m/>
    <n v="132600"/>
    <n v="0"/>
    <n v="125100"/>
    <n v="0"/>
    <n v="125100"/>
  </r>
  <r>
    <d v="2026-01-17T00:00:00"/>
    <x v="177"/>
    <s v="Natalia Duran"/>
    <m/>
    <m/>
    <m/>
    <n v="45000"/>
    <n v="0"/>
    <n v="45000"/>
    <n v="0"/>
    <n v="0"/>
  </r>
  <r>
    <d v="2026-01-29T00:00:00"/>
    <x v="177"/>
    <s v="Natalia Duran"/>
    <s v="Chefibio"/>
    <n v="3450"/>
    <m/>
    <n v="30000"/>
    <n v="0"/>
    <n v="75000"/>
    <n v="0"/>
    <n v="0"/>
  </r>
  <r>
    <d v="2026-01-31T00:00:00"/>
    <x v="177"/>
    <s v="Natalia Duran"/>
    <s v="bancolombia"/>
    <m/>
    <n v="75000"/>
    <m/>
    <n v="0"/>
    <n v="0"/>
    <n v="0"/>
    <n v="0"/>
  </r>
  <r>
    <d v="2026-02-13T00:00:00"/>
    <x v="177"/>
    <s v="Natalia Duran"/>
    <s v="Chefibio"/>
    <n v="3450"/>
    <m/>
    <n v="45000"/>
    <n v="0"/>
    <n v="45000"/>
    <n v="0"/>
    <n v="45000"/>
  </r>
  <r>
    <d v="2026-01-17T00:00:00"/>
    <x v="178"/>
    <s v="Nayiver Rincon Diaz"/>
    <m/>
    <m/>
    <m/>
    <n v="124800"/>
    <n v="0"/>
    <n v="124800"/>
    <n v="0"/>
    <n v="0"/>
  </r>
  <r>
    <d v="2026-01-19T00:00:00"/>
    <x v="178"/>
    <s v="Nayiver Rincon Diaz"/>
    <s v="Chefibio"/>
    <n v="3330"/>
    <m/>
    <n v="132000"/>
    <n v="0"/>
    <n v="256800"/>
    <n v="0"/>
    <n v="0"/>
  </r>
  <r>
    <d v="2026-01-19T00:00:00"/>
    <x v="178"/>
    <s v="Nayiver Rincon Diaz"/>
    <s v="bancolombia"/>
    <m/>
    <n v="256800"/>
    <m/>
    <n v="0"/>
    <n v="0"/>
    <n v="0"/>
    <n v="0"/>
  </r>
  <r>
    <d v="2026-02-05T00:00:00"/>
    <x v="178"/>
    <s v="Nayiver Rincon Diaz"/>
    <s v="Chefibio"/>
    <n v="3330"/>
    <m/>
    <n v="133200"/>
    <n v="0"/>
    <n v="133200"/>
    <n v="0"/>
    <n v="0"/>
  </r>
  <r>
    <d v="2026-02-17T00:00:00"/>
    <x v="178"/>
    <s v="Nayiver Rincon Diaz"/>
    <s v="bancolombia"/>
    <m/>
    <n v="132000"/>
    <m/>
    <n v="0"/>
    <n v="1200"/>
    <n v="0"/>
    <n v="0"/>
  </r>
  <r>
    <d v="2026-02-17T00:00:00"/>
    <x v="178"/>
    <s v="Nayiver Rincon Diaz"/>
    <s v="bancolombia"/>
    <m/>
    <n v="132000"/>
    <m/>
    <n v="130800"/>
    <n v="0"/>
    <n v="0"/>
    <n v="0"/>
  </r>
  <r>
    <d v="2026-02-18T00:00:00"/>
    <x v="178"/>
    <s v="Nayiver Rincon Diaz"/>
    <s v="Chefibio"/>
    <n v="3330"/>
    <m/>
    <n v="133200"/>
    <n v="0"/>
    <n v="2400"/>
    <n v="0"/>
    <n v="2400"/>
  </r>
  <r>
    <d v="2026-01-17T00:00:00"/>
    <x v="179"/>
    <s v="Neidy Kekhan Reyes"/>
    <m/>
    <m/>
    <n v="229050"/>
    <m/>
    <n v="229050"/>
    <n v="0"/>
    <n v="0"/>
    <n v="0"/>
  </r>
  <r>
    <d v="2026-01-28T00:00:00"/>
    <x v="179"/>
    <s v="Neidy Kekhan Reyes"/>
    <s v="Chefibio"/>
    <n v="9000"/>
    <m/>
    <n v="229050"/>
    <n v="0"/>
    <n v="0"/>
    <n v="0"/>
    <n v="0"/>
  </r>
  <r>
    <d v="2026-02-12T00:00:00"/>
    <x v="179"/>
    <s v="Neidy Kekhan Reyes"/>
    <s v="Chefibio"/>
    <n v="9000"/>
    <m/>
    <n v="252000"/>
    <n v="0"/>
    <n v="252000"/>
    <n v="0"/>
    <n v="0"/>
  </r>
  <r>
    <d v="2026-02-13T00:00:00"/>
    <x v="179"/>
    <s v="Neidy Kekhan Reyes"/>
    <s v="bancolombia"/>
    <m/>
    <n v="504000"/>
    <m/>
    <n v="252000"/>
    <n v="0"/>
    <n v="252000"/>
    <n v="0"/>
  </r>
  <r>
    <d v="2026-01-30T00:00:00"/>
    <x v="180"/>
    <s v="Nestor Gonzalez"/>
    <s v="Chefibio"/>
    <n v="3000"/>
    <m/>
    <n v="96000"/>
    <n v="0"/>
    <n v="96000"/>
    <n v="0"/>
    <n v="0"/>
  </r>
  <r>
    <d v="2026-01-30T00:00:00"/>
    <x v="180"/>
    <s v="Nestor Gonzalez"/>
    <s v="bancolombia"/>
    <m/>
    <n v="96000"/>
    <m/>
    <n v="0"/>
    <n v="0"/>
    <n v="0"/>
    <n v="0"/>
  </r>
  <r>
    <d v="2026-02-13T00:00:00"/>
    <x v="180"/>
    <s v="Nestor Gonzalez"/>
    <s v="Chefibio"/>
    <n v="3000"/>
    <m/>
    <n v="96000"/>
    <n v="0"/>
    <n v="96000"/>
    <n v="0"/>
    <n v="0"/>
  </r>
  <r>
    <d v="2026-02-13T00:00:00"/>
    <x v="180"/>
    <s v="Nestor Gonzalez"/>
    <s v="bancolombia"/>
    <m/>
    <n v="96000"/>
    <m/>
    <n v="0"/>
    <n v="0"/>
    <n v="0"/>
    <n v="0"/>
  </r>
  <r>
    <d v="2026-01-22T00:00:00"/>
    <x v="181"/>
    <s v="Nestor Guzman"/>
    <s v="bancolombia"/>
    <m/>
    <n v="76000"/>
    <m/>
    <n v="76000"/>
    <n v="0"/>
    <n v="0"/>
    <n v="0"/>
  </r>
  <r>
    <d v="2026-01-23T00:00:00"/>
    <x v="181"/>
    <s v="Nestor Guzman"/>
    <s v="Chefibio"/>
    <n v="2010"/>
    <m/>
    <n v="76000"/>
    <n v="0"/>
    <n v="0"/>
    <n v="0"/>
    <n v="0"/>
  </r>
  <r>
    <d v="2026-02-02T00:00:00"/>
    <x v="181"/>
    <s v="Nestor Guzman"/>
    <s v="bancolombia"/>
    <m/>
    <n v="98100"/>
    <m/>
    <n v="98100"/>
    <n v="0"/>
    <n v="0"/>
    <n v="0"/>
  </r>
  <r>
    <d v="2026-02-02T00:00:00"/>
    <x v="181"/>
    <s v="Nestor Guzman"/>
    <s v="Chefibio"/>
    <n v="2211"/>
    <m/>
    <n v="98100"/>
    <n v="0"/>
    <n v="0"/>
    <n v="0"/>
    <n v="0"/>
  </r>
  <r>
    <d v="2026-02-09T00:00:00"/>
    <x v="181"/>
    <s v="Nestor Guzman"/>
    <s v="bancolombia"/>
    <m/>
    <n v="132300"/>
    <m/>
    <n v="132300"/>
    <n v="0"/>
    <n v="0"/>
    <n v="0"/>
  </r>
  <r>
    <d v="2026-02-09T00:00:00"/>
    <x v="181"/>
    <s v="Nestor Guzman"/>
    <s v="Chefibio"/>
    <n v="3150"/>
    <m/>
    <n v="132300"/>
    <n v="0"/>
    <n v="0"/>
    <n v="0"/>
    <n v="0"/>
  </r>
  <r>
    <d v="2026-01-29T00:00:00"/>
    <x v="182"/>
    <s v="Nestor Valderrama"/>
    <s v="Nuggets"/>
    <n v="1000"/>
    <m/>
    <n v="40000"/>
    <n v="0"/>
    <n v="40000"/>
    <n v="0"/>
    <n v="0"/>
  </r>
  <r>
    <d v="2026-01-29T00:00:00"/>
    <x v="182"/>
    <s v="Nestor Valderrama"/>
    <s v="Chefibio"/>
    <n v="4500"/>
    <m/>
    <n v="180000"/>
    <n v="0"/>
    <n v="220000"/>
    <n v="0"/>
    <n v="0"/>
  </r>
  <r>
    <d v="2026-01-31T00:00:00"/>
    <x v="182"/>
    <s v="Nestor Valderrama"/>
    <s v="bancolombia"/>
    <m/>
    <n v="218000"/>
    <m/>
    <n v="0"/>
    <n v="2000"/>
    <n v="0"/>
    <n v="0"/>
  </r>
  <r>
    <d v="2026-02-13T00:00:00"/>
    <x v="182"/>
    <s v="Nestor Valderrama"/>
    <s v="Chefibio"/>
    <n v="4500"/>
    <m/>
    <n v="180000"/>
    <n v="0"/>
    <n v="182000"/>
    <n v="0"/>
    <n v="0"/>
  </r>
  <r>
    <d v="2026-02-16T00:00:00"/>
    <x v="182"/>
    <s v="Nestor Valderrama"/>
    <s v="bancolombia"/>
    <m/>
    <n v="180000"/>
    <m/>
    <n v="0"/>
    <n v="2000"/>
    <n v="0"/>
    <n v="2000"/>
  </r>
  <r>
    <d v="2026-01-17T00:00:00"/>
    <x v="183"/>
    <s v="Nicol Rico"/>
    <m/>
    <m/>
    <m/>
    <n v="58250"/>
    <n v="0"/>
    <n v="58250"/>
    <n v="0"/>
    <n v="0"/>
  </r>
  <r>
    <d v="2026-01-28T00:00:00"/>
    <x v="183"/>
    <s v="Nicol Rico"/>
    <s v="Caja menor"/>
    <m/>
    <n v="58250"/>
    <m/>
    <n v="0"/>
    <n v="0"/>
    <n v="0"/>
    <n v="0"/>
  </r>
  <r>
    <d v="2026-02-06T00:00:00"/>
    <x v="183"/>
    <s v="Nicol Rico"/>
    <s v="Chefibio"/>
    <n v="2400"/>
    <m/>
    <n v="36000"/>
    <n v="0"/>
    <n v="36000"/>
    <n v="0"/>
    <n v="0"/>
  </r>
  <r>
    <d v="2026-02-18T00:00:00"/>
    <x v="183"/>
    <s v="Nicol Rico"/>
    <s v="Chefibio"/>
    <n v="2400"/>
    <m/>
    <n v="36000"/>
    <n v="0"/>
    <n v="72000"/>
    <n v="0"/>
    <n v="72000"/>
  </r>
  <r>
    <d v="2026-01-17T00:00:00"/>
    <x v="184"/>
    <s v="Nohora Padilla Hellen 60"/>
    <m/>
    <m/>
    <m/>
    <n v="1100"/>
    <n v="0"/>
    <n v="1100"/>
    <n v="0"/>
    <n v="0"/>
  </r>
  <r>
    <d v="2026-01-19T00:00:00"/>
    <x v="184"/>
    <s v="Nohora Padilla Hellen 60"/>
    <s v="Chefibio"/>
    <n v="1260"/>
    <m/>
    <n v="57600"/>
    <n v="0"/>
    <n v="58700"/>
    <n v="0"/>
    <n v="0"/>
  </r>
  <r>
    <d v="2026-01-20T00:00:00"/>
    <x v="184"/>
    <s v="Nohora Padilla Hellen 60"/>
    <s v="bancolombia"/>
    <m/>
    <n v="58700"/>
    <m/>
    <n v="0"/>
    <n v="0"/>
    <n v="0"/>
    <n v="0"/>
  </r>
  <r>
    <d v="2026-01-19T00:00:00"/>
    <x v="185"/>
    <s v="Nubia Constanza Rodriguez"/>
    <s v="bancolombia"/>
    <m/>
    <n v="57600"/>
    <m/>
    <n v="57600"/>
    <n v="0"/>
    <n v="0"/>
    <n v="0"/>
  </r>
  <r>
    <d v="2026-01-19T00:00:00"/>
    <x v="185"/>
    <s v="Nubia Constanza Rodriguez"/>
    <s v="Chefibio"/>
    <n v="1260"/>
    <m/>
    <n v="57600"/>
    <n v="0"/>
    <n v="0"/>
    <n v="0"/>
    <n v="0"/>
  </r>
  <r>
    <d v="2026-01-30T00:00:00"/>
    <x v="185"/>
    <s v="Nubia Constanza Rodriguez"/>
    <s v="Chefibio"/>
    <n v="1260"/>
    <m/>
    <n v="57600"/>
    <n v="0"/>
    <n v="57600"/>
    <n v="0"/>
    <n v="0"/>
  </r>
  <r>
    <d v="2026-01-30T00:00:00"/>
    <x v="185"/>
    <s v="Nubia Constanza Rodriguez"/>
    <s v="Caja menor"/>
    <m/>
    <n v="57600"/>
    <m/>
    <n v="0"/>
    <n v="0"/>
    <n v="0"/>
    <n v="0"/>
  </r>
  <r>
    <d v="2026-02-10T00:00:00"/>
    <x v="185"/>
    <s v="Nubia Constanza Rodriguez"/>
    <s v="Chefibio"/>
    <n v="1260"/>
    <m/>
    <n v="57600"/>
    <n v="0"/>
    <n v="57600"/>
    <n v="0"/>
    <n v="0"/>
  </r>
  <r>
    <d v="2026-02-10T00:00:00"/>
    <x v="185"/>
    <s v="Nubia Constanza Rodriguez"/>
    <s v="Caja menor"/>
    <m/>
    <n v="57600"/>
    <m/>
    <n v="0"/>
    <n v="0"/>
    <n v="0"/>
    <n v="0"/>
  </r>
  <r>
    <d v="2026-01-30T00:00:00"/>
    <x v="186"/>
    <s v="Paola Andrea Ossa"/>
    <s v="Chefibio"/>
    <n v="1500"/>
    <m/>
    <n v="80400"/>
    <n v="0"/>
    <n v="80400"/>
    <n v="0"/>
    <n v="0"/>
  </r>
  <r>
    <d v="2026-01-30T00:00:00"/>
    <x v="186"/>
    <s v="Paola Andrea Ossa"/>
    <s v="Caja menor"/>
    <m/>
    <n v="40200"/>
    <m/>
    <n v="0"/>
    <n v="40200"/>
    <n v="0"/>
    <n v="40200"/>
  </r>
  <r>
    <d v="2026-01-17T00:00:00"/>
    <x v="187"/>
    <s v="Paola Franco 350"/>
    <m/>
    <m/>
    <m/>
    <n v="236000"/>
    <n v="0"/>
    <n v="236000"/>
    <n v="0"/>
    <n v="0"/>
  </r>
  <r>
    <d v="2026-01-26T00:00:00"/>
    <x v="187"/>
    <s v="Paola Franco 100"/>
    <s v="bancolombia"/>
    <m/>
    <n v="236000"/>
    <m/>
    <n v="0"/>
    <n v="0"/>
    <n v="0"/>
    <n v="0"/>
  </r>
  <r>
    <d v="2026-01-30T00:00:00"/>
    <x v="187"/>
    <s v="Paola Franco 100"/>
    <s v="Chefibio"/>
    <n v="2000"/>
    <m/>
    <n v="78000"/>
    <n v="0"/>
    <n v="78000"/>
    <n v="0"/>
    <n v="0"/>
  </r>
  <r>
    <d v="2026-01-30T00:00:00"/>
    <x v="187"/>
    <s v="Paola Franco 350"/>
    <s v="Chefibio"/>
    <n v="10500"/>
    <m/>
    <n v="304500"/>
    <n v="0"/>
    <n v="382500"/>
    <n v="0"/>
    <n v="0"/>
  </r>
  <r>
    <d v="2026-02-06T00:00:00"/>
    <x v="187"/>
    <s v="Paola Franco 100"/>
    <s v="Chefibio"/>
    <n v="2000"/>
    <m/>
    <n v="78000"/>
    <n v="0"/>
    <n v="460500"/>
    <n v="0"/>
    <n v="0"/>
  </r>
  <r>
    <d v="2026-02-13T00:00:00"/>
    <x v="187"/>
    <s v="Paola Franco 350"/>
    <s v="Chefibio"/>
    <n v="3500"/>
    <m/>
    <n v="101500"/>
    <n v="0"/>
    <n v="562000"/>
    <n v="0"/>
    <n v="0"/>
  </r>
  <r>
    <d v="2026-02-16T00:00:00"/>
    <x v="187"/>
    <s v="Paola Franco 100"/>
    <s v="Chefibio"/>
    <n v="2000"/>
    <m/>
    <n v="78000"/>
    <n v="0"/>
    <n v="640000"/>
    <n v="0"/>
    <n v="640000"/>
  </r>
  <r>
    <d v="2026-01-19T00:00:00"/>
    <x v="188"/>
    <s v="Paola González 124"/>
    <s v="Chefibio"/>
    <n v="3720"/>
    <m/>
    <n v="159600"/>
    <n v="0"/>
    <n v="159600"/>
    <n v="0"/>
    <n v="0"/>
  </r>
  <r>
    <d v="2026-01-19T00:00:00"/>
    <x v="188"/>
    <s v="Paola González 160"/>
    <s v="Chefibio"/>
    <n v="2400"/>
    <m/>
    <n v="65400"/>
    <n v="0"/>
    <n v="225000"/>
    <n v="0"/>
    <n v="0"/>
  </r>
  <r>
    <d v="2026-01-20T00:00:00"/>
    <x v="188"/>
    <s v="Paola González 124"/>
    <s v="bancolombia"/>
    <m/>
    <n v="225000"/>
    <m/>
    <n v="0"/>
    <n v="0"/>
    <n v="0"/>
    <n v="0"/>
  </r>
  <r>
    <d v="2026-02-02T00:00:00"/>
    <x v="188"/>
    <s v="Paola González 124"/>
    <s v="Chefibio"/>
    <n v="3720"/>
    <m/>
    <n v="141360"/>
    <n v="0"/>
    <n v="141360"/>
    <n v="0"/>
    <n v="0"/>
  </r>
  <r>
    <d v="2026-02-02T00:00:00"/>
    <x v="188"/>
    <s v="Paola González 160"/>
    <s v="Chefibio"/>
    <n v="2400"/>
    <m/>
    <n v="91200"/>
    <n v="0"/>
    <n v="232560"/>
    <n v="0"/>
    <n v="0"/>
  </r>
  <r>
    <d v="2026-02-04T00:00:00"/>
    <x v="188"/>
    <s v="Paola González 124"/>
    <s v="bancolombia"/>
    <m/>
    <n v="232560"/>
    <m/>
    <n v="0"/>
    <n v="0"/>
    <n v="0"/>
    <n v="0"/>
  </r>
  <r>
    <d v="2026-02-18T00:00:00"/>
    <x v="188"/>
    <s v="Paola González 124"/>
    <s v="Chefibio"/>
    <n v="1860"/>
    <m/>
    <n v="70680"/>
    <n v="0"/>
    <n v="70680"/>
    <n v="0"/>
    <n v="0"/>
  </r>
  <r>
    <d v="2026-02-18T00:00:00"/>
    <x v="188"/>
    <s v="Paola González 160"/>
    <s v="Chefibio"/>
    <n v="2400"/>
    <m/>
    <n v="91200"/>
    <n v="0"/>
    <n v="161880"/>
    <n v="0"/>
    <n v="161880"/>
  </r>
  <r>
    <d v="2026-01-17T00:00:00"/>
    <x v="189"/>
    <s v="Ricardo Andrés Paredes G"/>
    <m/>
    <m/>
    <m/>
    <n v="218700"/>
    <n v="0"/>
    <n v="218700"/>
    <n v="0"/>
    <n v="0"/>
  </r>
  <r>
    <d v="2026-01-21T00:00:00"/>
    <x v="189"/>
    <s v="Ricardo Andrés Paredes G"/>
    <s v="bancolombia"/>
    <m/>
    <n v="218700"/>
    <m/>
    <n v="0"/>
    <n v="0"/>
    <n v="0"/>
    <n v="0"/>
  </r>
  <r>
    <d v="2026-01-30T00:00:00"/>
    <x v="189"/>
    <s v="Ricardo Andrés Paredes G"/>
    <s v="Chefibio"/>
    <n v="3960"/>
    <m/>
    <n v="106920"/>
    <n v="0"/>
    <n v="106920"/>
    <n v="0"/>
    <n v="0"/>
  </r>
  <r>
    <d v="2026-01-30T00:00:00"/>
    <x v="189"/>
    <s v="Ricardo Andrés Paredes G"/>
    <s v="Chefibio"/>
    <n v="4140"/>
    <m/>
    <n v="111780"/>
    <n v="0"/>
    <n v="218700"/>
    <n v="0"/>
    <n v="0"/>
  </r>
  <r>
    <d v="2026-02-11T00:00:00"/>
    <x v="189"/>
    <s v="Ricardo Andrés Paredes G"/>
    <s v="bancolombia"/>
    <m/>
    <n v="218700"/>
    <m/>
    <n v="0"/>
    <n v="0"/>
    <n v="0"/>
    <n v="0"/>
  </r>
  <r>
    <d v="2026-02-17T00:00:00"/>
    <x v="189"/>
    <s v="Ricardo Andrés Paredes G"/>
    <s v="Chefibio"/>
    <n v="3960"/>
    <m/>
    <n v="106920"/>
    <n v="0"/>
    <n v="106920"/>
    <n v="0"/>
    <n v="0"/>
  </r>
  <r>
    <d v="2026-02-17T00:00:00"/>
    <x v="189"/>
    <s v="Ricardo Andrés Paredes G"/>
    <s v="Chefibio"/>
    <n v="4140"/>
    <m/>
    <n v="111780"/>
    <n v="0"/>
    <n v="218700"/>
    <n v="0"/>
    <n v="218700"/>
  </r>
  <r>
    <d v="2026-01-27T00:00:00"/>
    <x v="190"/>
    <s v="Ricardo Blanco 110"/>
    <s v="bancolombia"/>
    <m/>
    <n v="137000"/>
    <m/>
    <n v="137000"/>
    <n v="0"/>
    <n v="0"/>
    <n v="0"/>
  </r>
  <r>
    <d v="2026-01-27T00:00:00"/>
    <x v="190"/>
    <s v="Ricardo Blanco 110"/>
    <s v="Chefibio"/>
    <n v="3300"/>
    <m/>
    <n v="137000"/>
    <n v="0"/>
    <n v="0"/>
    <n v="0"/>
    <n v="0"/>
  </r>
  <r>
    <d v="2026-02-11T00:00:00"/>
    <x v="190"/>
    <s v="Ricardo Blanco 110"/>
    <s v="Chefibio"/>
    <n v="3300"/>
    <m/>
    <n v="137000"/>
    <n v="0"/>
    <n v="137000"/>
    <n v="0"/>
    <n v="0"/>
  </r>
  <r>
    <d v="2026-02-15T00:00:00"/>
    <x v="190"/>
    <s v="Ricardo Blanco 110"/>
    <s v="bancolombia"/>
    <m/>
    <n v="137000"/>
    <m/>
    <n v="0"/>
    <n v="0"/>
    <n v="0"/>
    <n v="0"/>
  </r>
  <r>
    <d v="2026-02-09T00:00:00"/>
    <x v="191"/>
    <s v="Rigoberto Londoño"/>
    <s v="Chefibio"/>
    <n v="4050"/>
    <m/>
    <n v="135600"/>
    <n v="0"/>
    <n v="135600"/>
    <n v="0"/>
    <n v="0"/>
  </r>
  <r>
    <d v="2026-02-10T00:00:00"/>
    <x v="191"/>
    <s v="Rigoberto Londoño"/>
    <s v="Caja menor"/>
    <m/>
    <n v="135600"/>
    <m/>
    <n v="0"/>
    <n v="0"/>
    <n v="0"/>
    <n v="0"/>
  </r>
  <r>
    <d v="2026-01-26T00:00:00"/>
    <x v="192"/>
    <s v="Rocio Linares"/>
    <s v="Chefibio"/>
    <n v="6000"/>
    <m/>
    <n v="222000"/>
    <n v="0"/>
    <n v="222000"/>
    <n v="0"/>
    <n v="0"/>
  </r>
  <r>
    <d v="2026-01-26T00:00:00"/>
    <x v="192"/>
    <s v="Rocio Linares"/>
    <s v="bancolombia"/>
    <m/>
    <n v="222000"/>
    <m/>
    <n v="0"/>
    <n v="0"/>
    <n v="0"/>
    <n v="0"/>
  </r>
  <r>
    <d v="2026-02-10T00:00:00"/>
    <x v="192"/>
    <s v="Rocio Linares"/>
    <s v="Chefibio"/>
    <n v="6000"/>
    <m/>
    <n v="222000"/>
    <n v="0"/>
    <n v="222000"/>
    <n v="0"/>
    <n v="0"/>
  </r>
  <r>
    <d v="2026-02-10T00:00:00"/>
    <x v="192"/>
    <s v="Rocio Linares"/>
    <s v="bancolombia"/>
    <m/>
    <n v="222000"/>
    <m/>
    <n v="0"/>
    <n v="0"/>
    <n v="0"/>
    <n v="0"/>
  </r>
  <r>
    <d v="2026-01-21T00:00:00"/>
    <x v="193"/>
    <s v="Ronald Cruz "/>
    <s v="Chefibio"/>
    <n v="5750"/>
    <m/>
    <n v="132787"/>
    <n v="0"/>
    <n v="132787"/>
    <n v="0"/>
    <n v="0"/>
  </r>
  <r>
    <d v="2026-01-21T00:00:00"/>
    <x v="193"/>
    <s v="Ronald Cruz "/>
    <s v="bancolombia"/>
    <m/>
    <n v="259800"/>
    <m/>
    <n v="127013"/>
    <n v="0"/>
    <n v="0"/>
    <n v="0"/>
  </r>
  <r>
    <d v="2026-01-21T00:00:00"/>
    <x v="193"/>
    <s v="Ronald Cruz "/>
    <s v="Chefibio"/>
    <n v="5500"/>
    <m/>
    <n v="127013"/>
    <n v="0"/>
    <n v="0"/>
    <n v="0"/>
    <n v="0"/>
  </r>
  <r>
    <d v="2026-02-10T00:00:00"/>
    <x v="193"/>
    <s v="Ronald Cruz "/>
    <s v="Chefibio"/>
    <n v="14220"/>
    <m/>
    <n v="385500"/>
    <n v="0"/>
    <n v="385500"/>
    <n v="0"/>
    <n v="0"/>
  </r>
  <r>
    <d v="2026-02-10T00:00:00"/>
    <x v="193"/>
    <s v="Ronald Cruz "/>
    <s v="Caja menor"/>
    <m/>
    <n v="385500"/>
    <m/>
    <n v="0"/>
    <n v="0"/>
    <n v="0"/>
    <n v="0"/>
  </r>
  <r>
    <d v="2026-01-22T00:00:00"/>
    <x v="194"/>
    <s v="Sandra Galvis"/>
    <s v="Chefibio"/>
    <n v="1050"/>
    <m/>
    <n v="43050"/>
    <n v="0"/>
    <n v="43050"/>
    <n v="0"/>
    <n v="0"/>
  </r>
  <r>
    <d v="2026-01-29T00:00:00"/>
    <x v="194"/>
    <s v="Sandra Galvis"/>
    <s v="bancolombia"/>
    <m/>
    <n v="43500"/>
    <m/>
    <n v="450"/>
    <n v="0"/>
    <n v="0"/>
    <n v="0"/>
  </r>
  <r>
    <d v="2026-02-12T00:00:00"/>
    <x v="194"/>
    <s v="Sandra Galvis"/>
    <s v="Chefibio"/>
    <n v="1050"/>
    <m/>
    <n v="43050"/>
    <n v="0"/>
    <n v="42600"/>
    <n v="0"/>
    <n v="0"/>
  </r>
  <r>
    <d v="2026-02-16T00:00:00"/>
    <x v="194"/>
    <s v="Sandra Galvis"/>
    <s v="bancolombia"/>
    <m/>
    <n v="43500"/>
    <m/>
    <n v="900"/>
    <n v="0"/>
    <n v="900"/>
    <n v="0"/>
  </r>
  <r>
    <d v="2026-01-17T00:00:00"/>
    <x v="195"/>
    <s v="Sandra Lucia Muñoz Mosquera"/>
    <m/>
    <m/>
    <n v="0"/>
    <m/>
    <n v="0"/>
    <n v="0"/>
    <n v="0"/>
    <n v="0"/>
  </r>
  <r>
    <d v="2026-01-20T00:00:00"/>
    <x v="195"/>
    <s v="Sandra Lucia Muñoz Mosquera"/>
    <s v="Chefibio"/>
    <n v="2550"/>
    <m/>
    <n v="107100"/>
    <n v="0"/>
    <n v="107100"/>
    <n v="0"/>
    <n v="0"/>
  </r>
  <r>
    <d v="2026-01-23T00:00:00"/>
    <x v="195"/>
    <s v="Sandra Lucia Muñoz Mosquera"/>
    <s v="bancolombia"/>
    <m/>
    <n v="107100"/>
    <m/>
    <n v="0"/>
    <n v="0"/>
    <n v="0"/>
    <n v="0"/>
  </r>
  <r>
    <d v="2026-02-04T00:00:00"/>
    <x v="195"/>
    <s v="Sandra Lucia Muñoz Mosquera"/>
    <s v="Chefibio"/>
    <n v="2550"/>
    <m/>
    <n v="107100"/>
    <n v="0"/>
    <n v="107100"/>
    <n v="0"/>
    <n v="0"/>
  </r>
  <r>
    <d v="2026-02-05T00:00:00"/>
    <x v="195"/>
    <s v="Sandra Lucia Muñoz Mosquera"/>
    <s v="bancolombia"/>
    <m/>
    <n v="107100"/>
    <m/>
    <n v="0"/>
    <n v="0"/>
    <n v="0"/>
    <n v="0"/>
  </r>
  <r>
    <d v="2026-02-18T00:00:00"/>
    <x v="195"/>
    <s v="Sandra Lucia Muñoz Mosquera"/>
    <s v="Chefibio"/>
    <n v="2550"/>
    <m/>
    <n v="107100"/>
    <n v="0"/>
    <n v="107100"/>
    <n v="0"/>
    <n v="107100"/>
  </r>
  <r>
    <d v="2026-01-17T00:00:00"/>
    <x v="196"/>
    <s v="Sandra Romero"/>
    <m/>
    <m/>
    <m/>
    <n v="45600"/>
    <n v="0"/>
    <n v="45600"/>
    <n v="0"/>
    <n v="0"/>
  </r>
  <r>
    <d v="2026-01-17T00:00:00"/>
    <x v="196"/>
    <s v="Sandra Romero"/>
    <m/>
    <m/>
    <n v="0"/>
    <m/>
    <n v="0"/>
    <n v="45600"/>
    <n v="0"/>
    <n v="0"/>
  </r>
  <r>
    <d v="2026-01-19T00:00:00"/>
    <x v="196"/>
    <s v="Sandra Romero"/>
    <s v="Chefibio"/>
    <n v="5400"/>
    <m/>
    <n v="135000"/>
    <n v="0"/>
    <n v="180600"/>
    <n v="0"/>
    <n v="0"/>
  </r>
  <r>
    <d v="2026-02-02T00:00:00"/>
    <x v="196"/>
    <s v="Sandra Romero"/>
    <s v="bancolombia"/>
    <m/>
    <n v="19300"/>
    <m/>
    <n v="0"/>
    <n v="161300"/>
    <n v="0"/>
    <n v="0"/>
  </r>
  <r>
    <d v="2026-02-02T00:00:00"/>
    <x v="196"/>
    <s v="Sandra Romero"/>
    <s v="bancolombia"/>
    <m/>
    <n v="297000"/>
    <m/>
    <n v="135700"/>
    <n v="0"/>
    <n v="0"/>
    <n v="0"/>
  </r>
  <r>
    <d v="2026-02-04T00:00:00"/>
    <x v="196"/>
    <s v="Sandra Romero"/>
    <s v="Chefibio"/>
    <n v="5400"/>
    <m/>
    <n v="135000"/>
    <n v="700"/>
    <n v="0"/>
    <n v="0"/>
    <n v="0"/>
  </r>
  <r>
    <d v="2026-02-18T00:00:00"/>
    <x v="196"/>
    <s v="Sandra Romero"/>
    <s v="Chefibio"/>
    <n v="5400"/>
    <m/>
    <n v="135000"/>
    <n v="0"/>
    <n v="134300"/>
    <n v="0"/>
    <n v="134300"/>
  </r>
  <r>
    <d v="2026-01-31T00:00:00"/>
    <x v="197"/>
    <s v="Sandra Sotelo"/>
    <s v="bancolombia"/>
    <m/>
    <n v="410000"/>
    <m/>
    <n v="410000"/>
    <n v="0"/>
    <n v="0"/>
    <n v="0"/>
  </r>
  <r>
    <d v="2026-02-02T00:00:00"/>
    <x v="197"/>
    <s v="Sandra Sotelo"/>
    <s v="Nuggets"/>
    <n v="2000"/>
    <m/>
    <n v="67000"/>
    <n v="343000"/>
    <n v="0"/>
    <n v="0"/>
    <n v="0"/>
  </r>
  <r>
    <d v="2026-02-02T00:00:00"/>
    <x v="197"/>
    <s v="Sandra Sotelo"/>
    <s v="Chefibio"/>
    <n v="8000"/>
    <m/>
    <n v="268000"/>
    <n v="75000"/>
    <n v="0"/>
    <n v="75000"/>
    <n v="0"/>
  </r>
  <r>
    <d v="2026-01-17T00:00:00"/>
    <x v="198"/>
    <s v="Santiago Medina Vega"/>
    <m/>
    <m/>
    <n v="0"/>
    <m/>
    <n v="0"/>
    <n v="0"/>
    <n v="0"/>
    <n v="0"/>
  </r>
  <r>
    <d v="2026-01-22T00:00:00"/>
    <x v="198"/>
    <s v="Santiago Medina Vega"/>
    <s v="Chefibio"/>
    <n v="3300"/>
    <m/>
    <n v="99000"/>
    <n v="0"/>
    <n v="99000"/>
    <n v="0"/>
    <n v="0"/>
  </r>
  <r>
    <d v="2026-01-22T00:00:00"/>
    <x v="198"/>
    <s v="Santiago Medina Vega"/>
    <s v="Chefibio"/>
    <n v="3450"/>
    <m/>
    <n v="103500"/>
    <n v="0"/>
    <n v="202500"/>
    <n v="0"/>
    <n v="0"/>
  </r>
  <r>
    <d v="2026-02-06T00:00:00"/>
    <x v="198"/>
    <s v="Santiago Medina Vega"/>
    <s v="Chefibio"/>
    <n v="3300"/>
    <m/>
    <n v="99000"/>
    <n v="0"/>
    <n v="301500"/>
    <n v="0"/>
    <n v="0"/>
  </r>
  <r>
    <d v="2026-02-06T00:00:00"/>
    <x v="198"/>
    <s v="Santiago Medina Vega"/>
    <s v="Chefibio"/>
    <n v="3450"/>
    <m/>
    <n v="103500"/>
    <n v="0"/>
    <n v="405000"/>
    <n v="0"/>
    <n v="0"/>
  </r>
  <r>
    <d v="2026-02-12T00:00:00"/>
    <x v="198"/>
    <s v="Santiago Medina Vega"/>
    <s v="bancolombia"/>
    <m/>
    <n v="405000"/>
    <m/>
    <n v="0"/>
    <n v="0"/>
    <n v="0"/>
    <n v="0"/>
  </r>
  <r>
    <d v="2026-01-17T00:00:00"/>
    <x v="199"/>
    <s v="Saraya Bonilla Lozada"/>
    <m/>
    <m/>
    <m/>
    <n v="66600"/>
    <n v="0"/>
    <n v="66600"/>
    <n v="0"/>
    <n v="0"/>
  </r>
  <r>
    <d v="2026-01-20T00:00:00"/>
    <x v="199"/>
    <s v="Saraya Bonilla Lozada"/>
    <s v="bancolombia"/>
    <m/>
    <n v="66600"/>
    <m/>
    <n v="0"/>
    <n v="0"/>
    <n v="0"/>
    <n v="0"/>
  </r>
  <r>
    <d v="2026-01-23T00:00:00"/>
    <x v="199"/>
    <s v="Saraya Bonilla Lozada"/>
    <s v="Chefibio"/>
    <n v="1680"/>
    <m/>
    <n v="70500"/>
    <n v="0"/>
    <n v="70500"/>
    <n v="0"/>
    <n v="0"/>
  </r>
  <r>
    <d v="2026-01-30T00:00:00"/>
    <x v="199"/>
    <s v="Saraya Bonilla Lozada"/>
    <s v="bancolombia"/>
    <m/>
    <n v="70560"/>
    <m/>
    <n v="60"/>
    <n v="0"/>
    <n v="0"/>
    <n v="0"/>
  </r>
  <r>
    <d v="2026-02-03T00:00:00"/>
    <x v="199"/>
    <s v="Saraya Bonilla Lozada"/>
    <s v="Chefibio"/>
    <n v="1680"/>
    <m/>
    <n v="70500"/>
    <n v="0"/>
    <n v="70440"/>
    <n v="0"/>
    <n v="0"/>
  </r>
  <r>
    <d v="2026-02-13T00:00:00"/>
    <x v="199"/>
    <s v="Saraya Bonilla Lozada"/>
    <s v="Chefibio"/>
    <n v="1680"/>
    <m/>
    <n v="70500"/>
    <n v="0"/>
    <n v="140940"/>
    <n v="0"/>
    <n v="0"/>
  </r>
  <r>
    <d v="2026-02-16T00:00:00"/>
    <x v="199"/>
    <s v="Saraya Bonilla Lozada"/>
    <s v="bancolombia"/>
    <m/>
    <n v="70560"/>
    <m/>
    <n v="0"/>
    <n v="70380"/>
    <n v="0"/>
    <n v="70380"/>
  </r>
  <r>
    <d v="2026-01-17T00:00:00"/>
    <x v="200"/>
    <s v="Sergio Cañon"/>
    <m/>
    <m/>
    <m/>
    <n v="192780"/>
    <n v="0"/>
    <n v="192780"/>
    <n v="0"/>
    <n v="0"/>
  </r>
  <r>
    <d v="2026-01-26T00:00:00"/>
    <x v="200"/>
    <s v="Sergio Cañon"/>
    <s v="bancolombia"/>
    <m/>
    <n v="192780"/>
    <m/>
    <n v="0"/>
    <n v="0"/>
    <n v="0"/>
    <n v="0"/>
  </r>
  <r>
    <d v="2026-01-30T00:00:00"/>
    <x v="200"/>
    <s v="Sergio Cañon"/>
    <s v="Chefibio"/>
    <n v="3519"/>
    <m/>
    <n v="98532"/>
    <n v="0"/>
    <n v="98532"/>
    <n v="0"/>
    <n v="0"/>
  </r>
  <r>
    <d v="2026-01-30T00:00:00"/>
    <x v="200"/>
    <s v="Sergio Cañon"/>
    <s v="Chefibio"/>
    <n v="3366"/>
    <m/>
    <n v="94248"/>
    <n v="0"/>
    <n v="192780"/>
    <n v="0"/>
    <n v="0"/>
  </r>
  <r>
    <d v="2026-02-08T00:00:00"/>
    <x v="200"/>
    <s v="Sergio Cañon"/>
    <s v="bancolombia"/>
    <m/>
    <n v="192780"/>
    <m/>
    <n v="0"/>
    <n v="0"/>
    <n v="0"/>
    <n v="0"/>
  </r>
  <r>
    <d v="2026-02-16T00:00:00"/>
    <x v="200"/>
    <s v="Sergio Cañon"/>
    <s v="Chefibio"/>
    <n v="3519"/>
    <m/>
    <n v="98532"/>
    <n v="0"/>
    <n v="98532"/>
    <n v="0"/>
    <n v="0"/>
  </r>
  <r>
    <d v="2026-02-16T00:00:00"/>
    <x v="200"/>
    <s v="Sergio Cañon"/>
    <s v="Chefibio"/>
    <n v="3366"/>
    <m/>
    <n v="94248"/>
    <n v="0"/>
    <n v="192780"/>
    <n v="0"/>
    <n v="192780"/>
  </r>
  <r>
    <d v="2026-01-28T00:00:00"/>
    <x v="201"/>
    <s v="Simon Guillermo La Torre Buitrago"/>
    <s v="Chefibio"/>
    <n v="4800"/>
    <m/>
    <n v="144000"/>
    <n v="0"/>
    <n v="144000"/>
    <n v="0"/>
    <n v="0"/>
  </r>
  <r>
    <d v="2026-01-30T00:00:00"/>
    <x v="201"/>
    <s v="Simon Guillermo La Torre Buitrago"/>
    <s v="bancolombia"/>
    <m/>
    <n v="144000"/>
    <m/>
    <n v="0"/>
    <n v="0"/>
    <n v="0"/>
    <n v="0"/>
  </r>
  <r>
    <d v="2026-02-12T00:00:00"/>
    <x v="201"/>
    <s v="Simon Guillermo La Torre Buitrago"/>
    <s v="Chefibio"/>
    <n v="4800"/>
    <m/>
    <n v="144000"/>
    <n v="0"/>
    <n v="144000"/>
    <n v="0"/>
    <n v="0"/>
  </r>
  <r>
    <d v="2026-02-16T00:00:00"/>
    <x v="201"/>
    <s v="Simon Guillermo La Torre Buitrago"/>
    <s v="bancolombia"/>
    <m/>
    <n v="144000"/>
    <m/>
    <n v="0"/>
    <n v="0"/>
    <n v="0"/>
    <n v="0"/>
  </r>
  <r>
    <d v="2026-01-17T00:00:00"/>
    <x v="202"/>
    <s v="Spa Veterinario Smoky Pet O Vet"/>
    <m/>
    <m/>
    <m/>
    <n v="510500"/>
    <n v="0"/>
    <n v="510500"/>
    <n v="0"/>
    <n v="0"/>
  </r>
  <r>
    <d v="2026-01-21T00:00:00"/>
    <x v="202"/>
    <s v="Spa Veterinario Smoky Pet O Vet"/>
    <s v="Chefibio"/>
    <n v="14700"/>
    <m/>
    <n v="0"/>
    <n v="0"/>
    <n v="510500"/>
    <n v="0"/>
    <n v="0"/>
  </r>
  <r>
    <d v="2026-01-28T00:00:00"/>
    <x v="202"/>
    <s v="Spa Veterinario Smoky Pet O Vet"/>
    <s v="bancolombia"/>
    <m/>
    <n v="300000"/>
    <m/>
    <n v="0"/>
    <n v="210500"/>
    <n v="0"/>
    <n v="0"/>
  </r>
  <r>
    <d v="2026-01-29T00:00:00"/>
    <x v="202"/>
    <s v="Spa Veterinario Smoky Pet O Vet"/>
    <s v="Nuggets"/>
    <n v="1000"/>
    <m/>
    <n v="60000"/>
    <n v="0"/>
    <n v="270500"/>
    <n v="0"/>
    <n v="0"/>
  </r>
  <r>
    <d v="2026-01-29T00:00:00"/>
    <x v="202"/>
    <s v="Spa Veterinario Smoky Pet O Vet"/>
    <s v="Chefibio"/>
    <n v="11550"/>
    <m/>
    <n v="0"/>
    <n v="0"/>
    <n v="270500"/>
    <n v="0"/>
    <n v="0"/>
  </r>
  <r>
    <d v="2026-01-31T00:00:00"/>
    <x v="202"/>
    <s v="Spa Veterinario Smoky Pet O Vet"/>
    <s v="Chefibio"/>
    <n v="7350"/>
    <m/>
    <n v="154000"/>
    <n v="0"/>
    <n v="424500"/>
    <n v="0"/>
    <n v="0"/>
  </r>
  <r>
    <d v="2026-01-31T00:00:00"/>
    <x v="202"/>
    <s v="Spa Veterinario Smoky Pet O Vet"/>
    <s v="Caja menor"/>
    <m/>
    <n v="120000"/>
    <m/>
    <n v="0"/>
    <n v="304500"/>
    <n v="0"/>
    <n v="0"/>
  </r>
  <r>
    <d v="2026-02-04T00:00:00"/>
    <x v="202"/>
    <s v="Spa Veterinario Smoky Pet O Vet"/>
    <s v="Caja menor"/>
    <m/>
    <n v="300000"/>
    <m/>
    <n v="0"/>
    <n v="4500"/>
    <n v="0"/>
    <n v="0"/>
  </r>
  <r>
    <d v="2026-02-04T00:00:00"/>
    <x v="202"/>
    <s v="Spa Veterinario Smoky Pet O Vet"/>
    <s v="Chefibio"/>
    <n v="15750"/>
    <m/>
    <n v="346500"/>
    <n v="0"/>
    <n v="351000"/>
    <n v="0"/>
    <n v="0"/>
  </r>
  <r>
    <d v="2026-02-06T00:00:00"/>
    <x v="202"/>
    <s v="Spa Veterinario Smoky Pet O Vet"/>
    <s v="Chefibio"/>
    <n v="15750"/>
    <m/>
    <n v="346500"/>
    <n v="0"/>
    <n v="697500"/>
    <n v="0"/>
    <n v="0"/>
  </r>
  <r>
    <d v="2026-02-12T00:00:00"/>
    <x v="202"/>
    <s v="Spa Veterinario Smoky Pet O Vet"/>
    <s v="Chefibio"/>
    <n v="15750"/>
    <m/>
    <n v="346500"/>
    <n v="0"/>
    <n v="1044000"/>
    <n v="0"/>
    <n v="0"/>
  </r>
  <r>
    <d v="2026-02-16T00:00:00"/>
    <x v="202"/>
    <s v="Spa Veterinario Smoky Pet O Vet"/>
    <s v="bancolombia"/>
    <m/>
    <n v="500000"/>
    <m/>
    <n v="0"/>
    <n v="544000"/>
    <n v="0"/>
    <n v="544000"/>
  </r>
  <r>
    <d v="2026-01-17T00:00:00"/>
    <x v="203"/>
    <s v="Sthephany Ortiz"/>
    <m/>
    <m/>
    <m/>
    <n v="178600"/>
    <n v="0"/>
    <n v="178600"/>
    <n v="0"/>
    <n v="0"/>
  </r>
  <r>
    <d v="2026-01-28T00:00:00"/>
    <x v="203"/>
    <s v="Sthephany Ortiz"/>
    <s v="Chefibio"/>
    <n v="2850"/>
    <m/>
    <n v="114000"/>
    <n v="0"/>
    <n v="292600"/>
    <n v="0"/>
    <n v="0"/>
  </r>
  <r>
    <d v="2026-01-28T00:00:00"/>
    <x v="203"/>
    <s v="Sthephany Ortiz"/>
    <s v="bancolombia"/>
    <m/>
    <n v="373600"/>
    <m/>
    <n v="81000"/>
    <n v="0"/>
    <n v="0"/>
    <n v="0"/>
  </r>
  <r>
    <d v="2026-01-28T00:00:00"/>
    <x v="203"/>
    <s v="Sthephany Ortiz 90"/>
    <s v="Chefibio"/>
    <n v="1350"/>
    <m/>
    <n v="81000"/>
    <n v="0"/>
    <n v="0"/>
    <n v="0"/>
    <n v="0"/>
  </r>
  <r>
    <d v="2026-02-12T00:00:00"/>
    <x v="203"/>
    <s v="Sthephany Ortiz"/>
    <s v="Chefibio"/>
    <n v="2850"/>
    <m/>
    <n v="114000"/>
    <n v="0"/>
    <n v="114000"/>
    <n v="0"/>
    <n v="0"/>
  </r>
  <r>
    <d v="2026-02-12T00:00:00"/>
    <x v="203"/>
    <s v="Sthephany Ortiz 90"/>
    <s v="Chefibio"/>
    <n v="1350"/>
    <m/>
    <n v="81000"/>
    <n v="0"/>
    <n v="195000"/>
    <n v="0"/>
    <n v="195000"/>
  </r>
  <r>
    <d v="2026-01-17T00:00:00"/>
    <x v="204"/>
    <s v="Valentina Oviedo "/>
    <m/>
    <m/>
    <n v="0"/>
    <m/>
    <n v="0"/>
    <n v="0"/>
    <n v="0"/>
    <n v="0"/>
  </r>
  <r>
    <d v="2026-01-21T00:00:00"/>
    <x v="205"/>
    <s v="Valentina Perez Uribe 240"/>
    <s v="Chefibio"/>
    <n v="7200"/>
    <m/>
    <n v="236000"/>
    <n v="0"/>
    <n v="236000"/>
    <n v="0"/>
    <n v="0"/>
  </r>
  <r>
    <d v="2026-01-21T00:00:00"/>
    <x v="205"/>
    <s v="Valentina Perez Uribe 265"/>
    <s v="Chefibio"/>
    <n v="7950"/>
    <m/>
    <n v="260000"/>
    <n v="0"/>
    <n v="496000"/>
    <n v="0"/>
    <n v="0"/>
  </r>
  <r>
    <d v="2026-01-22T00:00:00"/>
    <x v="205"/>
    <s v="Valentina Perez Uribe 240"/>
    <s v="bancolombia"/>
    <m/>
    <n v="496000"/>
    <m/>
    <n v="0"/>
    <n v="0"/>
    <n v="0"/>
    <n v="0"/>
  </r>
  <r>
    <d v="2026-01-17T00:00:00"/>
    <x v="206"/>
    <s v="Vanesa Montoya"/>
    <m/>
    <m/>
    <m/>
    <n v="223200"/>
    <n v="0"/>
    <n v="223200"/>
    <n v="0"/>
    <n v="0"/>
  </r>
  <r>
    <d v="2026-01-17T00:00:00"/>
    <x v="206"/>
    <s v="Vanesa Montoya"/>
    <m/>
    <m/>
    <n v="0"/>
    <m/>
    <n v="0"/>
    <n v="223200"/>
    <n v="0"/>
    <n v="0"/>
  </r>
  <r>
    <d v="2026-01-21T00:00:00"/>
    <x v="206"/>
    <s v="Vanesa Montoya"/>
    <s v="bancolombia"/>
    <m/>
    <n v="223200"/>
    <m/>
    <n v="0"/>
    <n v="0"/>
    <n v="0"/>
    <n v="0"/>
  </r>
  <r>
    <d v="2026-02-12T00:00:00"/>
    <x v="206"/>
    <s v="Vanesa Montoya"/>
    <s v="Chefibio"/>
    <n v="8640"/>
    <m/>
    <n v="223200"/>
    <n v="0"/>
    <n v="223200"/>
    <n v="0"/>
    <n v="223200"/>
  </r>
  <r>
    <d v="2026-01-17T00:00:00"/>
    <x v="207"/>
    <s v="Vanesa Sanchez "/>
    <m/>
    <m/>
    <m/>
    <n v="330000"/>
    <n v="0"/>
    <n v="330000"/>
    <n v="0"/>
    <n v="0"/>
  </r>
  <r>
    <d v="2026-01-17T00:00:00"/>
    <x v="207"/>
    <s v="Vanesa Sanchez "/>
    <s v="bancolombia"/>
    <m/>
    <n v="330000"/>
    <m/>
    <n v="0"/>
    <n v="0"/>
    <n v="0"/>
    <n v="0"/>
  </r>
  <r>
    <d v="2026-02-02T00:00:00"/>
    <x v="207"/>
    <s v="Vanesa Sanchez "/>
    <s v="Referido"/>
    <m/>
    <n v="78723"/>
    <m/>
    <n v="78723"/>
    <n v="0"/>
    <n v="0"/>
    <n v="0"/>
  </r>
  <r>
    <d v="2026-02-03T00:00:00"/>
    <x v="207"/>
    <s v="Vanesa Sanchez "/>
    <s v="Chefibio"/>
    <n v="4092"/>
    <m/>
    <n v="90024"/>
    <n v="0"/>
    <n v="11301"/>
    <n v="0"/>
    <n v="0"/>
  </r>
  <r>
    <d v="2026-02-03T00:00:00"/>
    <x v="207"/>
    <s v="Vanesa Sanchez Alicante De Suba"/>
    <s v="Chefibio"/>
    <n v="20000"/>
    <m/>
    <n v="440000"/>
    <n v="0"/>
    <n v="451301"/>
    <n v="0"/>
    <n v="0"/>
  </r>
  <r>
    <d v="2026-02-05T00:00:00"/>
    <x v="207"/>
    <s v="Vanesa Sanchez "/>
    <s v="bancolombia"/>
    <m/>
    <n v="440000"/>
    <m/>
    <n v="0"/>
    <n v="11301"/>
    <n v="0"/>
    <n v="0"/>
  </r>
  <r>
    <d v="2026-02-11T00:00:00"/>
    <x v="207"/>
    <s v="Vanesa Sanchez "/>
    <s v="Chefibio"/>
    <n v="5880"/>
    <m/>
    <n v="129360"/>
    <n v="0"/>
    <n v="140661"/>
    <n v="0"/>
    <n v="0"/>
  </r>
  <r>
    <d v="2026-02-18T00:00:00"/>
    <x v="207"/>
    <s v="Vanesa Sanchez "/>
    <s v="bancolombia"/>
    <m/>
    <n v="140661"/>
    <m/>
    <n v="0"/>
    <n v="0"/>
    <n v="0"/>
    <n v="0"/>
  </r>
  <r>
    <d v="2026-02-04T00:00:00"/>
    <x v="208"/>
    <s v="Veronica Buendia 150"/>
    <s v="Chefibio"/>
    <n v="660"/>
    <m/>
    <n v="38700"/>
    <n v="0"/>
    <n v="38700"/>
    <n v="0"/>
    <n v="0"/>
  </r>
  <r>
    <d v="2026-02-05T00:00:00"/>
    <x v="208"/>
    <s v="Veronica Buendia 150"/>
    <s v="bancolombia"/>
    <m/>
    <n v="38700"/>
    <m/>
    <n v="0"/>
    <n v="0"/>
    <n v="0"/>
    <n v="0"/>
  </r>
  <r>
    <d v="2026-02-06T00:00:00"/>
    <x v="208"/>
    <s v="Veronica Buendia 150"/>
    <s v="Chefibio"/>
    <n v="660"/>
    <m/>
    <n v="38700"/>
    <n v="0"/>
    <n v="38700"/>
    <n v="0"/>
    <n v="0"/>
  </r>
  <r>
    <d v="2026-02-16T00:00:00"/>
    <x v="208"/>
    <s v="Veronica Buendia 150"/>
    <s v="bancolombia"/>
    <m/>
    <n v="38700"/>
    <m/>
    <n v="0"/>
    <n v="0"/>
    <n v="0"/>
    <n v="0"/>
  </r>
  <r>
    <d v="2026-01-22T00:00:00"/>
    <x v="209"/>
    <s v="Veronica Ruiz 250"/>
    <s v="Chefibio"/>
    <n v="3750"/>
    <m/>
    <n v="90000"/>
    <n v="0"/>
    <n v="90000"/>
    <n v="0"/>
    <n v="0"/>
  </r>
  <r>
    <d v="2026-02-05T00:00:00"/>
    <x v="209"/>
    <s v="Veronica Ruiz 250"/>
    <s v="Chefibio"/>
    <n v="3750"/>
    <m/>
    <n v="90000"/>
    <n v="0"/>
    <n v="180000"/>
    <n v="0"/>
    <n v="0"/>
  </r>
  <r>
    <d v="2026-02-18T00:00:00"/>
    <x v="209"/>
    <s v="Veronica Ruiz 250"/>
    <s v="Chefibio"/>
    <n v="3750"/>
    <m/>
    <n v="90000"/>
    <n v="0"/>
    <n v="270000"/>
    <n v="0"/>
    <n v="270000"/>
  </r>
  <r>
    <d v="2026-01-17T00:00:00"/>
    <x v="210"/>
    <s v="Victoria Olano"/>
    <m/>
    <m/>
    <m/>
    <n v="125400"/>
    <n v="0"/>
    <n v="125400"/>
    <n v="0"/>
    <n v="0"/>
  </r>
  <r>
    <d v="2026-01-18T00:00:00"/>
    <x v="210"/>
    <s v="Victoria Olano"/>
    <s v="bancolombia"/>
    <m/>
    <n v="125400"/>
    <m/>
    <n v="0"/>
    <n v="0"/>
    <n v="0"/>
    <n v="0"/>
  </r>
  <r>
    <d v="2026-01-29T00:00:00"/>
    <x v="210"/>
    <s v="Victoria Olano"/>
    <s v="Chefibio"/>
    <n v="5700"/>
    <m/>
    <n v="125400"/>
    <n v="0"/>
    <n v="125400"/>
    <n v="0"/>
    <n v="0"/>
  </r>
  <r>
    <d v="2026-01-30T00:00:00"/>
    <x v="210"/>
    <s v="Victoria Olano"/>
    <s v="bancolombia"/>
    <m/>
    <n v="125400"/>
    <m/>
    <n v="0"/>
    <n v="0"/>
    <n v="0"/>
    <n v="0"/>
  </r>
  <r>
    <d v="2026-02-12T00:00:00"/>
    <x v="210"/>
    <s v="Victoria Olano"/>
    <s v="Chefibio"/>
    <n v="5700"/>
    <m/>
    <n v="125400"/>
    <n v="0"/>
    <n v="125400"/>
    <n v="0"/>
    <n v="0"/>
  </r>
  <r>
    <d v="2026-02-13T00:00:00"/>
    <x v="210"/>
    <s v="Victoria Olano"/>
    <s v="bancolombia"/>
    <m/>
    <n v="125400"/>
    <m/>
    <n v="0"/>
    <n v="0"/>
    <n v="0"/>
    <n v="0"/>
  </r>
  <r>
    <d v="2026-01-17T00:00:00"/>
    <x v="211"/>
    <s v="Viviana Solorzano Lia"/>
    <s v="bancolombia"/>
    <m/>
    <n v="335800"/>
    <m/>
    <n v="335800"/>
    <n v="0"/>
    <n v="0"/>
    <n v="0"/>
  </r>
  <r>
    <d v="2026-01-17T00:00:00"/>
    <x v="211"/>
    <s v="Viviana Solorzano Lia"/>
    <m/>
    <m/>
    <m/>
    <n v="71000"/>
    <n v="264800"/>
    <n v="0"/>
    <n v="0"/>
    <n v="0"/>
  </r>
  <r>
    <d v="2026-01-22T00:00:00"/>
    <x v="211"/>
    <s v="Viviana Solorzano Lia"/>
    <s v="Chefibio"/>
    <n v="3900"/>
    <m/>
    <n v="115800"/>
    <n v="149000"/>
    <n v="0"/>
    <n v="0"/>
    <n v="0"/>
  </r>
  <r>
    <d v="2026-02-02T00:00:00"/>
    <x v="211"/>
    <s v="Viviana Solorzano Lia"/>
    <s v="Chefibio"/>
    <n v="3900"/>
    <m/>
    <n v="115800"/>
    <n v="33200"/>
    <n v="0"/>
    <n v="0"/>
    <n v="0"/>
  </r>
  <r>
    <d v="2026-02-11T00:00:00"/>
    <x v="211"/>
    <s v="Viviana Solorzano Lia"/>
    <s v="Chefibio"/>
    <n v="3900"/>
    <m/>
    <n v="115800"/>
    <n v="0"/>
    <n v="82600"/>
    <n v="0"/>
    <n v="82600"/>
  </r>
  <r>
    <d v="2026-01-30T00:00:00"/>
    <x v="212"/>
    <s v="Wilton Arley Castro Lopez"/>
    <s v="Chefibio"/>
    <n v="5000"/>
    <m/>
    <n v="125000"/>
    <n v="0"/>
    <n v="125000"/>
    <n v="0"/>
    <n v="0"/>
  </r>
  <r>
    <d v="2026-01-31T00:00:00"/>
    <x v="212"/>
    <s v="Wilton Arley Castro Lopez"/>
    <s v="bancolombia"/>
    <m/>
    <n v="125000"/>
    <m/>
    <n v="0"/>
    <n v="0"/>
    <n v="0"/>
    <n v="0"/>
  </r>
  <r>
    <d v="2026-02-06T00:00:00"/>
    <x v="212"/>
    <s v="Wilton Arley Castro Lopez"/>
    <s v="bancolombia"/>
    <m/>
    <n v="125000"/>
    <m/>
    <n v="125000"/>
    <n v="0"/>
    <n v="0"/>
    <n v="0"/>
  </r>
  <r>
    <d v="2026-02-06T00:00:00"/>
    <x v="212"/>
    <s v="Wilton Arley Castro Lopez"/>
    <s v="Chefibio"/>
    <n v="5000"/>
    <m/>
    <n v="125000"/>
    <n v="0"/>
    <n v="0"/>
    <n v="0"/>
    <n v="0"/>
  </r>
  <r>
    <d v="2026-02-16T00:00:00"/>
    <x v="212"/>
    <s v="Wilton Arley Castro Lopez"/>
    <s v="Chefibio"/>
    <n v="5000"/>
    <m/>
    <n v="125000"/>
    <n v="0"/>
    <n v="125000"/>
    <n v="0"/>
    <n v="0"/>
  </r>
  <r>
    <d v="2026-02-17T00:00:00"/>
    <x v="212"/>
    <s v="Wilton Arley Castro Lopez"/>
    <s v="bancolombia"/>
    <m/>
    <n v="125000"/>
    <m/>
    <n v="0"/>
    <n v="0"/>
    <n v="0"/>
    <n v="0"/>
  </r>
  <r>
    <d v="2026-01-18T00:00:00"/>
    <x v="213"/>
    <s v="Ximena Hernandez Hernandez"/>
    <s v="Chefibio"/>
    <n v="5850"/>
    <m/>
    <n v="169650"/>
    <n v="0"/>
    <n v="169650"/>
    <n v="0"/>
    <n v="0"/>
  </r>
  <r>
    <d v="2026-01-19T00:00:00"/>
    <x v="213"/>
    <s v="Ximena Hernandez Hernandez"/>
    <s v="bancolombia"/>
    <m/>
    <n v="169650"/>
    <m/>
    <n v="0"/>
    <n v="0"/>
    <n v="0"/>
    <n v="0"/>
  </r>
  <r>
    <d v="2026-02-02T00:00:00"/>
    <x v="213"/>
    <s v="Ximena Hernandez Hernandez"/>
    <s v="Chefibio"/>
    <n v="5850"/>
    <m/>
    <n v="169650"/>
    <n v="0"/>
    <n v="169650"/>
    <n v="0"/>
    <n v="0"/>
  </r>
  <r>
    <d v="2026-02-05T00:00:00"/>
    <x v="213"/>
    <s v="Ximena Hernandez Hernandez"/>
    <s v="bancolombia"/>
    <m/>
    <n v="169650"/>
    <m/>
    <n v="0"/>
    <n v="0"/>
    <n v="0"/>
    <n v="0"/>
  </r>
  <r>
    <d v="2026-02-16T00:00:00"/>
    <x v="213"/>
    <s v="Ximena Hernandez Hernandez"/>
    <s v="Chefibio"/>
    <n v="5850"/>
    <m/>
    <n v="169650"/>
    <n v="0"/>
    <n v="169650"/>
    <n v="0"/>
    <n v="0"/>
  </r>
  <r>
    <d v="2026-02-17T00:00:00"/>
    <x v="213"/>
    <s v="Ximena Hernandez Hernandez"/>
    <s v="bancolombia"/>
    <m/>
    <n v="169650"/>
    <m/>
    <n v="0"/>
    <n v="0"/>
    <n v="0"/>
    <n v="0"/>
  </r>
  <r>
    <d v="2026-01-22T00:00:00"/>
    <x v="214"/>
    <s v="Yarissa Perea Motato"/>
    <s v="Chefibio"/>
    <n v="3900"/>
    <m/>
    <n v="152100"/>
    <n v="0"/>
    <n v="152100"/>
    <n v="0"/>
    <n v="0"/>
  </r>
  <r>
    <d v="2026-02-04T00:00:00"/>
    <x v="214"/>
    <s v="Yarissa Perea Motato"/>
    <s v="bancolombia"/>
    <m/>
    <n v="152100"/>
    <m/>
    <n v="0"/>
    <n v="0"/>
    <n v="0"/>
    <n v="0"/>
  </r>
  <r>
    <d v="2026-02-04T00:00:00"/>
    <x v="214"/>
    <s v="Yarissa Perea Motato"/>
    <s v="bancolombia"/>
    <m/>
    <n v="152100"/>
    <m/>
    <n v="152100"/>
    <n v="0"/>
    <n v="0"/>
    <n v="0"/>
  </r>
  <r>
    <d v="2026-02-05T00:00:00"/>
    <x v="214"/>
    <s v="Yarissa Perea Motato"/>
    <s v="Chefibio"/>
    <n v="3900"/>
    <m/>
    <n v="152100"/>
    <n v="0"/>
    <n v="0"/>
    <n v="0"/>
    <n v="0"/>
  </r>
  <r>
    <d v="2026-01-19T00:00:00"/>
    <x v="215"/>
    <s v="Yeimy Cadena "/>
    <s v="bancolombia"/>
    <m/>
    <n v="67500"/>
    <m/>
    <n v="67500"/>
    <n v="0"/>
    <n v="0"/>
    <n v="0"/>
  </r>
  <r>
    <d v="2026-01-19T00:00:00"/>
    <x v="215"/>
    <s v="Yeimy cadena "/>
    <s v="Chefibio"/>
    <n v="1200"/>
    <m/>
    <n v="67500"/>
    <n v="0"/>
    <n v="0"/>
    <n v="0"/>
    <n v="0"/>
  </r>
  <r>
    <d v="2026-02-02T00:00:00"/>
    <x v="215"/>
    <s v="Yeimy Cadena "/>
    <s v="bancolombia"/>
    <m/>
    <n v="67500"/>
    <m/>
    <n v="67500"/>
    <n v="0"/>
    <n v="0"/>
    <n v="0"/>
  </r>
  <r>
    <d v="2026-02-02T00:00:00"/>
    <x v="215"/>
    <s v="Yeimy Cadena "/>
    <s v="Chefibio"/>
    <n v="1200"/>
    <m/>
    <n v="67500"/>
    <n v="0"/>
    <n v="0"/>
    <n v="0"/>
    <n v="0"/>
  </r>
  <r>
    <d v="2026-02-10T00:00:00"/>
    <x v="216"/>
    <s v="Yeiny Pinzon 150"/>
    <s v="Chefibio"/>
    <n v="3450"/>
    <m/>
    <n v="86250"/>
    <n v="0"/>
    <n v="86250"/>
    <n v="0"/>
    <n v="0"/>
  </r>
  <r>
    <d v="2026-02-10T00:00:00"/>
    <x v="216"/>
    <s v="Yeiny Pinzon 150"/>
    <s v="Chefibio"/>
    <n v="3300"/>
    <m/>
    <n v="82500"/>
    <n v="0"/>
    <n v="168750"/>
    <n v="0"/>
    <n v="0"/>
  </r>
  <r>
    <d v="2026-02-10T00:00:00"/>
    <x v="216"/>
    <s v="Yeiny Pinzon 50"/>
    <s v="Chefibio"/>
    <n v="2250"/>
    <m/>
    <n v="56250"/>
    <n v="0"/>
    <n v="225000"/>
    <n v="0"/>
    <n v="0"/>
  </r>
  <r>
    <d v="2026-02-11T00:00:00"/>
    <x v="216"/>
    <s v="Yeiny Pinzon 150"/>
    <s v="bancolombia"/>
    <m/>
    <n v="431000"/>
    <m/>
    <n v="206000"/>
    <n v="0"/>
    <n v="206000"/>
    <n v="0"/>
  </r>
  <r>
    <d v="2026-01-17T00:00:00"/>
    <x v="217"/>
    <s v="Yilmary Hernandez"/>
    <m/>
    <m/>
    <m/>
    <n v="138000"/>
    <n v="0"/>
    <n v="138000"/>
    <n v="0"/>
    <n v="0"/>
  </r>
  <r>
    <d v="2026-01-21T00:00:00"/>
    <x v="217"/>
    <s v="Yilmary Hernandez"/>
    <s v="bancolombia"/>
    <m/>
    <n v="138000"/>
    <m/>
    <n v="0"/>
    <n v="0"/>
    <n v="0"/>
    <n v="0"/>
  </r>
  <r>
    <d v="2026-01-23T00:00:00"/>
    <x v="217"/>
    <s v="Yilmary Hernandez"/>
    <s v="Chefibio"/>
    <n v="6000"/>
    <m/>
    <n v="150000"/>
    <n v="0"/>
    <n v="150000"/>
    <n v="0"/>
    <n v="0"/>
  </r>
  <r>
    <d v="2026-02-02T00:00:00"/>
    <x v="217"/>
    <s v="Yilmary Hernandez"/>
    <s v="bancolombia"/>
    <m/>
    <n v="284000"/>
    <m/>
    <n v="134000"/>
    <n v="0"/>
    <n v="0"/>
    <n v="0"/>
  </r>
  <r>
    <d v="2026-02-03T00:00:00"/>
    <x v="217"/>
    <s v="Yilmary Hernandez"/>
    <s v="Chefibio"/>
    <n v="6000"/>
    <m/>
    <n v="150000"/>
    <n v="0"/>
    <n v="16000"/>
    <n v="0"/>
    <n v="0"/>
  </r>
  <r>
    <d v="2026-02-18T00:00:00"/>
    <x v="217"/>
    <s v="Yilmary Hernandez"/>
    <s v="Chefibio"/>
    <n v="6000"/>
    <m/>
    <n v="150000"/>
    <n v="0"/>
    <n v="166000"/>
    <n v="0"/>
    <n v="166000"/>
  </r>
  <r>
    <d v="2026-01-17T00:00:00"/>
    <x v="218"/>
    <s v="Yolanda Fernández"/>
    <m/>
    <m/>
    <n v="82950"/>
    <m/>
    <n v="82950"/>
    <n v="0"/>
    <n v="0"/>
    <n v="0"/>
  </r>
  <r>
    <d v="2026-01-19T00:00:00"/>
    <x v="218"/>
    <s v="Yolanda Fernández"/>
    <s v="Chefibio"/>
    <n v="1050"/>
    <m/>
    <n v="38710"/>
    <n v="44240"/>
    <n v="0"/>
    <n v="0"/>
    <n v="0"/>
  </r>
  <r>
    <d v="2026-01-21T00:00:00"/>
    <x v="218"/>
    <s v="Yolanda Fernández"/>
    <s v="Chefibio"/>
    <n v="1200"/>
    <m/>
    <n v="44240"/>
    <n v="0"/>
    <n v="0"/>
    <n v="0"/>
    <n v="0"/>
  </r>
  <r>
    <d v="2026-01-30T00:00:00"/>
    <x v="218"/>
    <s v="Yolanda Fernández"/>
    <s v="bancolombia"/>
    <m/>
    <n v="82950"/>
    <m/>
    <n v="82950"/>
    <n v="0"/>
    <n v="0"/>
    <n v="0"/>
  </r>
  <r>
    <d v="2026-02-02T00:00:00"/>
    <x v="218"/>
    <s v="Yolanda Fernández"/>
    <s v="Chefibio"/>
    <n v="2250"/>
    <m/>
    <n v="82950"/>
    <n v="0"/>
    <n v="0"/>
    <n v="0"/>
    <n v="0"/>
  </r>
  <r>
    <d v="2026-02-13T00:00:00"/>
    <x v="218"/>
    <s v="Yolanda Fernández"/>
    <s v="bancolombia"/>
    <m/>
    <n v="82950"/>
    <m/>
    <n v="82950"/>
    <n v="0"/>
    <n v="0"/>
    <n v="0"/>
  </r>
  <r>
    <d v="2026-02-16T00:00:00"/>
    <x v="218"/>
    <s v="Yolanda Fernández"/>
    <s v="Chefibio"/>
    <n v="2250"/>
    <m/>
    <n v="82950"/>
    <n v="0"/>
    <n v="0"/>
    <n v="0"/>
    <n v="0"/>
  </r>
  <r>
    <d v="2026-01-30T00:00:00"/>
    <x v="219"/>
    <s v="Yolanda Matiz Vasquez"/>
    <s v="Chefibio"/>
    <n v="6900"/>
    <m/>
    <n v="251400"/>
    <n v="0"/>
    <n v="251400"/>
    <n v="0"/>
    <n v="0"/>
  </r>
  <r>
    <d v="2026-01-30T00:00:00"/>
    <x v="219"/>
    <s v="Yolanda Matiz Vasquez"/>
    <s v="Datafono"/>
    <m/>
    <n v="251400"/>
    <m/>
    <n v="0"/>
    <n v="0"/>
    <n v="0"/>
    <n v="0"/>
  </r>
  <r>
    <d v="2026-02-13T00:00:00"/>
    <x v="220"/>
    <s v="Yury Mora"/>
    <s v="Chefibio"/>
    <n v="7500"/>
    <m/>
    <n v="207000"/>
    <n v="0"/>
    <n v="207000"/>
    <n v="0"/>
    <n v="0"/>
  </r>
  <r>
    <d v="2026-02-17T00:00:00"/>
    <x v="220"/>
    <s v="Yury Mora"/>
    <s v="bancolombia"/>
    <m/>
    <n v="204000"/>
    <m/>
    <n v="0"/>
    <n v="3000"/>
    <n v="0"/>
    <n v="3000"/>
  </r>
  <r>
    <d v="2026-01-17T00:00:00"/>
    <x v="221"/>
    <s v="Dog Sano Katerin Liz 200"/>
    <m/>
    <m/>
    <m/>
    <n v="59650"/>
    <n v="0"/>
    <n v="59650"/>
    <n v="0"/>
    <n v="0"/>
  </r>
  <r>
    <d v="2026-02-06T00:00:00"/>
    <x v="221"/>
    <s v="Dog Sano Katerin Liz 200"/>
    <s v="bancolombia"/>
    <m/>
    <n v="245000"/>
    <m/>
    <n v="185350"/>
    <n v="0"/>
    <n v="0"/>
    <n v="0"/>
  </r>
  <r>
    <d v="2026-02-06T00:00:00"/>
    <x v="221"/>
    <s v="Dog Sano Katerin Liz 200"/>
    <s v="Chefibio"/>
    <n v="6900"/>
    <m/>
    <n v="193200"/>
    <n v="0"/>
    <n v="7850"/>
    <n v="0"/>
    <n v="7850"/>
  </r>
  <r>
    <d v="2026-01-17T00:00:00"/>
    <x v="222"/>
    <s v="Gonzalo Tellez Oviedo"/>
    <m/>
    <m/>
    <n v="0"/>
    <m/>
    <n v="0"/>
    <n v="0"/>
    <n v="0"/>
    <n v="0"/>
  </r>
  <r>
    <d v="2026-01-17T00:00:00"/>
    <x v="223"/>
    <s v="Saldo Abandonado"/>
    <m/>
    <m/>
    <n v="0"/>
    <m/>
    <n v="0"/>
    <n v="0"/>
    <n v="0"/>
    <n v="0"/>
  </r>
  <r>
    <d v="2026-01-19T00:00:00"/>
    <x v="224"/>
    <s v="Andrea Fuquene"/>
    <s v="bancolombia"/>
    <m/>
    <n v="87000"/>
    <m/>
    <n v="87000"/>
    <n v="0"/>
    <n v="0"/>
    <n v="0"/>
  </r>
  <r>
    <d v="2026-01-20T00:00:00"/>
    <x v="224"/>
    <s v="Andrea Fuquene"/>
    <s v="Chefibio"/>
    <n v="2250"/>
    <m/>
    <n v="87000"/>
    <n v="0"/>
    <n v="0"/>
    <n v="0"/>
    <n v="0"/>
  </r>
  <r>
    <d v="2026-02-05T00:00:00"/>
    <x v="224"/>
    <s v="Andrea Fuquene"/>
    <s v="bancolombia"/>
    <m/>
    <n v="101400"/>
    <m/>
    <n v="101400"/>
    <n v="0"/>
    <n v="0"/>
    <n v="0"/>
  </r>
  <r>
    <d v="2026-02-06T00:00:00"/>
    <x v="224"/>
    <s v="Andrea Fuquene"/>
    <s v="Chefibio"/>
    <n v="2430"/>
    <m/>
    <n v="102668"/>
    <n v="0"/>
    <n v="1268"/>
    <n v="0"/>
    <n v="1268"/>
  </r>
  <r>
    <d v="2026-01-20T00:00:00"/>
    <x v="225"/>
    <s v="Ivonne Ávila"/>
    <s v="Chefibio"/>
    <n v="1400"/>
    <m/>
    <n v="10000"/>
    <n v="0"/>
    <n v="10000"/>
    <n v="0"/>
    <n v="10000"/>
  </r>
  <r>
    <d v="2026-01-22T00:00:00"/>
    <x v="226"/>
    <s v="Diana Homez"/>
    <s v="Caja menor"/>
    <m/>
    <n v="10000"/>
    <m/>
    <n v="10000"/>
    <n v="0"/>
    <n v="0"/>
    <n v="0"/>
  </r>
  <r>
    <d v="2026-01-22T00:00:00"/>
    <x v="226"/>
    <s v="Diana Homez"/>
    <s v="Chefibio"/>
    <n v="420"/>
    <m/>
    <n v="10000"/>
    <n v="0"/>
    <n v="0"/>
    <n v="0"/>
    <n v="0"/>
  </r>
  <r>
    <d v="2026-01-27T00:00:00"/>
    <x v="226"/>
    <s v="Diana Homez"/>
    <s v="Nuggets"/>
    <n v="200"/>
    <m/>
    <n v="0"/>
    <n v="0"/>
    <n v="0"/>
    <n v="0"/>
    <n v="0"/>
  </r>
  <r>
    <d v="2026-01-27T00:00:00"/>
    <x v="226"/>
    <s v="Diana Homez"/>
    <s v="bancolombia"/>
    <m/>
    <n v="76800"/>
    <m/>
    <n v="76800"/>
    <n v="0"/>
    <n v="0"/>
    <n v="0"/>
  </r>
  <r>
    <d v="2026-01-27T00:00:00"/>
    <x v="226"/>
    <s v="Diana Homez"/>
    <s v="Chefibio"/>
    <n v="1800"/>
    <m/>
    <n v="76800"/>
    <n v="0"/>
    <n v="0"/>
    <n v="0"/>
    <n v="0"/>
  </r>
  <r>
    <d v="2026-01-22T00:00:00"/>
    <x v="227"/>
    <s v="Liseth Daniela Jimenez "/>
    <s v="Chefibio"/>
    <n v="546"/>
    <m/>
    <n v="20000"/>
    <n v="0"/>
    <n v="20000"/>
    <n v="0"/>
    <n v="20000"/>
  </r>
  <r>
    <d v="2026-01-23T00:00:00"/>
    <x v="228"/>
    <s v="Dennis Escobar"/>
    <s v="Caja menor"/>
    <m/>
    <n v="10000"/>
    <m/>
    <n v="10000"/>
    <n v="0"/>
    <n v="0"/>
    <n v="0"/>
  </r>
  <r>
    <d v="2026-01-23T00:00:00"/>
    <x v="228"/>
    <s v="Dennis Escobar"/>
    <s v="Chefibio"/>
    <n v="700"/>
    <m/>
    <n v="10000"/>
    <n v="0"/>
    <n v="0"/>
    <n v="0"/>
    <n v="0"/>
  </r>
  <r>
    <d v="2026-01-29T00:00:00"/>
    <x v="228"/>
    <s v="Dennis Escobar"/>
    <s v="bancolombia"/>
    <m/>
    <n v="87000"/>
    <m/>
    <n v="87000"/>
    <n v="0"/>
    <n v="0"/>
    <n v="0"/>
  </r>
  <r>
    <d v="2026-01-29T00:00:00"/>
    <x v="228"/>
    <s v="Dennis Escobar"/>
    <s v="Nuggets"/>
    <n v="200"/>
    <m/>
    <n v="7733"/>
    <n v="79267"/>
    <n v="0"/>
    <n v="0"/>
    <n v="0"/>
  </r>
  <r>
    <d v="2026-01-29T00:00:00"/>
    <x v="228"/>
    <s v="Dennis Escobar"/>
    <s v="Chefibio"/>
    <n v="2250"/>
    <m/>
    <n v="87000"/>
    <n v="0"/>
    <n v="7733"/>
    <n v="0"/>
    <n v="0"/>
  </r>
  <r>
    <d v="2026-02-12T00:00:00"/>
    <x v="228"/>
    <s v="Dennis Escobar"/>
    <s v="bancolombia"/>
    <m/>
    <n v="100000"/>
    <m/>
    <n v="92267"/>
    <n v="0"/>
    <n v="0"/>
    <n v="0"/>
  </r>
  <r>
    <d v="2026-02-13T00:00:00"/>
    <x v="228"/>
    <s v="Dennis Escobar"/>
    <s v="Chefibio"/>
    <n v="2700"/>
    <m/>
    <n v="100000"/>
    <n v="0"/>
    <n v="7733"/>
    <n v="0"/>
    <n v="7733"/>
  </r>
  <r>
    <d v="2026-01-26T00:00:00"/>
    <x v="229"/>
    <s v="Kristell Escobar"/>
    <s v="Caja menor"/>
    <m/>
    <n v="10000"/>
    <m/>
    <n v="10000"/>
    <n v="0"/>
    <n v="0"/>
    <n v="0"/>
  </r>
  <r>
    <d v="2026-01-26T00:00:00"/>
    <x v="229"/>
    <s v="Kristell Escobar"/>
    <s v="Chefibio"/>
    <n v="672"/>
    <m/>
    <n v="10000"/>
    <n v="0"/>
    <n v="0"/>
    <n v="0"/>
    <n v="0"/>
  </r>
  <r>
    <d v="2026-01-30T00:00:00"/>
    <x v="229"/>
    <s v="Kristell Escobar"/>
    <s v="bancolombia"/>
    <m/>
    <n v="81600"/>
    <m/>
    <n v="81600"/>
    <n v="0"/>
    <n v="0"/>
    <n v="0"/>
  </r>
  <r>
    <d v="2026-01-30T00:00:00"/>
    <x v="229"/>
    <s v="Kristell Escobar"/>
    <s v="Chefibio"/>
    <n v="2250"/>
    <m/>
    <n v="81600"/>
    <n v="0"/>
    <n v="0"/>
    <n v="0"/>
    <n v="0"/>
  </r>
  <r>
    <d v="2026-01-30T00:00:00"/>
    <x v="229"/>
    <s v="Kristell Escobar"/>
    <s v="Nuggets"/>
    <n v="200"/>
    <m/>
    <n v="0"/>
    <n v="0"/>
    <n v="0"/>
    <n v="0"/>
    <n v="0"/>
  </r>
  <r>
    <d v="2026-02-16T00:00:00"/>
    <x v="229"/>
    <s v="Kristell Escobar"/>
    <s v="bancolombia"/>
    <m/>
    <n v="97200"/>
    <m/>
    <n v="97200"/>
    <n v="0"/>
    <n v="0"/>
    <n v="0"/>
  </r>
  <r>
    <d v="2026-02-16T00:00:00"/>
    <x v="229"/>
    <s v="Kristell Escobar"/>
    <s v="Chefibio"/>
    <n v="2700"/>
    <m/>
    <n v="97920"/>
    <n v="0"/>
    <n v="720"/>
    <n v="0"/>
    <n v="720"/>
  </r>
  <r>
    <d v="2026-01-26T00:00:00"/>
    <x v="230"/>
    <s v="Milena Álvarez"/>
    <s v="bancolombia"/>
    <m/>
    <n v="187200"/>
    <m/>
    <n v="187200"/>
    <n v="0"/>
    <n v="0"/>
    <n v="0"/>
  </r>
  <r>
    <d v="2026-01-26T00:00:00"/>
    <x v="230"/>
    <s v="Milena Álvarez"/>
    <s v="Chefibio"/>
    <n v="7800"/>
    <m/>
    <n v="187200"/>
    <n v="0"/>
    <n v="0"/>
    <n v="0"/>
    <n v="0"/>
  </r>
  <r>
    <d v="2026-02-17T00:00:00"/>
    <x v="230"/>
    <s v="Milena Álvarez"/>
    <s v="Chefibio"/>
    <n v="7800"/>
    <m/>
    <n v="187200"/>
    <n v="0"/>
    <n v="187200"/>
    <n v="0"/>
    <n v="187200"/>
  </r>
  <r>
    <d v="2026-01-26T00:00:00"/>
    <x v="231"/>
    <s v="Adriana Castro 56"/>
    <s v="Chefibio"/>
    <n v="784"/>
    <m/>
    <n v="10000"/>
    <n v="0"/>
    <n v="10000"/>
    <n v="0"/>
    <n v="0"/>
  </r>
  <r>
    <d v="2026-01-26T00:00:00"/>
    <x v="231"/>
    <s v="Adriana Castro 63"/>
    <s v="Chefibio"/>
    <n v="882"/>
    <m/>
    <n v="10000"/>
    <n v="0"/>
    <n v="20000"/>
    <n v="0"/>
    <n v="20000"/>
  </r>
  <r>
    <d v="2026-01-27T00:00:00"/>
    <x v="232"/>
    <s v="William Alberto Martín"/>
    <s v="Chefibio"/>
    <n v="798"/>
    <m/>
    <n v="0"/>
    <n v="0"/>
    <n v="0"/>
    <n v="0"/>
    <n v="0"/>
  </r>
  <r>
    <d v="2026-01-28T00:00:00"/>
    <x v="232"/>
    <s v="William Alberto Martín"/>
    <s v="Chefibio"/>
    <n v="798"/>
    <m/>
    <n v="0"/>
    <n v="0"/>
    <n v="0"/>
    <n v="0"/>
    <n v="0"/>
  </r>
  <r>
    <d v="2026-01-28T00:00:00"/>
    <x v="233"/>
    <s v="Mayra Alejandra Rojas Montenegro 80"/>
    <s v="bancolombia"/>
    <m/>
    <n v="30000"/>
    <m/>
    <n v="30000"/>
    <n v="0"/>
    <n v="0"/>
    <n v="0"/>
  </r>
  <r>
    <d v="2026-01-30T00:00:00"/>
    <x v="233"/>
    <s v="Mayra Alejandra Rojas Montenegro 80"/>
    <s v="bancolombia"/>
    <m/>
    <n v="284800"/>
    <m/>
    <n v="314800"/>
    <n v="0"/>
    <n v="0"/>
    <n v="0"/>
  </r>
  <r>
    <d v="2026-02-13T00:00:00"/>
    <x v="233"/>
    <s v="Mayra Alejandra Rojas Montenegro 80"/>
    <s v="bancolombia"/>
    <m/>
    <n v="192000"/>
    <m/>
    <n v="506800"/>
    <n v="0"/>
    <n v="0"/>
    <n v="0"/>
  </r>
  <r>
    <d v="2026-02-16T00:00:00"/>
    <x v="233"/>
    <s v="Mayra Alejandra Rojas Montenegro 75"/>
    <s v="Chefibio"/>
    <n v="2250"/>
    <m/>
    <n v="90600"/>
    <n v="416200"/>
    <n v="0"/>
    <n v="0"/>
    <n v="0"/>
  </r>
  <r>
    <d v="2026-02-16T00:00:00"/>
    <x v="233"/>
    <s v="Mayra Alejandra Rojas Montenegro 80"/>
    <s v="Chefibio"/>
    <n v="2400"/>
    <m/>
    <n v="101400"/>
    <n v="314800"/>
    <n v="0"/>
    <n v="314800"/>
    <n v="0"/>
  </r>
  <r>
    <d v="2026-01-29T00:00:00"/>
    <x v="234"/>
    <s v="Nubia Méndez"/>
    <s v="Chefibio"/>
    <n v="2250"/>
    <m/>
    <n v="15000"/>
    <n v="0"/>
    <n v="15000"/>
    <n v="0"/>
    <n v="0"/>
  </r>
  <r>
    <d v="2026-01-30T00:00:00"/>
    <x v="234"/>
    <s v="Nubia Méndez"/>
    <s v="bancolombia"/>
    <m/>
    <n v="15000"/>
    <m/>
    <n v="0"/>
    <n v="0"/>
    <n v="0"/>
    <n v="0"/>
  </r>
  <r>
    <d v="2026-02-09T00:00:00"/>
    <x v="234"/>
    <s v="Nubia Méndez"/>
    <s v="Chefibio"/>
    <n v="2250"/>
    <m/>
    <n v="90600"/>
    <n v="0"/>
    <n v="90600"/>
    <n v="0"/>
    <n v="0"/>
  </r>
  <r>
    <d v="2026-02-10T00:00:00"/>
    <x v="234"/>
    <s v="Nubia Méndez"/>
    <s v="bancolombia"/>
    <m/>
    <n v="90600"/>
    <m/>
    <n v="0"/>
    <n v="0"/>
    <n v="0"/>
    <n v="0"/>
  </r>
  <r>
    <d v="2026-02-13T00:00:00"/>
    <x v="235"/>
    <s v="Ana Montenegro"/>
    <s v="bancolombia"/>
    <m/>
    <n v="90600"/>
    <m/>
    <n v="90600"/>
    <n v="0"/>
    <n v="0"/>
    <n v="0"/>
  </r>
  <r>
    <d v="2026-02-16T00:00:00"/>
    <x v="235"/>
    <s v="Ana Montenegro"/>
    <s v="Chefibio"/>
    <n v="2250"/>
    <m/>
    <n v="90600"/>
    <n v="0"/>
    <n v="0"/>
    <n v="0"/>
    <n v="0"/>
  </r>
  <r>
    <d v="2026-02-03T00:00:00"/>
    <x v="236"/>
    <s v="Amparo Romero"/>
    <s v="bancolombia"/>
    <m/>
    <n v="100000"/>
    <m/>
    <n v="100000"/>
    <n v="0"/>
    <n v="0"/>
    <n v="0"/>
  </r>
  <r>
    <d v="2026-02-04T00:00:00"/>
    <x v="236"/>
    <s v="Amparo Romero"/>
    <s v="Chefibio"/>
    <n v="3915"/>
    <m/>
    <n v="100385"/>
    <n v="0"/>
    <n v="385"/>
    <n v="0"/>
    <n v="0"/>
  </r>
  <r>
    <d v="2026-02-04T00:00:00"/>
    <x v="236"/>
    <s v="Amparo Romero"/>
    <s v="Nuggets"/>
    <n v="200"/>
    <m/>
    <n v="0"/>
    <n v="0"/>
    <n v="385"/>
    <n v="0"/>
    <n v="0"/>
  </r>
  <r>
    <d v="2026-02-17T00:00:00"/>
    <x v="236"/>
    <s v="Amparo Romero"/>
    <s v="bancolombia"/>
    <m/>
    <n v="100000"/>
    <m/>
    <n v="99615"/>
    <n v="0"/>
    <n v="0"/>
    <n v="0"/>
  </r>
  <r>
    <d v="2026-02-18T00:00:00"/>
    <x v="236"/>
    <s v="Amparo Romero"/>
    <s v="Chefibio"/>
    <n v="3915"/>
    <m/>
    <n v="100385"/>
    <n v="0"/>
    <n v="770"/>
    <n v="0"/>
    <n v="770"/>
  </r>
  <r>
    <d v="2026-02-04T00:00:00"/>
    <x v="237"/>
    <s v="Sandra Milena González Gómez"/>
    <s v="bancolombia"/>
    <m/>
    <n v="265600"/>
    <m/>
    <n v="265600"/>
    <n v="0"/>
    <n v="0"/>
    <n v="0"/>
  </r>
  <r>
    <d v="2026-02-05T00:00:00"/>
    <x v="237"/>
    <s v="Sandra Milena González Gómez"/>
    <s v="Chefibio"/>
    <n v="8850"/>
    <m/>
    <n v="265500"/>
    <n v="100"/>
    <n v="0"/>
    <n v="100"/>
    <n v="0"/>
  </r>
  <r>
    <d v="2026-02-06T00:00:00"/>
    <x v="238"/>
    <s v="Adriana Biagi"/>
    <s v="bancolombia"/>
    <m/>
    <n v="54750"/>
    <m/>
    <n v="54750"/>
    <n v="0"/>
    <n v="54750"/>
    <n v="0"/>
  </r>
  <r>
    <d v="2026-02-09T00:00:00"/>
    <x v="239"/>
    <s v="Olga Lucia Delgado"/>
    <s v="bancolombia"/>
    <m/>
    <n v="116800"/>
    <m/>
    <n v="116800"/>
    <n v="0"/>
    <n v="0"/>
    <n v="0"/>
  </r>
  <r>
    <d v="2026-02-09T00:00:00"/>
    <x v="239"/>
    <s v="Olga Lucia Delgado"/>
    <s v="Nuggets"/>
    <n v="400"/>
    <m/>
    <n v="19000"/>
    <n v="97800"/>
    <n v="0"/>
    <n v="0"/>
    <n v="0"/>
  </r>
  <r>
    <d v="2026-02-09T00:00:00"/>
    <x v="239"/>
    <s v="Olga Lucia Delgado"/>
    <s v="Chefibio"/>
    <n v="1467"/>
    <m/>
    <n v="97800"/>
    <n v="0"/>
    <n v="0"/>
    <n v="0"/>
    <n v="0"/>
  </r>
  <r>
    <d v="2026-02-09T00:00:00"/>
    <x v="240"/>
    <s v="Cristian Gaviria"/>
    <s v="Chefibio"/>
    <n v="9600"/>
    <m/>
    <n v="144000"/>
    <n v="0"/>
    <n v="144000"/>
    <n v="0"/>
    <n v="144000"/>
  </r>
  <r>
    <d v="2026-02-12T00:00:00"/>
    <x v="241"/>
    <s v="Liliana Cardozo"/>
    <s v="bancolombia"/>
    <m/>
    <n v="97800"/>
    <m/>
    <n v="97800"/>
    <n v="0"/>
    <n v="0"/>
    <n v="0"/>
  </r>
  <r>
    <d v="2026-02-12T00:00:00"/>
    <x v="241"/>
    <s v="Liliana Cardozo"/>
    <s v="Nuggets"/>
    <n v="200"/>
    <m/>
    <n v="0"/>
    <n v="97800"/>
    <n v="0"/>
    <n v="0"/>
    <n v="0"/>
  </r>
  <r>
    <d v="2026-02-12T00:00:00"/>
    <x v="241"/>
    <s v="Liliana Cardozo"/>
    <s v="Chefibio"/>
    <n v="1610"/>
    <m/>
    <n v="0"/>
    <n v="97800"/>
    <n v="0"/>
    <n v="0"/>
    <n v="0"/>
  </r>
  <r>
    <d v="2026-02-12T00:00:00"/>
    <x v="241"/>
    <s v="Liliana Cardozo"/>
    <s v="Chefibio"/>
    <n v="2300"/>
    <m/>
    <n v="97800"/>
    <n v="0"/>
    <n v="0"/>
    <n v="0"/>
    <n v="0"/>
  </r>
  <r>
    <d v="2026-02-13T00:00:00"/>
    <x v="242"/>
    <s v="Diana Constanza Ruiz 160"/>
    <s v="Chefibio"/>
    <n v="4480"/>
    <m/>
    <n v="143300"/>
    <n v="0"/>
    <n v="143300"/>
    <n v="0"/>
    <n v="143300"/>
  </r>
  <r>
    <d v="2026-01-22T00:00:00"/>
    <x v="227"/>
    <s v="Liseth Daniela Jimenez "/>
    <s v="Caja menor"/>
    <m/>
    <n v="20000"/>
    <m/>
    <n v="20000"/>
    <n v="0"/>
    <n v="20000"/>
    <n v="0"/>
  </r>
  <r>
    <d v="2026-01-26T00:00:00"/>
    <x v="231"/>
    <s v="Adriana Castro 63"/>
    <s v="Caja menor"/>
    <m/>
    <n v="20000"/>
    <m/>
    <n v="20000"/>
    <n v="0"/>
    <n v="20000"/>
    <n v="0"/>
  </r>
  <r>
    <d v="2026-01-28T00:00:00"/>
    <x v="243"/>
    <s v="Maria Isabel Montoya"/>
    <s v="Caja menor"/>
    <m/>
    <n v="14200"/>
    <m/>
    <n v="14200"/>
    <n v="0"/>
    <n v="0"/>
    <n v="0"/>
  </r>
  <r>
    <d v="2026-01-28T00:00:00"/>
    <x v="243"/>
    <s v="Maria Isabel Montoya"/>
    <s v="Chefibio"/>
    <n v="2100"/>
    <m/>
    <n v="15000"/>
    <n v="0"/>
    <n v="800"/>
    <n v="0"/>
    <n v="800"/>
  </r>
  <r>
    <d v="2026-01-29T00:00:00"/>
    <x v="233"/>
    <s v="Mayra Alejandra Rojas Montenegro 112"/>
    <s v="Chefibio"/>
    <n v="1050"/>
    <m/>
    <n v="15000"/>
    <n v="0"/>
    <n v="15000"/>
    <n v="0"/>
    <n v="0"/>
  </r>
  <r>
    <d v="2026-01-29T00:00:00"/>
    <x v="233"/>
    <s v="Mayra Alejandra Rojas Montenegro 160 "/>
    <s v="Chefibio"/>
    <n v="1120"/>
    <m/>
    <n v="15000"/>
    <n v="0"/>
    <n v="30000"/>
    <n v="0"/>
    <n v="0"/>
  </r>
  <r>
    <d v="2026-02-02T00:00:00"/>
    <x v="233"/>
    <s v="Mayra Alejandra Rojas Montenegro 112"/>
    <s v="Chefibio"/>
    <n v="2400"/>
    <m/>
    <n v="96640"/>
    <n v="0"/>
    <n v="126640"/>
    <n v="0"/>
    <n v="0"/>
  </r>
  <r>
    <d v="2026-02-02T00:00:00"/>
    <x v="233"/>
    <s v="Mayra Alejandra Rojas Montenegro 160 "/>
    <s v="Chefibio"/>
    <n v="2250"/>
    <m/>
    <n v="95062"/>
    <n v="0"/>
    <n v="221702"/>
    <n v="0"/>
    <n v="0"/>
  </r>
  <r>
    <d v="2026-02-02T00:00:00"/>
    <x v="233"/>
    <s v="Mayra Alejandra Rojas Montenegro 160 "/>
    <s v="Nuggets"/>
    <n v="400"/>
    <m/>
    <n v="0"/>
    <n v="0"/>
    <n v="221702"/>
    <n v="0"/>
    <n v="221702"/>
  </r>
  <r>
    <d v="2026-02-02T00:00:00"/>
    <x v="244"/>
    <s v="Sebastian Zuñiga"/>
    <s v="bancolombia"/>
    <m/>
    <n v="10000"/>
    <m/>
    <n v="10000"/>
    <n v="0"/>
    <n v="0"/>
    <n v="0"/>
  </r>
  <r>
    <d v="2026-02-02T00:00:00"/>
    <x v="244"/>
    <s v="Sebastian Zuñiga"/>
    <s v="Chefibio"/>
    <n v="980"/>
    <m/>
    <n v="10000"/>
    <n v="0"/>
    <n v="0"/>
    <n v="0"/>
    <n v="0"/>
  </r>
  <r>
    <d v="2026-01-30T00:00:00"/>
    <x v="245"/>
    <s v="Vanessa Alejandra Daza"/>
    <s v="Chefibio"/>
    <n v="784"/>
    <m/>
    <n v="15000"/>
    <n v="0"/>
    <n v="15000"/>
    <n v="0"/>
    <n v="0"/>
  </r>
  <r>
    <d v="2026-01-30T00:00:00"/>
    <x v="245"/>
    <s v="Vanessa Alejandra Daza"/>
    <s v="Caja menor"/>
    <m/>
    <n v="15000"/>
    <m/>
    <n v="0"/>
    <n v="0"/>
    <n v="0"/>
    <n v="0"/>
  </r>
  <r>
    <d v="2026-01-31T00:00:00"/>
    <x v="246"/>
    <s v="Giovanni Bautista"/>
    <s v="bancolombia"/>
    <m/>
    <n v="15000"/>
    <m/>
    <n v="15000"/>
    <n v="0"/>
    <n v="0"/>
    <n v="0"/>
  </r>
  <r>
    <d v="2026-02-02T00:00:00"/>
    <x v="246"/>
    <s v="Giovanni Bautista"/>
    <s v="Chefibio"/>
    <n v="3430"/>
    <m/>
    <n v="15000"/>
    <n v="0"/>
    <n v="0"/>
    <n v="0"/>
    <n v="0"/>
  </r>
  <r>
    <d v="2026-02-02T00:00:00"/>
    <x v="235"/>
    <s v="Ana Montenegro"/>
    <s v="Chefibio"/>
    <n v="1980"/>
    <m/>
    <n v="92800"/>
    <n v="0"/>
    <n v="92800"/>
    <n v="0"/>
    <n v="0"/>
  </r>
  <r>
    <d v="2026-02-02T00:00:00"/>
    <x v="235"/>
    <s v="Ana Montenegro"/>
    <s v="Nuggets"/>
    <n v="200"/>
    <m/>
    <n v="0"/>
    <n v="0"/>
    <n v="92800"/>
    <n v="0"/>
    <n v="92800"/>
  </r>
  <r>
    <d v="2026-02-02T00:00:00"/>
    <x v="247"/>
    <s v="Luz Stella Loaiza"/>
    <s v="Chefibio"/>
    <n v="350"/>
    <m/>
    <n v="0"/>
    <n v="0"/>
    <n v="0"/>
    <n v="0"/>
    <n v="0"/>
  </r>
  <r>
    <d v="2026-02-03T00:00:00"/>
    <x v="248"/>
    <s v="Paola López"/>
    <s v="bancolombia"/>
    <m/>
    <n v="15000"/>
    <m/>
    <n v="15000"/>
    <n v="0"/>
    <n v="0"/>
    <n v="0"/>
  </r>
  <r>
    <d v="2026-02-04T00:00:00"/>
    <x v="248"/>
    <s v="Paola López"/>
    <s v="Chefibio"/>
    <n v="980"/>
    <m/>
    <n v="15000"/>
    <n v="0"/>
    <n v="0"/>
    <n v="0"/>
    <n v="0"/>
  </r>
  <r>
    <d v="2026-02-04T00:00:00"/>
    <x v="249"/>
    <s v="Karen Santos"/>
    <s v="bancolombia"/>
    <m/>
    <n v="15000"/>
    <m/>
    <n v="15000"/>
    <n v="0"/>
    <n v="0"/>
    <n v="0"/>
  </r>
  <r>
    <d v="2026-02-04T00:00:00"/>
    <x v="249"/>
    <s v="Karen Santos"/>
    <s v="Chefibio"/>
    <n v="1680"/>
    <m/>
    <n v="15000"/>
    <n v="0"/>
    <n v="0"/>
    <n v="0"/>
    <n v="0"/>
  </r>
  <r>
    <d v="2026-02-06T00:00:00"/>
    <x v="250"/>
    <s v="Adriana Biagi"/>
    <s v="Chefibio"/>
    <n v="795"/>
    <m/>
    <n v="54750"/>
    <n v="0"/>
    <n v="54750"/>
    <n v="0"/>
    <n v="54750"/>
  </r>
  <r>
    <d v="2026-02-06T00:00:00"/>
    <x v="251"/>
    <s v="Omar David Noguera"/>
    <s v="bancolombia"/>
    <m/>
    <n v="15000"/>
    <m/>
    <n v="15000"/>
    <n v="0"/>
    <n v="0"/>
    <n v="0"/>
  </r>
  <r>
    <d v="2026-02-06T00:00:00"/>
    <x v="251"/>
    <s v="Omar David Noguera"/>
    <s v="Chefibio"/>
    <n v="1960"/>
    <m/>
    <n v="15000"/>
    <n v="0"/>
    <n v="0"/>
    <n v="0"/>
    <n v="0"/>
  </r>
  <r>
    <d v="2026-02-09T00:00:00"/>
    <x v="252"/>
    <s v="Elizabeth Rodríguez"/>
    <s v="Chefibio"/>
    <n v="448"/>
    <m/>
    <n v="15000"/>
    <n v="0"/>
    <n v="15000"/>
    <n v="0"/>
    <n v="0"/>
  </r>
  <r>
    <d v="2026-02-09T00:00:00"/>
    <x v="252"/>
    <s v="Elizabeth Rodríguez"/>
    <s v="bancolombia"/>
    <m/>
    <n v="15000"/>
    <m/>
    <n v="0"/>
    <n v="0"/>
    <n v="0"/>
    <n v="0"/>
  </r>
  <r>
    <d v="2026-02-09T00:00:00"/>
    <x v="253"/>
    <s v="Gabriel Enrique Acosta Cortes"/>
    <s v="bancolombia"/>
    <m/>
    <n v="20000"/>
    <m/>
    <n v="20000"/>
    <n v="0"/>
    <n v="0"/>
    <n v="0"/>
  </r>
  <r>
    <d v="2026-02-09T00:00:00"/>
    <x v="253"/>
    <s v="Gabriel Enrique Acosta Cortes"/>
    <s v="Chefibio"/>
    <n v="882"/>
    <m/>
    <n v="20000"/>
    <n v="0"/>
    <n v="0"/>
    <n v="0"/>
    <n v="0"/>
  </r>
  <r>
    <d v="2026-02-09T00:00:00"/>
    <x v="254"/>
    <s v="Edgar Pedraza Rojas"/>
    <s v="Chefibio"/>
    <n v="1260"/>
    <m/>
    <n v="15000"/>
    <n v="0"/>
    <n v="15000"/>
    <n v="0"/>
    <n v="0"/>
  </r>
  <r>
    <d v="2026-02-09T00:00:00"/>
    <x v="254"/>
    <s v="Edgar Pedraza Rojas"/>
    <s v="bancolombia"/>
    <m/>
    <n v="15000"/>
    <m/>
    <n v="0"/>
    <n v="0"/>
    <n v="0"/>
    <n v="0"/>
  </r>
  <r>
    <d v="2026-02-11T00:00:00"/>
    <x v="255"/>
    <s v="Mario Andrés Gallego"/>
    <s v="bancolombia"/>
    <m/>
    <n v="15000"/>
    <m/>
    <n v="15000"/>
    <n v="0"/>
    <n v="0"/>
    <n v="0"/>
  </r>
  <r>
    <d v="2026-02-11T00:00:00"/>
    <x v="255"/>
    <s v="Mario Andrés Gallego"/>
    <s v="Chefibio"/>
    <n v="1680"/>
    <m/>
    <n v="15000"/>
    <n v="0"/>
    <n v="0"/>
    <n v="0"/>
    <n v="0"/>
  </r>
  <r>
    <d v="2026-02-10T00:00:00"/>
    <x v="256"/>
    <s v="Maritza Liliana Tavera"/>
    <s v="Chefibio"/>
    <n v="1302"/>
    <m/>
    <n v="15000"/>
    <n v="0"/>
    <n v="15000"/>
    <n v="0"/>
    <n v="0"/>
  </r>
  <r>
    <d v="2026-02-10T00:00:00"/>
    <x v="256"/>
    <s v="Maritza Liliana Tavera"/>
    <s v="Caja menor"/>
    <m/>
    <n v="15000"/>
    <m/>
    <n v="0"/>
    <n v="0"/>
    <n v="0"/>
    <n v="0"/>
  </r>
  <r>
    <d v="2026-02-10T00:00:00"/>
    <x v="257"/>
    <s v="Sandra Ruiz"/>
    <s v="Chefibio"/>
    <n v="651"/>
    <m/>
    <n v="15000"/>
    <n v="0"/>
    <n v="15000"/>
    <n v="0"/>
    <n v="0"/>
  </r>
  <r>
    <d v="2026-02-10T00:00:00"/>
    <x v="257"/>
    <s v="Sandra Ruiz"/>
    <s v="Caja menor"/>
    <m/>
    <n v="15000"/>
    <m/>
    <n v="0"/>
    <n v="0"/>
    <n v="0"/>
    <n v="0"/>
  </r>
  <r>
    <d v="2026-02-10T00:00:00"/>
    <x v="258"/>
    <s v="Jhon Edinson Parra Sanchez"/>
    <s v="Caja menor"/>
    <m/>
    <n v="20000"/>
    <m/>
    <n v="20000"/>
    <n v="0"/>
    <n v="0"/>
    <n v="0"/>
  </r>
  <r>
    <d v="2026-02-10T00:00:00"/>
    <x v="258"/>
    <s v="Jhon Edinson Parra Sanchez"/>
    <s v="Chefibio"/>
    <n v="2450"/>
    <m/>
    <n v="20000"/>
    <n v="0"/>
    <n v="0"/>
    <n v="0"/>
    <n v="0"/>
  </r>
  <r>
    <d v="2026-02-11T00:00:00"/>
    <x v="259"/>
    <s v="Carlos Bolaños"/>
    <s v="Chefibio"/>
    <n v="1575"/>
    <m/>
    <n v="15000"/>
    <n v="0"/>
    <n v="15000"/>
    <n v="0"/>
    <n v="0"/>
  </r>
  <r>
    <d v="2026-02-11T00:00:00"/>
    <x v="259"/>
    <s v="Carlos Bolaños"/>
    <s v="bancolombia"/>
    <m/>
    <n v="15000"/>
    <m/>
    <n v="0"/>
    <n v="0"/>
    <n v="0"/>
    <n v="0"/>
  </r>
  <r>
    <d v="2026-02-12T00:00:00"/>
    <x v="260"/>
    <s v="Maria Garzon"/>
    <s v="Caja menor"/>
    <m/>
    <n v="15000"/>
    <m/>
    <n v="15000"/>
    <n v="0"/>
    <n v="0"/>
    <n v="0"/>
  </r>
  <r>
    <d v="2026-02-12T00:00:00"/>
    <x v="260"/>
    <s v="Maria Garzon"/>
    <s v="Chefibio"/>
    <n v="420"/>
    <m/>
    <n v="15000"/>
    <n v="0"/>
    <n v="0"/>
    <n v="0"/>
    <n v="0"/>
  </r>
  <r>
    <d v="2026-02-11T00:00:00"/>
    <x v="261"/>
    <s v="Doggy Lunch Juan Carlos 235"/>
    <s v="Chefibio"/>
    <n v="3290"/>
    <m/>
    <n v="15000"/>
    <n v="0"/>
    <n v="15000"/>
    <n v="0"/>
    <n v="0"/>
  </r>
  <r>
    <d v="2026-02-11T00:00:00"/>
    <x v="261"/>
    <s v="Doggy Lunch Juan Carlos 270"/>
    <s v="Caja menor"/>
    <m/>
    <n v="30000"/>
    <m/>
    <n v="15000"/>
    <n v="0"/>
    <n v="0"/>
    <n v="0"/>
  </r>
  <r>
    <d v="2026-02-11T00:00:00"/>
    <x v="261"/>
    <s v="Doggy Lunch Juan Carlos 270"/>
    <s v="Chefibio"/>
    <n v="3780"/>
    <m/>
    <n v="15000"/>
    <n v="0"/>
    <n v="0"/>
    <n v="0"/>
    <n v="0"/>
  </r>
  <r>
    <d v="2026-02-12T00:00:00"/>
    <x v="262"/>
    <s v="Jhon James Martínez Rojas "/>
    <s v="Caja menor"/>
    <m/>
    <n v="15000"/>
    <m/>
    <n v="15000"/>
    <n v="0"/>
    <n v="0"/>
    <n v="0"/>
  </r>
  <r>
    <d v="2026-02-12T00:00:00"/>
    <x v="262"/>
    <s v="Jhon James Martínez Rojas "/>
    <s v="Chefibio"/>
    <n v="2450"/>
    <m/>
    <n v="15000"/>
    <n v="0"/>
    <n v="0"/>
    <n v="0"/>
    <n v="0"/>
  </r>
  <r>
    <d v="2026-02-13T00:00:00"/>
    <x v="263"/>
    <s v="Patricia Losada"/>
    <s v="bancolombia"/>
    <m/>
    <n v="20000"/>
    <m/>
    <n v="20000"/>
    <n v="0"/>
    <n v="0"/>
    <n v="0"/>
  </r>
  <r>
    <d v="2026-02-13T00:00:00"/>
    <x v="263"/>
    <s v="Patricia Losada"/>
    <s v="Chefibio"/>
    <n v="2884"/>
    <m/>
    <n v="20000"/>
    <n v="0"/>
    <n v="0"/>
    <n v="0"/>
    <n v="0"/>
  </r>
  <r>
    <d v="2026-02-12T00:00:00"/>
    <x v="264"/>
    <s v="Doogy Lunch Marilyn Medina"/>
    <s v="Chefibio"/>
    <n v="560"/>
    <m/>
    <n v="15000"/>
    <n v="0"/>
    <n v="15000"/>
    <n v="0"/>
    <n v="15000"/>
  </r>
  <r>
    <d v="2026-02-13T00:00:00"/>
    <x v="265"/>
    <s v="Diana Palomino Ramirez "/>
    <s v="bancolombia"/>
    <m/>
    <n v="15000"/>
    <m/>
    <n v="15000"/>
    <n v="0"/>
    <n v="0"/>
    <n v="0"/>
  </r>
  <r>
    <d v="2026-02-16T00:00:00"/>
    <x v="265"/>
    <s v="Diana Palomino Ramirez "/>
    <s v="Chefibio"/>
    <n v="602"/>
    <m/>
    <n v="15000"/>
    <n v="0"/>
    <n v="0"/>
    <n v="0"/>
    <n v="0"/>
  </r>
  <r>
    <d v="2026-02-18T00:00:00"/>
    <x v="266"/>
    <s v="Julieth Tatiana Bernal Avila"/>
    <s v="Chefibio"/>
    <n v="1435"/>
    <m/>
    <n v="15000"/>
    <n v="0"/>
    <n v="15000"/>
    <n v="0"/>
    <n v="15000"/>
  </r>
  <r>
    <d v="2026-02-17T00:00:00"/>
    <x v="267"/>
    <s v="Johanna Andrea Barrera Ramos"/>
    <s v="bancolombia"/>
    <m/>
    <n v="15000"/>
    <m/>
    <n v="15000"/>
    <n v="0"/>
    <n v="0"/>
    <n v="0"/>
  </r>
  <r>
    <d v="2026-02-18T00:00:00"/>
    <x v="267"/>
    <s v="Johanna Andrea Barrera Ramos"/>
    <s v="Chefibio"/>
    <n v="2800"/>
    <m/>
    <n v="15000"/>
    <n v="0"/>
    <n v="0"/>
    <n v="0"/>
    <n v="0"/>
  </r>
  <r>
    <d v="2026-02-17T00:00:00"/>
    <x v="268"/>
    <s v="Anna Esmeralda Vargas"/>
    <s v="bancolombia"/>
    <m/>
    <n v="15000"/>
    <m/>
    <n v="15000"/>
    <n v="0"/>
    <n v="15000"/>
    <n v="0"/>
  </r>
  <r>
    <d v="2026-02-18T00:00:00"/>
    <x v="269"/>
    <s v="María Paula Tamayo Galvis 40"/>
    <s v="Chefibio"/>
    <n v="560"/>
    <m/>
    <n v="0"/>
    <n v="0"/>
    <n v="0"/>
    <n v="0"/>
    <n v="0"/>
  </r>
  <r>
    <d v="2026-02-18T00:00:00"/>
    <x v="269"/>
    <s v="María Paula Tamayo Galvis 65"/>
    <s v="bancolombia"/>
    <m/>
    <n v="26000"/>
    <m/>
    <n v="26000"/>
    <n v="0"/>
    <n v="0"/>
    <n v="0"/>
  </r>
  <r>
    <d v="2026-02-18T00:00:00"/>
    <x v="269"/>
    <s v="María Paula Tamayo Galvis 65"/>
    <s v="Chefibio"/>
    <n v="910"/>
    <m/>
    <n v="0"/>
    <n v="26000"/>
    <n v="0"/>
    <n v="26000"/>
    <n v="0"/>
  </r>
  <r>
    <d v="2026-01-17T00:00:00"/>
    <x v="270"/>
    <s v="Gonzalo Tellez Oviedo"/>
    <m/>
    <m/>
    <n v="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1-31T00:00:00"/>
    <x v="270"/>
    <m/>
    <s v="bancolombia"/>
    <m/>
    <n v="0"/>
    <m/>
    <n v="0"/>
    <n v="0"/>
    <n v="0"/>
    <n v="0"/>
  </r>
  <r>
    <d v="2026-01-31T00:00:00"/>
    <x v="270"/>
    <m/>
    <s v="Caja menor"/>
    <m/>
    <n v="127500"/>
    <m/>
    <n v="0"/>
    <n v="0"/>
    <n v="0"/>
    <n v="0"/>
  </r>
  <r>
    <d v="2026-02-02T00:00:00"/>
    <x v="270"/>
    <s v="Cimpa"/>
    <m/>
    <m/>
    <m/>
    <m/>
    <n v="0"/>
    <n v="0"/>
    <n v="0"/>
    <n v="0"/>
  </r>
  <r>
    <d v="2026-02-17T00:00:00"/>
    <x v="270"/>
    <s v="Gloria Cecilia Jimenez"/>
    <s v=" "/>
    <n v="0"/>
    <m/>
    <m/>
    <n v="0"/>
    <n v="0"/>
    <n v="0"/>
    <n v="0"/>
  </r>
  <r>
    <d v="2026-02-17T00:00:00"/>
    <x v="270"/>
    <s v="plasticos empresariales"/>
    <s v=" "/>
    <n v="0"/>
    <m/>
    <m/>
    <n v="0"/>
    <n v="0"/>
    <n v="0"/>
    <n v="0"/>
  </r>
  <r>
    <s v="Total"/>
    <x v="270"/>
    <m/>
    <m/>
    <m/>
    <n v="78794011"/>
    <m/>
    <m/>
    <m/>
    <n v="2555715"/>
    <n v="18155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4868D8-D620-4BCE-862D-778F6BDE2CE7}" name="TablaDiná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274" firstHeaderRow="1" firstDataRow="1" firstDataCol="1"/>
  <pivotFields count="11">
    <pivotField showAll="0"/>
    <pivotField axis="axisRow" showAll="0" sortType="descending">
      <items count="2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h="1" x="27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5" showAll="0"/>
  </pivotFields>
  <rowFields count="1">
    <field x="1"/>
  </rowFields>
  <rowItems count="271">
    <i>
      <x v="25"/>
    </i>
    <i>
      <x v="44"/>
    </i>
    <i>
      <x v="49"/>
    </i>
    <i>
      <x v="187"/>
    </i>
    <i>
      <x v="202"/>
    </i>
    <i>
      <x v="58"/>
    </i>
    <i>
      <x v="158"/>
    </i>
    <i>
      <x v="90"/>
    </i>
    <i>
      <x v="39"/>
    </i>
    <i>
      <x v="142"/>
    </i>
    <i>
      <x v="114"/>
    </i>
    <i>
      <x v="107"/>
    </i>
    <i>
      <x v="10"/>
    </i>
    <i>
      <x v="8"/>
    </i>
    <i>
      <x v="137"/>
    </i>
    <i>
      <x v="209"/>
    </i>
    <i>
      <x v="144"/>
    </i>
    <i>
      <x v="2"/>
    </i>
    <i>
      <x v="29"/>
    </i>
    <i>
      <x v="21"/>
    </i>
    <i>
      <x v="47"/>
    </i>
    <i>
      <x v="206"/>
    </i>
    <i>
      <x v="233"/>
    </i>
    <i>
      <x v="189"/>
    </i>
    <i>
      <x v="134"/>
    </i>
    <i>
      <x v="55"/>
    </i>
    <i>
      <x v="84"/>
    </i>
    <i>
      <x v="38"/>
    </i>
    <i>
      <x v="203"/>
    </i>
    <i>
      <x v="200"/>
    </i>
    <i>
      <x v="12"/>
    </i>
    <i>
      <x v="230"/>
    </i>
    <i>
      <x v="94"/>
    </i>
    <i>
      <x v="17"/>
    </i>
    <i>
      <x v="37"/>
    </i>
    <i>
      <x v="217"/>
    </i>
    <i>
      <x v="30"/>
    </i>
    <i>
      <x v="4"/>
    </i>
    <i>
      <x v="188"/>
    </i>
    <i>
      <x v="240"/>
    </i>
    <i>
      <x v="172"/>
    </i>
    <i>
      <x v="242"/>
    </i>
    <i>
      <x v="130"/>
    </i>
    <i>
      <x v="196"/>
    </i>
    <i>
      <x v="160"/>
    </i>
    <i>
      <x v="118"/>
    </i>
    <i>
      <x v="152"/>
    </i>
    <i>
      <x v="19"/>
    </i>
    <i>
      <x v="176"/>
    </i>
    <i>
      <x v="101"/>
    </i>
    <i>
      <x v="103"/>
    </i>
    <i>
      <x v="87"/>
    </i>
    <i>
      <x v="5"/>
    </i>
    <i>
      <x v="138"/>
    </i>
    <i>
      <x v="102"/>
    </i>
    <i>
      <x v="139"/>
    </i>
    <i>
      <x v="53"/>
    </i>
    <i>
      <x v="195"/>
    </i>
    <i>
      <x v="28"/>
    </i>
    <i>
      <x v="16"/>
    </i>
    <i>
      <x v="235"/>
    </i>
    <i>
      <x v="97"/>
    </i>
    <i>
      <x v="119"/>
    </i>
    <i>
      <x v="211"/>
    </i>
    <i>
      <x v="52"/>
    </i>
    <i>
      <x v="123"/>
    </i>
    <i>
      <x v="146"/>
    </i>
    <i>
      <x v="64"/>
    </i>
    <i>
      <x v="183"/>
    </i>
    <i>
      <x v="6"/>
    </i>
    <i>
      <x v="95"/>
    </i>
    <i>
      <x v="199"/>
    </i>
    <i>
      <x v="66"/>
    </i>
    <i>
      <x v="250"/>
    </i>
    <i>
      <x v="177"/>
    </i>
    <i>
      <x v="186"/>
    </i>
    <i>
      <x v="136"/>
    </i>
    <i>
      <x v="104"/>
    </i>
    <i>
      <x v="106"/>
    </i>
    <i>
      <x v="156"/>
    </i>
    <i>
      <x v="18"/>
    </i>
    <i>
      <x v="54"/>
    </i>
    <i>
      <x v="124"/>
    </i>
    <i>
      <x v="227"/>
    </i>
    <i>
      <x v="231"/>
    </i>
    <i>
      <x v="148"/>
    </i>
    <i>
      <x v="61"/>
    </i>
    <i>
      <x v="31"/>
    </i>
    <i>
      <x v="266"/>
    </i>
    <i>
      <x v="264"/>
    </i>
    <i>
      <x v="108"/>
    </i>
    <i>
      <x v="225"/>
    </i>
    <i>
      <x v="221"/>
    </i>
    <i>
      <x v="228"/>
    </i>
    <i>
      <x v="35"/>
    </i>
    <i>
      <x v="220"/>
    </i>
    <i>
      <x v="178"/>
    </i>
    <i>
      <x v="182"/>
    </i>
    <i>
      <x v="224"/>
    </i>
    <i>
      <x v="243"/>
    </i>
    <i>
      <x v="236"/>
    </i>
    <i>
      <x v="229"/>
    </i>
    <i>
      <x v="20"/>
    </i>
    <i>
      <x v="116"/>
    </i>
    <i>
      <x v="117"/>
    </i>
    <i>
      <x v="7"/>
    </i>
    <i>
      <x v="249"/>
    </i>
    <i>
      <x v="201"/>
    </i>
    <i>
      <x v="185"/>
    </i>
    <i>
      <x v="13"/>
    </i>
    <i>
      <x v="62"/>
    </i>
    <i>
      <x v="91"/>
    </i>
    <i>
      <x v="74"/>
    </i>
    <i>
      <x v="109"/>
    </i>
    <i>
      <x v="193"/>
    </i>
    <i>
      <x v="110"/>
    </i>
    <i>
      <x v="23"/>
    </i>
    <i>
      <x v="111"/>
    </i>
    <i>
      <x v="99"/>
    </i>
    <i>
      <x v="112"/>
    </i>
    <i>
      <x v="173"/>
    </i>
    <i>
      <x v="113"/>
    </i>
    <i>
      <x v="181"/>
    </i>
    <i>
      <x v="14"/>
    </i>
    <i>
      <x v="105"/>
    </i>
    <i>
      <x v="115"/>
    </i>
    <i>
      <x v="197"/>
    </i>
    <i>
      <x v="40"/>
    </i>
    <i>
      <x v="205"/>
    </i>
    <i>
      <x v="70"/>
    </i>
    <i>
      <x v="213"/>
    </i>
    <i>
      <x v="41"/>
    </i>
    <i>
      <x v="26"/>
    </i>
    <i>
      <x v="42"/>
    </i>
    <i>
      <x v="234"/>
    </i>
    <i>
      <x v="120"/>
    </i>
    <i>
      <x v="171"/>
    </i>
    <i>
      <x v="121"/>
    </i>
    <i>
      <x v="175"/>
    </i>
    <i>
      <x v="122"/>
    </i>
    <i>
      <x v="179"/>
    </i>
    <i>
      <x v="43"/>
    </i>
    <i>
      <x v="75"/>
    </i>
    <i>
      <x v="82"/>
    </i>
    <i>
      <x v="86"/>
    </i>
    <i>
      <x v="125"/>
    </i>
    <i>
      <x v="191"/>
    </i>
    <i>
      <x v="126"/>
    </i>
    <i>
      <x v="56"/>
    </i>
    <i>
      <x v="127"/>
    </i>
    <i>
      <x v="77"/>
    </i>
    <i>
      <x v="128"/>
    </i>
    <i>
      <x v="60"/>
    </i>
    <i>
      <x v="129"/>
    </i>
    <i>
      <x v="207"/>
    </i>
    <i>
      <x v="1"/>
    </i>
    <i>
      <x v="34"/>
    </i>
    <i>
      <x v="131"/>
    </i>
    <i>
      <x v="215"/>
    </i>
    <i>
      <x v="132"/>
    </i>
    <i>
      <x v="219"/>
    </i>
    <i>
      <x v="133"/>
    </i>
    <i>
      <x v="223"/>
    </i>
    <i>
      <x/>
    </i>
    <i>
      <x v="71"/>
    </i>
    <i>
      <x v="135"/>
    </i>
    <i>
      <x v="247"/>
    </i>
    <i>
      <x v="72"/>
    </i>
    <i>
      <x v="93"/>
    </i>
    <i>
      <x v="15"/>
    </i>
    <i>
      <x v="27"/>
    </i>
    <i>
      <x v="45"/>
    </i>
    <i>
      <x v="174"/>
    </i>
    <i>
      <x v="46"/>
    </i>
    <i>
      <x v="85"/>
    </i>
    <i>
      <x v="140"/>
    </i>
    <i>
      <x v="36"/>
    </i>
    <i>
      <x v="141"/>
    </i>
    <i>
      <x v="180"/>
    </i>
    <i>
      <x v="9"/>
    </i>
    <i>
      <x v="68"/>
    </i>
    <i>
      <x v="143"/>
    </i>
    <i>
      <x v="184"/>
    </i>
    <i>
      <x v="48"/>
    </i>
    <i>
      <x v="76"/>
    </i>
    <i>
      <x v="145"/>
    </i>
    <i>
      <x v="32"/>
    </i>
    <i>
      <x v="269"/>
    </i>
    <i>
      <x v="190"/>
    </i>
    <i>
      <x v="3"/>
    </i>
    <i>
      <x v="192"/>
    </i>
    <i>
      <x v="83"/>
    </i>
    <i>
      <x v="194"/>
    </i>
    <i>
      <x v="149"/>
    </i>
    <i>
      <x v="57"/>
    </i>
    <i>
      <x v="150"/>
    </i>
    <i>
      <x v="198"/>
    </i>
    <i>
      <x v="151"/>
    </i>
    <i>
      <x v="11"/>
    </i>
    <i>
      <x v="50"/>
    </i>
    <i>
      <x v="59"/>
    </i>
    <i>
      <x v="153"/>
    </i>
    <i>
      <x v="204"/>
    </i>
    <i>
      <x v="154"/>
    </i>
    <i>
      <x v="22"/>
    </i>
    <i>
      <x v="155"/>
    </i>
    <i>
      <x v="208"/>
    </i>
    <i>
      <x v="73"/>
    </i>
    <i>
      <x v="210"/>
    </i>
    <i>
      <x v="157"/>
    </i>
    <i>
      <x v="212"/>
    </i>
    <i>
      <x v="251"/>
    </i>
    <i>
      <x v="214"/>
    </i>
    <i>
      <x v="252"/>
    </i>
    <i>
      <x v="216"/>
    </i>
    <i>
      <x v="254"/>
    </i>
    <i>
      <x v="218"/>
    </i>
    <i>
      <x v="256"/>
    </i>
    <i>
      <x v="96"/>
    </i>
    <i>
      <x v="78"/>
    </i>
    <i>
      <x v="222"/>
    </i>
    <i>
      <x v="237"/>
    </i>
    <i>
      <x v="98"/>
    </i>
    <i>
      <x v="88"/>
    </i>
    <i>
      <x v="226"/>
    </i>
    <i>
      <x v="63"/>
    </i>
    <i>
      <x v="232"/>
    </i>
    <i>
      <x v="100"/>
    </i>
    <i>
      <x v="239"/>
    </i>
    <i>
      <x v="89"/>
    </i>
    <i>
      <x v="241"/>
    </i>
    <i>
      <x v="24"/>
    </i>
    <i>
      <x v="92"/>
    </i>
    <i>
      <x v="69"/>
    </i>
    <i>
      <x v="245"/>
    </i>
    <i>
      <x v="258"/>
    </i>
    <i>
      <x v="238"/>
    </i>
    <i>
      <x v="260"/>
    </i>
    <i>
      <x v="65"/>
    </i>
    <i>
      <x v="262"/>
    </i>
    <i>
      <x v="79"/>
    </i>
    <i>
      <x v="81"/>
    </i>
    <i>
      <x v="244"/>
    </i>
    <i>
      <x v="33"/>
    </i>
    <i>
      <x v="246"/>
    </i>
    <i>
      <x v="268"/>
    </i>
    <i>
      <x v="248"/>
    </i>
    <i>
      <x v="168"/>
    </i>
    <i>
      <x v="80"/>
    </i>
    <i>
      <x v="169"/>
    </i>
    <i>
      <x v="170"/>
    </i>
    <i>
      <x v="253"/>
    </i>
    <i>
      <x v="159"/>
    </i>
    <i>
      <x v="255"/>
    </i>
    <i>
      <x v="51"/>
    </i>
    <i>
      <x v="257"/>
    </i>
    <i>
      <x v="161"/>
    </i>
    <i>
      <x v="259"/>
    </i>
    <i>
      <x v="162"/>
    </i>
    <i>
      <x v="261"/>
    </i>
    <i>
      <x v="163"/>
    </i>
    <i>
      <x v="263"/>
    </i>
    <i>
      <x v="164"/>
    </i>
    <i>
      <x v="265"/>
    </i>
    <i>
      <x v="165"/>
    </i>
    <i>
      <x v="267"/>
    </i>
    <i>
      <x v="166"/>
    </i>
    <i>
      <x v="67"/>
    </i>
    <i>
      <x v="167"/>
    </i>
    <i>
      <x v="147"/>
    </i>
    <i t="grand">
      <x/>
    </i>
  </rowItems>
  <colItems count="1">
    <i/>
  </colItems>
  <dataFields count="1">
    <dataField name="Suma de TOTAL DEUDAS" fld="10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82434-BAE4-4745-9524-6570D7CCED76}" name="TablaDinámica3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74" firstHeaderRow="1" firstDataRow="1" firstDataCol="1"/>
  <pivotFields count="11">
    <pivotField showAll="0"/>
    <pivotField axis="axisRow" showAll="0" sortType="descending">
      <items count="2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h="1" x="27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5" showAll="0"/>
  </pivotFields>
  <rowFields count="1">
    <field x="1"/>
  </rowFields>
  <rowItems count="271">
    <i>
      <x v="233"/>
    </i>
    <i>
      <x v="167"/>
    </i>
    <i>
      <x v="179"/>
    </i>
    <i>
      <x v="216"/>
    </i>
    <i>
      <x v="85"/>
    </i>
    <i>
      <x v="164"/>
    </i>
    <i>
      <x v="45"/>
    </i>
    <i>
      <x v="131"/>
    </i>
    <i>
      <x v="127"/>
    </i>
    <i>
      <x v="46"/>
    </i>
    <i>
      <x v="151"/>
    </i>
    <i>
      <x v="197"/>
    </i>
    <i>
      <x v="110"/>
    </i>
    <i>
      <x v="75"/>
    </i>
    <i>
      <x v="82"/>
    </i>
    <i>
      <x v="238"/>
    </i>
    <i>
      <x v="50"/>
    </i>
    <i>
      <x v="13"/>
    </i>
    <i>
      <x v="269"/>
    </i>
    <i>
      <x v="24"/>
    </i>
    <i>
      <x v="227"/>
    </i>
    <i>
      <x v="231"/>
    </i>
    <i>
      <x v="56"/>
    </i>
    <i>
      <x v="268"/>
    </i>
    <i>
      <x v="15"/>
    </i>
    <i>
      <x v="91"/>
    </i>
    <i>
      <x v="155"/>
    </i>
    <i>
      <x v="145"/>
    </i>
    <i>
      <x v="73"/>
    </i>
    <i>
      <x v="157"/>
    </i>
    <i>
      <x v="194"/>
    </i>
    <i>
      <x v="81"/>
    </i>
    <i>
      <x v="42"/>
    </i>
    <i>
      <x v="9"/>
    </i>
    <i>
      <x v="237"/>
    </i>
    <i>
      <x v="51"/>
    </i>
    <i>
      <x v="57"/>
    </i>
    <i>
      <x v="149"/>
    </i>
    <i>
      <x v="172"/>
    </i>
    <i>
      <x v="239"/>
    </i>
    <i>
      <x v="207"/>
    </i>
    <i>
      <x v="39"/>
    </i>
    <i>
      <x v="156"/>
    </i>
    <i>
      <x v="40"/>
    </i>
    <i>
      <x v="188"/>
    </i>
    <i>
      <x v="41"/>
    </i>
    <i>
      <x v="223"/>
    </i>
    <i>
      <x v="32"/>
    </i>
    <i>
      <x v="255"/>
    </i>
    <i>
      <x v="43"/>
    </i>
    <i>
      <x v="27"/>
    </i>
    <i>
      <x v="44"/>
    </i>
    <i>
      <x v="180"/>
    </i>
    <i>
      <x v="3"/>
    </i>
    <i>
      <x v="199"/>
    </i>
    <i>
      <x v="4"/>
    </i>
    <i>
      <x v="215"/>
    </i>
    <i>
      <x v="47"/>
    </i>
    <i>
      <x v="21"/>
    </i>
    <i>
      <x v="48"/>
    </i>
    <i>
      <x v="247"/>
    </i>
    <i>
      <x v="49"/>
    </i>
    <i>
      <x v="263"/>
    </i>
    <i>
      <x v="5"/>
    </i>
    <i>
      <x v="160"/>
    </i>
    <i>
      <x v="33"/>
    </i>
    <i>
      <x v="168"/>
    </i>
    <i>
      <x v="52"/>
    </i>
    <i>
      <x v="176"/>
    </i>
    <i>
      <x v="53"/>
    </i>
    <i>
      <x v="184"/>
    </i>
    <i>
      <x v="54"/>
    </i>
    <i>
      <x v="192"/>
    </i>
    <i>
      <x v="55"/>
    </i>
    <i>
      <x v="203"/>
    </i>
    <i>
      <x v="6"/>
    </i>
    <i>
      <x v="211"/>
    </i>
    <i>
      <x v="34"/>
    </i>
    <i>
      <x v="219"/>
    </i>
    <i>
      <x v="58"/>
    </i>
    <i>
      <x v="20"/>
    </i>
    <i>
      <x v="59"/>
    </i>
    <i>
      <x v="235"/>
    </i>
    <i>
      <x v="60"/>
    </i>
    <i>
      <x v="243"/>
    </i>
    <i>
      <x v="61"/>
    </i>
    <i>
      <x v="251"/>
    </i>
    <i>
      <x v="62"/>
    </i>
    <i>
      <x v="259"/>
    </i>
    <i>
      <x v="63"/>
    </i>
    <i>
      <x v="28"/>
    </i>
    <i>
      <x v="64"/>
    </i>
    <i>
      <x v="158"/>
    </i>
    <i>
      <x v="65"/>
    </i>
    <i>
      <x v="162"/>
    </i>
    <i>
      <x v="66"/>
    </i>
    <i>
      <x v="166"/>
    </i>
    <i>
      <x v="67"/>
    </i>
    <i>
      <x v="170"/>
    </i>
    <i>
      <x v="68"/>
    </i>
    <i>
      <x v="174"/>
    </i>
    <i>
      <x v="69"/>
    </i>
    <i>
      <x v="178"/>
    </i>
    <i>
      <x v="70"/>
    </i>
    <i>
      <x v="182"/>
    </i>
    <i>
      <x v="71"/>
    </i>
    <i>
      <x v="186"/>
    </i>
    <i>
      <x v="72"/>
    </i>
    <i>
      <x v="190"/>
    </i>
    <i>
      <x v="29"/>
    </i>
    <i>
      <x v="18"/>
    </i>
    <i>
      <x v="74"/>
    </i>
    <i>
      <x v="201"/>
    </i>
    <i>
      <x v="7"/>
    </i>
    <i>
      <x v="205"/>
    </i>
    <i>
      <x v="76"/>
    </i>
    <i>
      <x v="209"/>
    </i>
    <i>
      <x v="77"/>
    </i>
    <i>
      <x v="213"/>
    </i>
    <i>
      <x v="78"/>
    </i>
    <i>
      <x v="217"/>
    </i>
    <i>
      <x v="79"/>
    </i>
    <i>
      <x v="221"/>
    </i>
    <i>
      <x v="80"/>
    </i>
    <i>
      <x v="225"/>
    </i>
    <i>
      <x v="35"/>
    </i>
    <i>
      <x v="229"/>
    </i>
    <i>
      <x v="8"/>
    </i>
    <i>
      <x v="22"/>
    </i>
    <i>
      <x v="83"/>
    </i>
    <i>
      <x v="37"/>
    </i>
    <i>
      <x v="84"/>
    </i>
    <i>
      <x v="241"/>
    </i>
    <i>
      <x v="36"/>
    </i>
    <i>
      <x v="245"/>
    </i>
    <i>
      <x v="86"/>
    </i>
    <i>
      <x v="249"/>
    </i>
    <i>
      <x v="87"/>
    </i>
    <i>
      <x v="253"/>
    </i>
    <i>
      <x v="88"/>
    </i>
    <i>
      <x v="257"/>
    </i>
    <i>
      <x v="148"/>
    </i>
    <i>
      <x v="261"/>
    </i>
    <i>
      <x v="150"/>
    </i>
    <i>
      <x v="265"/>
    </i>
    <i>
      <x v="152"/>
    </i>
    <i>
      <x v="38"/>
    </i>
    <i>
      <x v="154"/>
    </i>
    <i>
      <x v="89"/>
    </i>
    <i>
      <x v="14"/>
    </i>
    <i>
      <x v="90"/>
    </i>
    <i>
      <x v="153"/>
    </i>
    <i>
      <x v="25"/>
    </i>
    <i>
      <x v="26"/>
    </i>
    <i>
      <x v="92"/>
    </i>
    <i>
      <x v="30"/>
    </i>
    <i>
      <x v="93"/>
    </i>
    <i>
      <x v="159"/>
    </i>
    <i>
      <x v="94"/>
    </i>
    <i>
      <x v="161"/>
    </i>
    <i>
      <x v="95"/>
    </i>
    <i>
      <x v="163"/>
    </i>
    <i>
      <x v="96"/>
    </i>
    <i>
      <x v="165"/>
    </i>
    <i>
      <x v="97"/>
    </i>
    <i>
      <x v="16"/>
    </i>
    <i>
      <x v="98"/>
    </i>
    <i>
      <x v="169"/>
    </i>
    <i>
      <x v="99"/>
    </i>
    <i>
      <x v="171"/>
    </i>
    <i>
      <x v="100"/>
    </i>
    <i>
      <x v="173"/>
    </i>
    <i>
      <x v="101"/>
    </i>
    <i>
      <x v="175"/>
    </i>
    <i>
      <x v="102"/>
    </i>
    <i>
      <x v="177"/>
    </i>
    <i>
      <x v="103"/>
    </i>
    <i>
      <x v="17"/>
    </i>
    <i>
      <x v="104"/>
    </i>
    <i>
      <x v="181"/>
    </i>
    <i>
      <x v="105"/>
    </i>
    <i>
      <x v="183"/>
    </i>
    <i>
      <x v="106"/>
    </i>
    <i>
      <x v="185"/>
    </i>
    <i>
      <x v="107"/>
    </i>
    <i>
      <x v="187"/>
    </i>
    <i>
      <x v="108"/>
    </i>
    <i>
      <x v="189"/>
    </i>
    <i>
      <x v="109"/>
    </i>
    <i>
      <x v="191"/>
    </i>
    <i>
      <x v="193"/>
    </i>
    <i>
      <x v="31"/>
    </i>
    <i>
      <x v="195"/>
    </i>
    <i>
      <x v="10"/>
    </i>
    <i>
      <x v="196"/>
    </i>
    <i>
      <x v="111"/>
    </i>
    <i>
      <x v="198"/>
    </i>
    <i>
      <x v="112"/>
    </i>
    <i>
      <x v="200"/>
    </i>
    <i>
      <x v="113"/>
    </i>
    <i>
      <x v="202"/>
    </i>
    <i>
      <x v="114"/>
    </i>
    <i>
      <x v="204"/>
    </i>
    <i>
      <x v="115"/>
    </i>
    <i>
      <x v="206"/>
    </i>
    <i>
      <x v="116"/>
    </i>
    <i>
      <x v="208"/>
    </i>
    <i>
      <x v="117"/>
    </i>
    <i>
      <x v="210"/>
    </i>
    <i>
      <x v="118"/>
    </i>
    <i>
      <x v="212"/>
    </i>
    <i>
      <x v="119"/>
    </i>
    <i>
      <x v="214"/>
    </i>
    <i>
      <x v="120"/>
    </i>
    <i>
      <x v="19"/>
    </i>
    <i>
      <x v="121"/>
    </i>
    <i>
      <x v="218"/>
    </i>
    <i>
      <x v="122"/>
    </i>
    <i>
      <x v="220"/>
    </i>
    <i>
      <x v="123"/>
    </i>
    <i>
      <x v="222"/>
    </i>
    <i>
      <x v="124"/>
    </i>
    <i>
      <x v="224"/>
    </i>
    <i>
      <x v="125"/>
    </i>
    <i>
      <x v="226"/>
    </i>
    <i>
      <x v="126"/>
    </i>
    <i>
      <x v="228"/>
    </i>
    <i>
      <x v="11"/>
    </i>
    <i>
      <x v="230"/>
    </i>
    <i>
      <x v="128"/>
    </i>
    <i>
      <x v="232"/>
    </i>
    <i>
      <x v="129"/>
    </i>
    <i>
      <x v="234"/>
    </i>
    <i>
      <x v="130"/>
    </i>
    <i>
      <x v="236"/>
    </i>
    <i>
      <x v="12"/>
    </i>
    <i>
      <x v="23"/>
    </i>
    <i>
      <x v="132"/>
    </i>
    <i>
      <x v="240"/>
    </i>
    <i>
      <x v="267"/>
    </i>
    <i>
      <x v="242"/>
    </i>
    <i>
      <x v="1"/>
    </i>
    <i>
      <x v="244"/>
    </i>
    <i>
      <x v="135"/>
    </i>
    <i>
      <x v="246"/>
    </i>
    <i>
      <x v="136"/>
    </i>
    <i>
      <x v="248"/>
    </i>
    <i>
      <x v="137"/>
    </i>
    <i>
      <x v="250"/>
    </i>
    <i>
      <x v="138"/>
    </i>
    <i>
      <x v="252"/>
    </i>
    <i>
      <x v="139"/>
    </i>
    <i>
      <x v="254"/>
    </i>
    <i>
      <x v="140"/>
    </i>
    <i>
      <x v="256"/>
    </i>
    <i>
      <x v="141"/>
    </i>
    <i>
      <x v="258"/>
    </i>
    <i>
      <x v="142"/>
    </i>
    <i>
      <x v="260"/>
    </i>
    <i>
      <x v="143"/>
    </i>
    <i>
      <x v="262"/>
    </i>
    <i>
      <x v="144"/>
    </i>
    <i>
      <x v="264"/>
    </i>
    <i>
      <x v="2"/>
    </i>
    <i>
      <x v="266"/>
    </i>
    <i>
      <x v="146"/>
    </i>
    <i>
      <x v="147"/>
    </i>
    <i>
      <x v="133"/>
    </i>
    <i>
      <x/>
    </i>
    <i>
      <x v="134"/>
    </i>
    <i t="grand">
      <x/>
    </i>
  </rowItems>
  <colItems count="1">
    <i/>
  </colItems>
  <dataFields count="1">
    <dataField name="Suma de TOTAL SALDOS" fld="9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CE897C-C3B7-4DD9-B222-56B1A114CE66}" name="Tabla4" displayName="Tabla4" ref="A1:V355" totalsRowShown="0" headerRowDxfId="2" tableBorderDxfId="21">
  <autoFilter ref="A1:V355" xr:uid="{CFCE897C-C3B7-4DD9-B222-56B1A114CE66}"/>
  <tableColumns count="22">
    <tableColumn id="1" xr3:uid="{BC06891A-46E7-424B-9394-0411A9516943}" name="FECHA INICIAL" dataDxfId="0"/>
    <tableColumn id="2" xr3:uid="{E73FC608-D6A1-4B7D-9F00-F58F95A7EC4C}" name="MES" dataDxfId="1"/>
    <tableColumn id="3" xr3:uid="{327A1138-C878-4845-B1B6-DA007F38E369}" name="CODIGO" dataDxfId="20"/>
    <tableColumn id="4" xr3:uid="{C3328BD2-8B15-4DCD-A2B9-3F153ADF5A5C}" name="NOMBRE" dataDxfId="19"/>
    <tableColumn id="5" xr3:uid="{3B3CA128-7B3E-49CD-A5D9-CBDF54437173}" name="NOMBRE2" dataDxfId="18"/>
    <tableColumn id="6" xr3:uid="{B67DD2D0-1D03-4B70-92CA-54A8CD2919CF}" name="Activo" dataDxfId="17"/>
    <tableColumn id="7" xr3:uid="{3BCC01D6-64FF-46A2-9C6B-AE915C592796}" name="57" dataDxfId="16"/>
    <tableColumn id="8" xr3:uid="{E55B2BAB-25EA-4D50-AD51-76615D55526C}" name="NUMERO" dataDxfId="15"/>
    <tableColumn id="9" xr3:uid="{AC167BF1-833E-42AC-9BEB-F84DCA0FEFC5}" name="POR COMIDA" dataDxfId="14"/>
    <tableColumn id="10" xr3:uid="{EA660B2D-21BC-40ED-9DE8-3133AACB7BF9}" name="AL DIA" dataDxfId="13"/>
    <tableColumn id="11" xr3:uid="{D86096D8-3E9B-4122-A9F8-D3655187CA46}" name="POR PEDIDO" dataDxfId="12"/>
    <tableColumn id="12" xr3:uid="{55DFB59C-1ADB-4DC7-9AD3-CBBE8BB80287}" name="TOTAL PORCIONES" dataDxfId="11"/>
    <tableColumn id="13" xr3:uid="{18C2BA5B-DC9A-4516-96DA-6A3BBD919463}" name="DURACION DEL PEDIDO" dataDxfId="10"/>
    <tableColumn id="14" xr3:uid="{9A7AE7A6-B38B-4D3E-9565-F7A3636A6CBC}" name="PROXIMA  ENTREGA" dataDxfId="9"/>
    <tableColumn id="15" xr3:uid="{4A0AE64A-DC5E-4E87-8CE0-91C71E0DA502}" name="30" dataDxfId="8"/>
    <tableColumn id="16" xr3:uid="{722AD587-2F8D-459A-9DCC-CB4DB1AD3B8A}" name="VALOR KG" dataDxfId="7"/>
    <tableColumn id="17" xr3:uid="{B5D6F697-E2C6-4839-9FD1-34D694B52C56}" name="gramos por pedido" dataDxfId="6"/>
    <tableColumn id="18" xr3:uid="{CEF7334B-A07E-4E92-8F06-D0D63B299EDD}" name="valor pedido" dataDxfId="5"/>
    <tableColumn id="19" xr3:uid="{39CEC651-BFEF-426D-81C4-4CC91734E07A}" name="Direccion" dataDxfId="4"/>
    <tableColumn id="20" xr3:uid="{3218AFC8-EAA5-49F1-B5ED-95BCDAC5A429}" name="Cordenadas" dataDxfId="3"/>
    <tableColumn id="21" xr3:uid="{72445E71-248D-4528-9FF9-2C60E1A7E7C9}" name="Deudas">
      <calculatedColumnFormula>IFERROR(VLOOKUP(C2,Hoja4!$D$4:$E$273,2,FALSE),0)</calculatedColumnFormula>
    </tableColumn>
    <tableColumn id="22" xr3:uid="{B229A75A-F332-4947-8DE1-E1A74DBC825E}" name="Saldos">
      <calculatedColumnFormula>IFERROR(VLOOKUP(C2,Hoja4!$A$4:$B$273,2,FALSE),0)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96E4-CD98-49C1-B317-C824186A9E5C}">
  <dimension ref="A1:V355"/>
  <sheetViews>
    <sheetView tabSelected="1" workbookViewId="0">
      <selection activeCell="B14" sqref="B14"/>
    </sheetView>
  </sheetViews>
  <sheetFormatPr baseColWidth="10" defaultRowHeight="15" x14ac:dyDescent="0.25"/>
  <cols>
    <col min="1" max="1" width="16.5703125" style="2" bestFit="1" customWidth="1"/>
    <col min="4" max="4" width="47.5703125" bestFit="1" customWidth="1"/>
    <col min="5" max="5" width="12.140625" customWidth="1"/>
    <col min="9" max="9" width="15" customWidth="1"/>
    <col min="11" max="11" width="14.5703125" customWidth="1"/>
    <col min="12" max="12" width="20.140625" customWidth="1"/>
    <col min="13" max="13" width="24.7109375" customWidth="1"/>
    <col min="14" max="14" width="20.85546875" customWidth="1"/>
    <col min="16" max="16" width="12.140625" customWidth="1"/>
    <col min="17" max="17" width="19.85546875" customWidth="1"/>
    <col min="18" max="18" width="14.28515625" customWidth="1"/>
    <col min="19" max="19" width="11.85546875" customWidth="1"/>
    <col min="20" max="20" width="41" bestFit="1" customWidth="1"/>
  </cols>
  <sheetData>
    <row r="1" spans="1:22" x14ac:dyDescent="0.25">
      <c r="A1" s="34" t="s">
        <v>1371</v>
      </c>
      <c r="B1" s="1" t="s">
        <v>1370</v>
      </c>
      <c r="C1" s="1" t="s">
        <v>1369</v>
      </c>
      <c r="D1" s="1" t="s">
        <v>1368</v>
      </c>
      <c r="E1" s="1" t="s">
        <v>1367</v>
      </c>
      <c r="F1" s="1" t="s">
        <v>1366</v>
      </c>
      <c r="G1" s="1" t="s">
        <v>26</v>
      </c>
      <c r="H1" s="1" t="s">
        <v>1365</v>
      </c>
      <c r="I1" s="1" t="s">
        <v>1364</v>
      </c>
      <c r="J1" s="1" t="s">
        <v>1363</v>
      </c>
      <c r="K1" s="1" t="s">
        <v>1362</v>
      </c>
      <c r="L1" s="1" t="s">
        <v>1361</v>
      </c>
      <c r="M1" s="1" t="s">
        <v>1360</v>
      </c>
      <c r="N1" s="1" t="s">
        <v>1359</v>
      </c>
      <c r="O1" s="1" t="s">
        <v>1358</v>
      </c>
      <c r="P1" s="1" t="s">
        <v>1357</v>
      </c>
      <c r="Q1" s="1" t="s">
        <v>1356</v>
      </c>
      <c r="R1" s="1" t="s">
        <v>1355</v>
      </c>
      <c r="S1" s="1" t="s">
        <v>1354</v>
      </c>
      <c r="T1" s="1" t="s">
        <v>1353</v>
      </c>
      <c r="U1" s="29" t="s">
        <v>1452</v>
      </c>
      <c r="V1" s="29" t="s">
        <v>1453</v>
      </c>
    </row>
    <row r="2" spans="1:22" x14ac:dyDescent="0.25">
      <c r="A2" s="32">
        <v>0</v>
      </c>
      <c r="B2" s="30" t="s">
        <v>4</v>
      </c>
      <c r="C2" s="30">
        <v>1</v>
      </c>
      <c r="D2" s="30" t="s">
        <v>1352</v>
      </c>
      <c r="E2" s="30" t="s">
        <v>1351</v>
      </c>
      <c r="F2" s="30"/>
      <c r="G2" s="30" t="s">
        <v>26</v>
      </c>
      <c r="H2" s="30"/>
      <c r="I2" s="30">
        <v>0</v>
      </c>
      <c r="J2" s="30">
        <v>0</v>
      </c>
      <c r="K2" s="30">
        <v>0</v>
      </c>
      <c r="L2" s="30">
        <v>0</v>
      </c>
      <c r="M2" s="30">
        <v>0</v>
      </c>
      <c r="N2" s="30">
        <v>0</v>
      </c>
      <c r="O2" s="30">
        <v>1</v>
      </c>
      <c r="P2" s="30">
        <v>0</v>
      </c>
      <c r="Q2" s="30">
        <v>0</v>
      </c>
      <c r="R2" s="30"/>
      <c r="S2" s="30"/>
      <c r="T2" s="30" t="s">
        <v>1350</v>
      </c>
      <c r="U2">
        <f>IFERROR(VLOOKUP(C2,Hoja4!$D$4:$E$273,2,FALSE),0)</f>
        <v>0</v>
      </c>
      <c r="V2">
        <f>IFERROR(VLOOKUP(C2,Hoja4!$A$4:$B$273,2,FALSE),0)</f>
        <v>0</v>
      </c>
    </row>
    <row r="3" spans="1:22" x14ac:dyDescent="0.25">
      <c r="A3" s="33">
        <v>46048</v>
      </c>
      <c r="B3" s="31" t="s">
        <v>4</v>
      </c>
      <c r="C3" s="31">
        <v>2</v>
      </c>
      <c r="D3" s="31" t="s">
        <v>1349</v>
      </c>
      <c r="E3" s="31" t="s">
        <v>1349</v>
      </c>
      <c r="F3" s="31" t="s">
        <v>368</v>
      </c>
      <c r="G3" s="31" t="s">
        <v>1348</v>
      </c>
      <c r="H3" s="31">
        <v>3222340142</v>
      </c>
      <c r="I3" s="31">
        <v>1000</v>
      </c>
      <c r="J3" s="31">
        <v>1000</v>
      </c>
      <c r="K3" s="31">
        <v>1000</v>
      </c>
      <c r="L3" s="31">
        <v>1</v>
      </c>
      <c r="M3" s="31">
        <v>1</v>
      </c>
      <c r="N3" s="31">
        <v>46049</v>
      </c>
      <c r="O3" s="31">
        <v>2</v>
      </c>
      <c r="P3" s="31">
        <v>28000</v>
      </c>
      <c r="Q3" s="31">
        <v>1000</v>
      </c>
      <c r="R3" s="31">
        <v>28000</v>
      </c>
      <c r="S3" s="31" t="s">
        <v>1347</v>
      </c>
      <c r="T3" s="31"/>
      <c r="U3">
        <f>IFERROR(VLOOKUP(C3,Hoja4!$D$4:$E$273,2,FALSE),0)</f>
        <v>0</v>
      </c>
      <c r="V3">
        <f>IFERROR(VLOOKUP(C3,Hoja4!$A$4:$B$273,2,FALSE),0)</f>
        <v>0</v>
      </c>
    </row>
    <row r="4" spans="1:22" x14ac:dyDescent="0.25">
      <c r="A4" s="32"/>
      <c r="B4" s="30" t="s">
        <v>208</v>
      </c>
      <c r="C4" s="30">
        <v>3</v>
      </c>
      <c r="D4" s="30" t="s">
        <v>1346</v>
      </c>
      <c r="E4" s="30" t="s">
        <v>1346</v>
      </c>
      <c r="F4" s="30"/>
      <c r="G4" s="30" t="s">
        <v>1345</v>
      </c>
      <c r="H4" s="30">
        <v>3202199058</v>
      </c>
      <c r="I4" s="30">
        <v>70</v>
      </c>
      <c r="J4" s="30">
        <v>140</v>
      </c>
      <c r="K4" s="30">
        <v>980</v>
      </c>
      <c r="L4" s="30">
        <v>14</v>
      </c>
      <c r="M4" s="30">
        <v>7</v>
      </c>
      <c r="N4" s="30"/>
      <c r="O4" s="30">
        <v>3</v>
      </c>
      <c r="P4" s="30">
        <v>10204.08163265306</v>
      </c>
      <c r="Q4" s="30">
        <v>980</v>
      </c>
      <c r="R4" s="30">
        <v>10000</v>
      </c>
      <c r="S4" s="30" t="s">
        <v>1344</v>
      </c>
      <c r="T4" s="30"/>
      <c r="U4">
        <f>IFERROR(VLOOKUP(C4,Hoja4!$D$4:$E$273,2,FALSE),0)</f>
        <v>0</v>
      </c>
      <c r="V4">
        <f>IFERROR(VLOOKUP(C4,Hoja4!$A$4:$B$273,2,FALSE),0)</f>
        <v>0</v>
      </c>
    </row>
    <row r="5" spans="1:22" x14ac:dyDescent="0.25">
      <c r="A5" s="33">
        <v>46059</v>
      </c>
      <c r="B5" s="31" t="s">
        <v>63</v>
      </c>
      <c r="C5" s="31">
        <v>4</v>
      </c>
      <c r="D5" s="31" t="s">
        <v>1343</v>
      </c>
      <c r="E5" s="31" t="s">
        <v>1343</v>
      </c>
      <c r="F5" s="31"/>
      <c r="G5" s="31" t="s">
        <v>1342</v>
      </c>
      <c r="H5" s="31">
        <v>3115063260</v>
      </c>
      <c r="I5" s="31">
        <v>40</v>
      </c>
      <c r="J5" s="31">
        <v>40</v>
      </c>
      <c r="K5" s="31">
        <v>600</v>
      </c>
      <c r="L5" s="31">
        <v>15</v>
      </c>
      <c r="M5" s="31">
        <v>15</v>
      </c>
      <c r="N5" s="31">
        <v>46074</v>
      </c>
      <c r="O5" s="31">
        <v>4</v>
      </c>
      <c r="P5" s="31">
        <v>80000</v>
      </c>
      <c r="Q5" s="31">
        <v>600</v>
      </c>
      <c r="R5" s="31">
        <v>48000</v>
      </c>
      <c r="S5" s="31" t="s">
        <v>1341</v>
      </c>
      <c r="T5" s="31" t="s">
        <v>1340</v>
      </c>
      <c r="U5">
        <f>IFERROR(VLOOKUP(C5,Hoja4!$D$4:$E$273,2,FALSE),0)</f>
        <v>0</v>
      </c>
      <c r="V5">
        <f>IFERROR(VLOOKUP(C5,Hoja4!$A$4:$B$273,2,FALSE),0)</f>
        <v>0</v>
      </c>
    </row>
    <row r="6" spans="1:22" x14ac:dyDescent="0.25">
      <c r="A6" s="32">
        <v>46069</v>
      </c>
      <c r="B6" s="30" t="s">
        <v>63</v>
      </c>
      <c r="C6" s="30">
        <v>5</v>
      </c>
      <c r="D6" s="30" t="s">
        <v>1339</v>
      </c>
      <c r="E6" s="30" t="s">
        <v>1339</v>
      </c>
      <c r="F6" s="30"/>
      <c r="G6" s="30" t="s">
        <v>1338</v>
      </c>
      <c r="H6" s="30">
        <v>3025162129</v>
      </c>
      <c r="I6" s="30">
        <v>295</v>
      </c>
      <c r="J6" s="30">
        <v>590</v>
      </c>
      <c r="K6" s="30">
        <v>8850</v>
      </c>
      <c r="L6" s="30">
        <v>30</v>
      </c>
      <c r="M6" s="30">
        <v>15</v>
      </c>
      <c r="N6" s="30">
        <v>46084</v>
      </c>
      <c r="O6" s="30">
        <v>5</v>
      </c>
      <c r="P6" s="30">
        <v>29259.887005649722</v>
      </c>
      <c r="Q6" s="30">
        <v>8850</v>
      </c>
      <c r="R6" s="30">
        <v>258950</v>
      </c>
      <c r="S6" s="30" t="s">
        <v>1337</v>
      </c>
      <c r="T6" s="30" t="s">
        <v>1336</v>
      </c>
      <c r="U6">
        <f>IFERROR(VLOOKUP(C6,Hoja4!$D$4:$E$273,2,FALSE),0)</f>
        <v>258950</v>
      </c>
      <c r="V6">
        <f>IFERROR(VLOOKUP(C6,Hoja4!$A$4:$B$273,2,FALSE),0)</f>
        <v>0</v>
      </c>
    </row>
    <row r="7" spans="1:22" x14ac:dyDescent="0.25">
      <c r="A7" s="33"/>
      <c r="B7" s="31" t="s">
        <v>208</v>
      </c>
      <c r="C7" s="31">
        <v>6</v>
      </c>
      <c r="D7" s="31" t="s">
        <v>1335</v>
      </c>
      <c r="E7" s="31" t="s">
        <v>1335</v>
      </c>
      <c r="F7" s="31"/>
      <c r="G7" s="31" t="s">
        <v>1334</v>
      </c>
      <c r="H7" s="31">
        <v>3047592006</v>
      </c>
      <c r="I7" s="31">
        <v>120</v>
      </c>
      <c r="J7" s="31">
        <v>240</v>
      </c>
      <c r="K7" s="31">
        <v>3600</v>
      </c>
      <c r="L7" s="31">
        <v>30</v>
      </c>
      <c r="M7" s="31">
        <v>15</v>
      </c>
      <c r="N7" s="31"/>
      <c r="O7" s="31">
        <v>6</v>
      </c>
      <c r="P7" s="31">
        <v>41833.333333333336</v>
      </c>
      <c r="Q7" s="31">
        <v>3600</v>
      </c>
      <c r="R7" s="31">
        <v>150600</v>
      </c>
      <c r="S7" s="31" t="s">
        <v>1333</v>
      </c>
      <c r="T7" s="31"/>
      <c r="U7">
        <f>IFERROR(VLOOKUP(C7,Hoja4!$D$4:$E$273,2,FALSE),0)</f>
        <v>0</v>
      </c>
      <c r="V7">
        <f>IFERROR(VLOOKUP(C7,Hoja4!$A$4:$B$273,2,FALSE),0)</f>
        <v>0</v>
      </c>
    </row>
    <row r="8" spans="1:22" x14ac:dyDescent="0.25">
      <c r="A8" s="32">
        <v>46071</v>
      </c>
      <c r="B8" s="30" t="s">
        <v>63</v>
      </c>
      <c r="C8" s="30">
        <v>7</v>
      </c>
      <c r="D8" s="30" t="s">
        <v>1332</v>
      </c>
      <c r="E8" s="30" t="s">
        <v>1332</v>
      </c>
      <c r="F8" s="30"/>
      <c r="G8" s="30" t="s">
        <v>1331</v>
      </c>
      <c r="H8" s="30">
        <v>3007948969</v>
      </c>
      <c r="I8" s="30">
        <v>150</v>
      </c>
      <c r="J8" s="30">
        <v>150</v>
      </c>
      <c r="K8" s="30">
        <v>4950</v>
      </c>
      <c r="L8" s="30">
        <v>33</v>
      </c>
      <c r="M8" s="30">
        <v>33</v>
      </c>
      <c r="N8" s="30">
        <v>46104</v>
      </c>
      <c r="O8" s="30">
        <v>7</v>
      </c>
      <c r="P8" s="30">
        <v>26000</v>
      </c>
      <c r="Q8" s="30">
        <v>4950</v>
      </c>
      <c r="R8" s="30">
        <v>128700</v>
      </c>
      <c r="S8" s="30" t="s">
        <v>1330</v>
      </c>
      <c r="T8" s="30" t="s">
        <v>1329</v>
      </c>
      <c r="U8">
        <f>IFERROR(VLOOKUP(C8,Hoja4!$D$4:$E$273,2,FALSE),0)</f>
        <v>0</v>
      </c>
      <c r="V8">
        <f>IFERROR(VLOOKUP(C8,Hoja4!$A$4:$B$273,2,FALSE),0)</f>
        <v>0</v>
      </c>
    </row>
    <row r="9" spans="1:22" x14ac:dyDescent="0.25">
      <c r="A9" s="33">
        <v>46065</v>
      </c>
      <c r="B9" s="31" t="s">
        <v>63</v>
      </c>
      <c r="C9" s="31">
        <v>8</v>
      </c>
      <c r="D9" s="31" t="s">
        <v>1328</v>
      </c>
      <c r="E9" s="31" t="s">
        <v>1328</v>
      </c>
      <c r="F9" s="31"/>
      <c r="G9" s="31" t="s">
        <v>1327</v>
      </c>
      <c r="H9" s="31">
        <v>3504424814</v>
      </c>
      <c r="I9" s="31">
        <v>100</v>
      </c>
      <c r="J9" s="31">
        <v>300</v>
      </c>
      <c r="K9" s="31">
        <v>3000</v>
      </c>
      <c r="L9" s="31">
        <v>30</v>
      </c>
      <c r="M9" s="31">
        <v>10</v>
      </c>
      <c r="N9" s="31">
        <v>46075</v>
      </c>
      <c r="O9" s="31">
        <v>8</v>
      </c>
      <c r="P9" s="31">
        <v>29000</v>
      </c>
      <c r="Q9" s="31">
        <v>3000</v>
      </c>
      <c r="R9" s="31">
        <v>87000</v>
      </c>
      <c r="S9" s="31" t="s">
        <v>1326</v>
      </c>
      <c r="T9" s="31" t="s">
        <v>13</v>
      </c>
      <c r="U9">
        <f>IFERROR(VLOOKUP(C9,Hoja4!$D$4:$E$273,2,FALSE),0)</f>
        <v>162000</v>
      </c>
      <c r="V9">
        <f>IFERROR(VLOOKUP(C9,Hoja4!$A$4:$B$273,2,FALSE),0)</f>
        <v>0</v>
      </c>
    </row>
    <row r="10" spans="1:22" x14ac:dyDescent="0.25">
      <c r="A10" s="32">
        <v>46066</v>
      </c>
      <c r="B10" s="30" t="s">
        <v>63</v>
      </c>
      <c r="C10" s="30">
        <v>10</v>
      </c>
      <c r="D10" s="30" t="s">
        <v>1325</v>
      </c>
      <c r="E10" s="30" t="s">
        <v>1324</v>
      </c>
      <c r="F10" s="30"/>
      <c r="G10" s="30" t="s">
        <v>1323</v>
      </c>
      <c r="H10" s="30">
        <v>3508196809</v>
      </c>
      <c r="I10" s="30">
        <v>120</v>
      </c>
      <c r="J10" s="30">
        <v>240</v>
      </c>
      <c r="K10" s="30">
        <v>3600</v>
      </c>
      <c r="L10" s="30">
        <v>30</v>
      </c>
      <c r="M10" s="30">
        <v>15</v>
      </c>
      <c r="N10" s="30">
        <v>46081</v>
      </c>
      <c r="O10" s="30">
        <v>10</v>
      </c>
      <c r="P10" s="30">
        <v>32000</v>
      </c>
      <c r="Q10" s="30">
        <v>3600</v>
      </c>
      <c r="R10" s="30">
        <v>115200</v>
      </c>
      <c r="S10" s="30" t="s">
        <v>1322</v>
      </c>
      <c r="T10" s="30" t="s">
        <v>1321</v>
      </c>
      <c r="U10">
        <f>IFERROR(VLOOKUP(C10,Hoja4!$D$4:$E$273,2,FALSE),0)</f>
        <v>115199</v>
      </c>
      <c r="V10">
        <f>IFERROR(VLOOKUP(C10,Hoja4!$A$4:$B$273,2,FALSE),0)</f>
        <v>0</v>
      </c>
    </row>
    <row r="11" spans="1:22" x14ac:dyDescent="0.25">
      <c r="A11" s="33"/>
      <c r="B11" s="31" t="s">
        <v>208</v>
      </c>
      <c r="C11" s="31">
        <v>11</v>
      </c>
      <c r="D11" s="31" t="s">
        <v>1320</v>
      </c>
      <c r="E11" s="31" t="s">
        <v>1320</v>
      </c>
      <c r="F11" s="31"/>
      <c r="G11" s="31" t="s">
        <v>1319</v>
      </c>
      <c r="H11" s="31">
        <v>3118935628</v>
      </c>
      <c r="I11" s="31">
        <v>230</v>
      </c>
      <c r="J11" s="31">
        <v>460</v>
      </c>
      <c r="K11" s="31">
        <v>6900</v>
      </c>
      <c r="L11" s="31">
        <v>30</v>
      </c>
      <c r="M11" s="31">
        <v>15</v>
      </c>
      <c r="N11" s="31"/>
      <c r="O11" s="31">
        <v>11</v>
      </c>
      <c r="P11" s="31">
        <v>20507.246376811592</v>
      </c>
      <c r="Q11" s="31">
        <v>6900</v>
      </c>
      <c r="R11" s="31">
        <v>141500</v>
      </c>
      <c r="S11" s="31" t="s">
        <v>1318</v>
      </c>
      <c r="T11" s="31" t="s">
        <v>1317</v>
      </c>
      <c r="U11">
        <f>IFERROR(VLOOKUP(C11,Hoja4!$D$4:$E$273,2,FALSE),0)</f>
        <v>0</v>
      </c>
      <c r="V11">
        <f>IFERROR(VLOOKUP(C11,Hoja4!$A$4:$B$273,2,FALSE),0)</f>
        <v>0</v>
      </c>
    </row>
    <row r="12" spans="1:22" x14ac:dyDescent="0.25">
      <c r="A12" s="32">
        <v>46069</v>
      </c>
      <c r="B12" s="30" t="s">
        <v>63</v>
      </c>
      <c r="C12" s="30">
        <v>12</v>
      </c>
      <c r="D12" s="30" t="s">
        <v>1316</v>
      </c>
      <c r="E12" s="30" t="s">
        <v>1316</v>
      </c>
      <c r="F12" s="30"/>
      <c r="G12" s="30" t="s">
        <v>1315</v>
      </c>
      <c r="H12" s="30">
        <v>3223747738</v>
      </c>
      <c r="I12" s="30">
        <v>150</v>
      </c>
      <c r="J12" s="30">
        <v>150</v>
      </c>
      <c r="K12" s="30">
        <v>2250</v>
      </c>
      <c r="L12" s="30">
        <v>15</v>
      </c>
      <c r="M12" s="30">
        <v>15</v>
      </c>
      <c r="N12" s="30">
        <v>46084</v>
      </c>
      <c r="O12" s="30">
        <v>12</v>
      </c>
      <c r="P12" s="30">
        <v>25000</v>
      </c>
      <c r="Q12" s="30">
        <v>2250</v>
      </c>
      <c r="R12" s="30">
        <v>56250</v>
      </c>
      <c r="S12" s="30" t="s">
        <v>1160</v>
      </c>
      <c r="T12" s="30" t="s">
        <v>1314</v>
      </c>
      <c r="U12">
        <f>IFERROR(VLOOKUP(C12,Hoja4!$D$4:$E$273,2,FALSE),0)</f>
        <v>71750</v>
      </c>
      <c r="V12">
        <f>IFERROR(VLOOKUP(C12,Hoja4!$A$4:$B$273,2,FALSE),0)</f>
        <v>0</v>
      </c>
    </row>
    <row r="13" spans="1:22" x14ac:dyDescent="0.25">
      <c r="A13" s="33"/>
      <c r="B13" s="31" t="s">
        <v>208</v>
      </c>
      <c r="C13" s="31">
        <v>13</v>
      </c>
      <c r="D13" s="31" t="s">
        <v>1313</v>
      </c>
      <c r="E13" s="31" t="s">
        <v>1313</v>
      </c>
      <c r="F13" s="31"/>
      <c r="G13" s="31" t="s">
        <v>1312</v>
      </c>
      <c r="H13" s="31">
        <v>3103237451</v>
      </c>
      <c r="I13" s="31">
        <v>215</v>
      </c>
      <c r="J13" s="31">
        <v>430</v>
      </c>
      <c r="K13" s="31">
        <v>3010</v>
      </c>
      <c r="L13" s="31">
        <v>14</v>
      </c>
      <c r="M13" s="31">
        <v>7</v>
      </c>
      <c r="N13" s="31"/>
      <c r="O13" s="31">
        <v>13</v>
      </c>
      <c r="P13" s="31">
        <v>34784.053156146176</v>
      </c>
      <c r="Q13" s="31">
        <v>3010</v>
      </c>
      <c r="R13" s="31">
        <v>104700</v>
      </c>
      <c r="S13" s="31" t="s">
        <v>1311</v>
      </c>
      <c r="T13" s="31" t="s">
        <v>1310</v>
      </c>
      <c r="U13">
        <f>IFERROR(VLOOKUP(C13,Hoja4!$D$4:$E$273,2,FALSE),0)</f>
        <v>0</v>
      </c>
      <c r="V13">
        <f>IFERROR(VLOOKUP(C13,Hoja4!$A$4:$B$273,2,FALSE),0)</f>
        <v>0</v>
      </c>
    </row>
    <row r="14" spans="1:22" x14ac:dyDescent="0.25">
      <c r="A14" s="32">
        <v>46057</v>
      </c>
      <c r="B14" s="30" t="s">
        <v>63</v>
      </c>
      <c r="C14" s="30">
        <v>14</v>
      </c>
      <c r="D14" s="30" t="s">
        <v>1309</v>
      </c>
      <c r="E14" s="30" t="s">
        <v>1309</v>
      </c>
      <c r="F14" s="30"/>
      <c r="G14" s="30" t="s">
        <v>1308</v>
      </c>
      <c r="H14" s="30">
        <v>3138121836</v>
      </c>
      <c r="I14" s="30">
        <v>210</v>
      </c>
      <c r="J14" s="30">
        <v>210</v>
      </c>
      <c r="K14" s="30">
        <v>3150</v>
      </c>
      <c r="L14" s="30">
        <v>15</v>
      </c>
      <c r="M14" s="30">
        <v>15</v>
      </c>
      <c r="N14" s="30">
        <v>46072</v>
      </c>
      <c r="O14" s="30">
        <v>14</v>
      </c>
      <c r="P14" s="30">
        <v>31050</v>
      </c>
      <c r="Q14" s="30">
        <v>3150</v>
      </c>
      <c r="R14" s="30">
        <v>97807.5</v>
      </c>
      <c r="S14" s="30" t="s">
        <v>1307</v>
      </c>
      <c r="T14" s="30" t="s">
        <v>1306</v>
      </c>
      <c r="U14">
        <f>IFERROR(VLOOKUP(C14,Hoja4!$D$4:$E$273,2,FALSE),0)</f>
        <v>8</v>
      </c>
      <c r="V14">
        <f>IFERROR(VLOOKUP(C14,Hoja4!$A$4:$B$273,2,FALSE),0)</f>
        <v>0</v>
      </c>
    </row>
    <row r="15" spans="1:22" x14ac:dyDescent="0.25">
      <c r="A15" s="33">
        <v>46071</v>
      </c>
      <c r="B15" s="31" t="s">
        <v>63</v>
      </c>
      <c r="C15" s="31">
        <v>15</v>
      </c>
      <c r="D15" s="31" t="s">
        <v>1305</v>
      </c>
      <c r="E15" s="31" t="s">
        <v>1305</v>
      </c>
      <c r="F15" s="31"/>
      <c r="G15" s="31" t="s">
        <v>1304</v>
      </c>
      <c r="H15" s="31">
        <v>3002759952</v>
      </c>
      <c r="I15" s="31">
        <v>185</v>
      </c>
      <c r="J15" s="31">
        <v>370</v>
      </c>
      <c r="K15" s="31">
        <v>5550</v>
      </c>
      <c r="L15" s="31">
        <v>30</v>
      </c>
      <c r="M15" s="31">
        <v>15</v>
      </c>
      <c r="N15" s="31">
        <v>46086</v>
      </c>
      <c r="O15" s="31">
        <v>15</v>
      </c>
      <c r="P15" s="31">
        <v>27405.405405405407</v>
      </c>
      <c r="Q15" s="31">
        <v>5550</v>
      </c>
      <c r="R15" s="31">
        <v>152100</v>
      </c>
      <c r="S15" s="31" t="s">
        <v>1303</v>
      </c>
      <c r="T15" s="31" t="s">
        <v>1302</v>
      </c>
      <c r="U15">
        <f>IFERROR(VLOOKUP(C15,Hoja4!$D$4:$E$273,2,FALSE),0)</f>
        <v>304200</v>
      </c>
      <c r="V15">
        <f>IFERROR(VLOOKUP(C15,Hoja4!$A$4:$B$273,2,FALSE),0)</f>
        <v>0</v>
      </c>
    </row>
    <row r="16" spans="1:22" x14ac:dyDescent="0.25">
      <c r="A16" s="32">
        <v>46057</v>
      </c>
      <c r="B16" s="30" t="s">
        <v>63</v>
      </c>
      <c r="C16" s="30">
        <v>17</v>
      </c>
      <c r="D16" s="30" t="s">
        <v>1301</v>
      </c>
      <c r="E16" s="30" t="s">
        <v>1301</v>
      </c>
      <c r="F16" s="30"/>
      <c r="G16" s="30" t="s">
        <v>1300</v>
      </c>
      <c r="H16" s="30">
        <v>3145768568</v>
      </c>
      <c r="I16" s="30">
        <v>105</v>
      </c>
      <c r="J16" s="30">
        <v>210</v>
      </c>
      <c r="K16" s="30">
        <v>3150</v>
      </c>
      <c r="L16" s="30">
        <v>30</v>
      </c>
      <c r="M16" s="30">
        <v>15</v>
      </c>
      <c r="N16" s="30">
        <v>46072</v>
      </c>
      <c r="O16" s="30">
        <v>17</v>
      </c>
      <c r="P16" s="30">
        <v>39000</v>
      </c>
      <c r="Q16" s="30">
        <v>3150</v>
      </c>
      <c r="R16" s="30">
        <v>122850</v>
      </c>
      <c r="S16" s="30" t="s">
        <v>1299</v>
      </c>
      <c r="T16" s="30" t="s">
        <v>1298</v>
      </c>
      <c r="U16">
        <f>IFERROR(VLOOKUP(C16,Hoja4!$D$4:$E$273,2,FALSE),0)</f>
        <v>0</v>
      </c>
      <c r="V16">
        <f>IFERROR(VLOOKUP(C16,Hoja4!$A$4:$B$273,2,FALSE),0)</f>
        <v>150</v>
      </c>
    </row>
    <row r="17" spans="1:22" x14ac:dyDescent="0.25">
      <c r="A17" s="33">
        <v>46071</v>
      </c>
      <c r="B17" s="31" t="s">
        <v>63</v>
      </c>
      <c r="C17" s="31">
        <v>18</v>
      </c>
      <c r="D17" s="31" t="s">
        <v>1297</v>
      </c>
      <c r="E17" s="31" t="s">
        <v>1297</v>
      </c>
      <c r="F17" s="31"/>
      <c r="G17" s="31" t="s">
        <v>1296</v>
      </c>
      <c r="H17" s="31">
        <v>3162702464</v>
      </c>
      <c r="I17" s="31">
        <v>90</v>
      </c>
      <c r="J17" s="31">
        <v>180</v>
      </c>
      <c r="K17" s="31">
        <v>2700</v>
      </c>
      <c r="L17" s="31">
        <v>30</v>
      </c>
      <c r="M17" s="31">
        <v>15</v>
      </c>
      <c r="N17" s="31">
        <v>46086</v>
      </c>
      <c r="O17" s="31">
        <v>18</v>
      </c>
      <c r="P17" s="31">
        <v>40000</v>
      </c>
      <c r="Q17" s="31">
        <v>2700</v>
      </c>
      <c r="R17" s="31">
        <v>108000</v>
      </c>
      <c r="S17" s="31" t="s">
        <v>1295</v>
      </c>
      <c r="T17" s="31" t="s">
        <v>1294</v>
      </c>
      <c r="U17">
        <f>IFERROR(VLOOKUP(C17,Hoja4!$D$4:$E$273,2,FALSE),0)</f>
        <v>324000</v>
      </c>
      <c r="V17">
        <f>IFERROR(VLOOKUP(C17,Hoja4!$A$4:$B$273,2,FALSE),0)</f>
        <v>0</v>
      </c>
    </row>
    <row r="18" spans="1:22" x14ac:dyDescent="0.25">
      <c r="A18" s="32">
        <v>46066</v>
      </c>
      <c r="B18" s="30" t="s">
        <v>63</v>
      </c>
      <c r="C18" s="30">
        <v>19</v>
      </c>
      <c r="D18" s="30" t="s">
        <v>1293</v>
      </c>
      <c r="E18" s="30" t="s">
        <v>1293</v>
      </c>
      <c r="F18" s="30"/>
      <c r="G18" s="30" t="s">
        <v>1292</v>
      </c>
      <c r="H18" s="30">
        <v>3204743810</v>
      </c>
      <c r="I18" s="30">
        <v>55</v>
      </c>
      <c r="J18" s="30">
        <v>110</v>
      </c>
      <c r="K18" s="30">
        <v>1650</v>
      </c>
      <c r="L18" s="30">
        <v>30</v>
      </c>
      <c r="M18" s="30">
        <v>15</v>
      </c>
      <c r="N18" s="30">
        <v>46081</v>
      </c>
      <c r="O18" s="30">
        <v>19</v>
      </c>
      <c r="P18" s="30">
        <v>51515.151515151512</v>
      </c>
      <c r="Q18" s="30">
        <v>1650</v>
      </c>
      <c r="R18" s="30">
        <v>85000</v>
      </c>
      <c r="S18" s="30" t="s">
        <v>1291</v>
      </c>
      <c r="T18" s="30" t="s">
        <v>1290</v>
      </c>
      <c r="U18">
        <f>IFERROR(VLOOKUP(C18,Hoja4!$D$4:$E$273,2,FALSE),0)</f>
        <v>0</v>
      </c>
      <c r="V18">
        <f>IFERROR(VLOOKUP(C18,Hoja4!$A$4:$B$273,2,FALSE),0)</f>
        <v>0</v>
      </c>
    </row>
    <row r="19" spans="1:22" x14ac:dyDescent="0.25">
      <c r="A19" s="33"/>
      <c r="B19" s="31" t="s">
        <v>208</v>
      </c>
      <c r="C19" s="31">
        <v>20</v>
      </c>
      <c r="D19" s="31" t="s">
        <v>1289</v>
      </c>
      <c r="E19" s="31" t="s">
        <v>1289</v>
      </c>
      <c r="F19" s="31"/>
      <c r="G19" s="31" t="s">
        <v>1288</v>
      </c>
      <c r="H19" s="31">
        <v>3206393433</v>
      </c>
      <c r="I19" s="31">
        <v>54</v>
      </c>
      <c r="J19" s="31">
        <v>160</v>
      </c>
      <c r="K19" s="31">
        <v>1120</v>
      </c>
      <c r="L19" s="31">
        <v>20.74074074074074</v>
      </c>
      <c r="M19" s="31">
        <v>7</v>
      </c>
      <c r="N19" s="31"/>
      <c r="O19" s="31">
        <v>20</v>
      </c>
      <c r="P19" s="31">
        <v>8928.5714285714294</v>
      </c>
      <c r="Q19" s="31">
        <v>1120</v>
      </c>
      <c r="R19" s="31">
        <v>10000</v>
      </c>
      <c r="S19" s="31" t="s">
        <v>1287</v>
      </c>
      <c r="T19" s="31"/>
      <c r="U19">
        <f>IFERROR(VLOOKUP(C19,Hoja4!$D$4:$E$273,2,FALSE),0)</f>
        <v>0</v>
      </c>
      <c r="V19">
        <f>IFERROR(VLOOKUP(C19,Hoja4!$A$4:$B$273,2,FALSE),0)</f>
        <v>0</v>
      </c>
    </row>
    <row r="20" spans="1:22" x14ac:dyDescent="0.25">
      <c r="A20" s="32"/>
      <c r="B20" s="30" t="s">
        <v>208</v>
      </c>
      <c r="C20" s="30">
        <v>21</v>
      </c>
      <c r="D20" s="30" t="s">
        <v>1286</v>
      </c>
      <c r="E20" s="30" t="s">
        <v>1286</v>
      </c>
      <c r="F20" s="30"/>
      <c r="G20" s="30" t="s">
        <v>1285</v>
      </c>
      <c r="H20" s="30">
        <v>3504520899</v>
      </c>
      <c r="I20" s="30">
        <v>117</v>
      </c>
      <c r="J20" s="30">
        <v>350</v>
      </c>
      <c r="K20" s="30">
        <v>5250</v>
      </c>
      <c r="L20" s="30">
        <v>44.871794871794869</v>
      </c>
      <c r="M20" s="30">
        <v>15</v>
      </c>
      <c r="N20" s="30"/>
      <c r="O20" s="30">
        <v>21</v>
      </c>
      <c r="P20" s="30">
        <v>36571.428571428572</v>
      </c>
      <c r="Q20" s="30">
        <v>5250</v>
      </c>
      <c r="R20" s="30">
        <v>192000</v>
      </c>
      <c r="S20" s="30" t="s">
        <v>1284</v>
      </c>
      <c r="T20" s="30" t="s">
        <v>1283</v>
      </c>
      <c r="U20">
        <f>IFERROR(VLOOKUP(C20,Hoja4!$D$4:$E$273,2,FALSE),0)</f>
        <v>192000</v>
      </c>
      <c r="V20">
        <f>IFERROR(VLOOKUP(C20,Hoja4!$A$4:$B$273,2,FALSE),0)</f>
        <v>0</v>
      </c>
    </row>
    <row r="21" spans="1:22" x14ac:dyDescent="0.25">
      <c r="A21" s="33">
        <v>46069</v>
      </c>
      <c r="B21" s="31" t="s">
        <v>63</v>
      </c>
      <c r="C21" s="31">
        <v>22</v>
      </c>
      <c r="D21" s="31" t="s">
        <v>1282</v>
      </c>
      <c r="E21" s="31" t="s">
        <v>1282</v>
      </c>
      <c r="F21" s="31"/>
      <c r="G21" s="31" t="s">
        <v>1281</v>
      </c>
      <c r="H21" s="31">
        <v>3154842369</v>
      </c>
      <c r="I21" s="31">
        <v>200</v>
      </c>
      <c r="J21" s="31">
        <v>200</v>
      </c>
      <c r="K21" s="31">
        <v>3000</v>
      </c>
      <c r="L21" s="31">
        <v>15</v>
      </c>
      <c r="M21" s="31">
        <v>15</v>
      </c>
      <c r="N21" s="31">
        <v>46084</v>
      </c>
      <c r="O21" s="31">
        <v>22</v>
      </c>
      <c r="P21" s="31">
        <v>23983.333333333336</v>
      </c>
      <c r="Q21" s="31">
        <v>3000</v>
      </c>
      <c r="R21" s="31">
        <v>71950</v>
      </c>
      <c r="S21" s="31" t="s">
        <v>1280</v>
      </c>
      <c r="T21" s="31" t="s">
        <v>1279</v>
      </c>
      <c r="U21">
        <f>IFERROR(VLOOKUP(C21,Hoja4!$D$4:$E$273,2,FALSE),0)</f>
        <v>0</v>
      </c>
      <c r="V21">
        <f>IFERROR(VLOOKUP(C21,Hoja4!$A$4:$B$273,2,FALSE),0)</f>
        <v>30001</v>
      </c>
    </row>
    <row r="22" spans="1:22" x14ac:dyDescent="0.25">
      <c r="A22" s="32">
        <v>46065</v>
      </c>
      <c r="B22" s="30" t="s">
        <v>63</v>
      </c>
      <c r="C22" s="30">
        <v>23</v>
      </c>
      <c r="D22" s="30" t="s">
        <v>1278</v>
      </c>
      <c r="E22" s="30" t="s">
        <v>1278</v>
      </c>
      <c r="F22" s="30"/>
      <c r="G22" s="30" t="s">
        <v>1277</v>
      </c>
      <c r="H22" s="30">
        <v>3016592951</v>
      </c>
      <c r="I22" s="30">
        <v>45</v>
      </c>
      <c r="J22" s="30">
        <v>135</v>
      </c>
      <c r="K22" s="30">
        <v>2025</v>
      </c>
      <c r="L22" s="30">
        <v>45</v>
      </c>
      <c r="M22" s="30">
        <v>15</v>
      </c>
      <c r="N22" s="30">
        <v>46080</v>
      </c>
      <c r="O22" s="30">
        <v>23</v>
      </c>
      <c r="P22" s="30">
        <v>44000</v>
      </c>
      <c r="Q22" s="30">
        <v>2025</v>
      </c>
      <c r="R22" s="30">
        <v>89100</v>
      </c>
      <c r="S22" s="30" t="s">
        <v>1276</v>
      </c>
      <c r="T22" s="30" t="s">
        <v>1275</v>
      </c>
      <c r="U22">
        <f>IFERROR(VLOOKUP(C22,Hoja4!$D$4:$E$273,2,FALSE),0)</f>
        <v>0</v>
      </c>
      <c r="V22">
        <f>IFERROR(VLOOKUP(C22,Hoja4!$A$4:$B$273,2,FALSE),0)</f>
        <v>0</v>
      </c>
    </row>
    <row r="23" spans="1:22" x14ac:dyDescent="0.25">
      <c r="A23" s="33">
        <v>46069</v>
      </c>
      <c r="B23" s="31" t="s">
        <v>63</v>
      </c>
      <c r="C23" s="31">
        <v>24</v>
      </c>
      <c r="D23" s="31" t="s">
        <v>1274</v>
      </c>
      <c r="E23" s="31" t="s">
        <v>1274</v>
      </c>
      <c r="F23" s="31"/>
      <c r="G23" s="31" t="s">
        <v>1273</v>
      </c>
      <c r="H23" s="31">
        <v>3134550773</v>
      </c>
      <c r="I23" s="31">
        <v>60</v>
      </c>
      <c r="J23" s="31">
        <v>180</v>
      </c>
      <c r="K23" s="31">
        <v>2700</v>
      </c>
      <c r="L23" s="31">
        <v>45</v>
      </c>
      <c r="M23" s="31">
        <v>15</v>
      </c>
      <c r="N23" s="31">
        <v>46084</v>
      </c>
      <c r="O23" s="31">
        <v>24</v>
      </c>
      <c r="P23" s="31">
        <v>27777.777777777777</v>
      </c>
      <c r="Q23" s="31">
        <v>2700</v>
      </c>
      <c r="R23" s="31">
        <v>75000</v>
      </c>
      <c r="S23" s="31" t="s">
        <v>1272</v>
      </c>
      <c r="T23" s="31"/>
      <c r="U23">
        <f>IFERROR(VLOOKUP(C23,Hoja4!$D$4:$E$273,2,FALSE),0)</f>
        <v>0</v>
      </c>
      <c r="V23">
        <f>IFERROR(VLOOKUP(C23,Hoja4!$A$4:$B$273,2,FALSE),0)</f>
        <v>12000</v>
      </c>
    </row>
    <row r="24" spans="1:22" x14ac:dyDescent="0.25">
      <c r="A24" s="32"/>
      <c r="B24" s="30" t="s">
        <v>208</v>
      </c>
      <c r="C24" s="30">
        <v>25</v>
      </c>
      <c r="D24" s="30" t="s">
        <v>1271</v>
      </c>
      <c r="E24" s="30" t="s">
        <v>1270</v>
      </c>
      <c r="F24" s="30"/>
      <c r="G24" s="30" t="s">
        <v>1269</v>
      </c>
      <c r="H24" s="30">
        <v>3176798013</v>
      </c>
      <c r="I24" s="30">
        <v>75</v>
      </c>
      <c r="J24" s="30">
        <v>150</v>
      </c>
      <c r="K24" s="30">
        <v>1050</v>
      </c>
      <c r="L24" s="30">
        <v>14</v>
      </c>
      <c r="M24" s="30">
        <v>7</v>
      </c>
      <c r="N24" s="30"/>
      <c r="O24" s="30">
        <v>25</v>
      </c>
      <c r="P24" s="30">
        <v>41428.571428571428</v>
      </c>
      <c r="Q24" s="30">
        <v>1050</v>
      </c>
      <c r="R24" s="30">
        <v>43500</v>
      </c>
      <c r="S24" s="30" t="s">
        <v>1268</v>
      </c>
      <c r="T24" s="30"/>
      <c r="U24">
        <f>IFERROR(VLOOKUP(C24,Hoja4!$D$4:$E$273,2,FALSE),0)</f>
        <v>0</v>
      </c>
      <c r="V24">
        <f>IFERROR(VLOOKUP(C24,Hoja4!$A$4:$B$273,2,FALSE),0)</f>
        <v>0</v>
      </c>
    </row>
    <row r="25" spans="1:22" x14ac:dyDescent="0.25">
      <c r="A25" s="33">
        <v>46070</v>
      </c>
      <c r="B25" s="31" t="s">
        <v>63</v>
      </c>
      <c r="C25" s="31">
        <v>26</v>
      </c>
      <c r="D25" s="31" t="s">
        <v>1267</v>
      </c>
      <c r="E25" s="31" t="s">
        <v>1267</v>
      </c>
      <c r="F25" s="31"/>
      <c r="G25" s="31" t="s">
        <v>1266</v>
      </c>
      <c r="H25" s="31">
        <v>3133420908</v>
      </c>
      <c r="I25" s="31">
        <v>160</v>
      </c>
      <c r="J25" s="31">
        <v>160</v>
      </c>
      <c r="K25" s="31">
        <v>2400</v>
      </c>
      <c r="L25" s="31">
        <v>15</v>
      </c>
      <c r="M25" s="31">
        <v>15</v>
      </c>
      <c r="N25" s="31">
        <v>46085</v>
      </c>
      <c r="O25" s="31">
        <v>26</v>
      </c>
      <c r="P25" s="31">
        <v>39000</v>
      </c>
      <c r="Q25" s="31">
        <v>2400</v>
      </c>
      <c r="R25" s="31">
        <v>93600</v>
      </c>
      <c r="S25" s="31" t="s">
        <v>1265</v>
      </c>
      <c r="T25" s="31" t="s">
        <v>1264</v>
      </c>
      <c r="U25">
        <f>IFERROR(VLOOKUP(C25,Hoja4!$D$4:$E$273,2,FALSE),0)</f>
        <v>93600</v>
      </c>
      <c r="V25">
        <f>IFERROR(VLOOKUP(C25,Hoja4!$A$4:$B$273,2,FALSE),0)</f>
        <v>0</v>
      </c>
    </row>
    <row r="26" spans="1:22" x14ac:dyDescent="0.25">
      <c r="A26" s="32">
        <v>46055</v>
      </c>
      <c r="B26" s="30" t="s">
        <v>63</v>
      </c>
      <c r="C26" s="30">
        <v>27</v>
      </c>
      <c r="D26" s="30" t="s">
        <v>1263</v>
      </c>
      <c r="E26" s="30" t="s">
        <v>1263</v>
      </c>
      <c r="F26" s="30"/>
      <c r="G26" s="30" t="s">
        <v>1262</v>
      </c>
      <c r="H26" s="30">
        <v>3044699658</v>
      </c>
      <c r="I26" s="30">
        <v>150</v>
      </c>
      <c r="J26" s="30">
        <v>300</v>
      </c>
      <c r="K26" s="30">
        <v>4500</v>
      </c>
      <c r="L26" s="30">
        <v>30</v>
      </c>
      <c r="M26" s="30">
        <v>15</v>
      </c>
      <c r="N26" s="30">
        <v>46070</v>
      </c>
      <c r="O26" s="30">
        <v>27</v>
      </c>
      <c r="P26" s="30">
        <v>39000</v>
      </c>
      <c r="Q26" s="30">
        <v>4500</v>
      </c>
      <c r="R26" s="30">
        <v>175500</v>
      </c>
      <c r="S26" s="30" t="s">
        <v>1261</v>
      </c>
      <c r="T26" s="30" t="s">
        <v>1260</v>
      </c>
      <c r="U26">
        <f>IFERROR(VLOOKUP(C26,Hoja4!$D$4:$E$273,2,FALSE),0)</f>
        <v>175500</v>
      </c>
      <c r="V26">
        <f>IFERROR(VLOOKUP(C26,Hoja4!$A$4:$B$273,2,FALSE),0)</f>
        <v>0</v>
      </c>
    </row>
    <row r="27" spans="1:22" x14ac:dyDescent="0.25">
      <c r="A27" s="33">
        <v>46069</v>
      </c>
      <c r="B27" s="31" t="s">
        <v>63</v>
      </c>
      <c r="C27" s="31">
        <v>28</v>
      </c>
      <c r="D27" s="31" t="s">
        <v>1259</v>
      </c>
      <c r="E27" s="31" t="s">
        <v>1259</v>
      </c>
      <c r="F27" s="31"/>
      <c r="G27" s="31" t="s">
        <v>1258</v>
      </c>
      <c r="H27" s="31">
        <v>3212497133</v>
      </c>
      <c r="I27" s="31">
        <v>270</v>
      </c>
      <c r="J27" s="31">
        <v>540</v>
      </c>
      <c r="K27" s="31">
        <v>8100</v>
      </c>
      <c r="L27" s="31">
        <v>30</v>
      </c>
      <c r="M27" s="31">
        <v>15</v>
      </c>
      <c r="N27" s="31">
        <v>46084</v>
      </c>
      <c r="O27" s="31">
        <v>28</v>
      </c>
      <c r="P27" s="31">
        <v>25000</v>
      </c>
      <c r="Q27" s="31">
        <v>8100</v>
      </c>
      <c r="R27" s="31">
        <v>202500</v>
      </c>
      <c r="S27" s="31" t="s">
        <v>1257</v>
      </c>
      <c r="T27" s="31" t="s">
        <v>1256</v>
      </c>
      <c r="U27">
        <f>IFERROR(VLOOKUP(C27,Hoja4!$D$4:$E$273,2,FALSE),0)</f>
        <v>26000</v>
      </c>
      <c r="V27">
        <f>IFERROR(VLOOKUP(C27,Hoja4!$A$4:$B$273,2,FALSE),0)</f>
        <v>0</v>
      </c>
    </row>
    <row r="28" spans="1:22" x14ac:dyDescent="0.25">
      <c r="A28" s="32">
        <v>46059</v>
      </c>
      <c r="B28" s="30" t="s">
        <v>63</v>
      </c>
      <c r="C28" s="30">
        <v>29</v>
      </c>
      <c r="D28" s="30" t="s">
        <v>1255</v>
      </c>
      <c r="E28" s="30" t="s">
        <v>1255</v>
      </c>
      <c r="F28" s="30"/>
      <c r="G28" s="30" t="s">
        <v>1254</v>
      </c>
      <c r="H28" s="30">
        <v>3187528202</v>
      </c>
      <c r="I28" s="30">
        <v>200</v>
      </c>
      <c r="J28" s="30">
        <v>400</v>
      </c>
      <c r="K28" s="30">
        <v>6000</v>
      </c>
      <c r="L28" s="30">
        <v>30</v>
      </c>
      <c r="M28" s="30">
        <v>15</v>
      </c>
      <c r="N28" s="30">
        <v>46074</v>
      </c>
      <c r="O28" s="30">
        <v>29</v>
      </c>
      <c r="P28" s="30">
        <v>42000</v>
      </c>
      <c r="Q28" s="30">
        <v>6000</v>
      </c>
      <c r="R28" s="30">
        <v>252000</v>
      </c>
      <c r="S28" s="30" t="s">
        <v>1253</v>
      </c>
      <c r="T28" s="30" t="s">
        <v>295</v>
      </c>
      <c r="U28">
        <f>IFERROR(VLOOKUP(C28,Hoja4!$D$4:$E$273,2,FALSE),0)</f>
        <v>126000</v>
      </c>
      <c r="V28">
        <f>IFERROR(VLOOKUP(C28,Hoja4!$A$4:$B$273,2,FALSE),0)</f>
        <v>0</v>
      </c>
    </row>
    <row r="29" spans="1:22" x14ac:dyDescent="0.25">
      <c r="A29" s="33">
        <v>46066</v>
      </c>
      <c r="B29" s="31" t="s">
        <v>63</v>
      </c>
      <c r="C29" s="31">
        <v>30</v>
      </c>
      <c r="D29" s="31" t="s">
        <v>1252</v>
      </c>
      <c r="E29" s="31" t="s">
        <v>1252</v>
      </c>
      <c r="F29" s="31"/>
      <c r="G29" s="31" t="s">
        <v>1251</v>
      </c>
      <c r="H29" s="31">
        <v>3004306563</v>
      </c>
      <c r="I29" s="31">
        <v>130</v>
      </c>
      <c r="J29" s="31">
        <v>390</v>
      </c>
      <c r="K29" s="31">
        <v>5850</v>
      </c>
      <c r="L29" s="31">
        <v>45</v>
      </c>
      <c r="M29" s="31">
        <v>15</v>
      </c>
      <c r="N29" s="31">
        <v>46081</v>
      </c>
      <c r="O29" s="31">
        <v>30</v>
      </c>
      <c r="P29" s="31">
        <v>36512.820512820515</v>
      </c>
      <c r="Q29" s="31">
        <v>5850</v>
      </c>
      <c r="R29" s="31">
        <v>213600</v>
      </c>
      <c r="S29" s="31" t="s">
        <v>1250</v>
      </c>
      <c r="T29" s="31"/>
      <c r="U29">
        <f>IFERROR(VLOOKUP(C29,Hoja4!$D$4:$E$273,2,FALSE),0)</f>
        <v>700</v>
      </c>
      <c r="V29">
        <f>IFERROR(VLOOKUP(C29,Hoja4!$A$4:$B$273,2,FALSE),0)</f>
        <v>0</v>
      </c>
    </row>
    <row r="30" spans="1:22" x14ac:dyDescent="0.25">
      <c r="A30" s="32">
        <v>46063</v>
      </c>
      <c r="B30" s="30" t="s">
        <v>63</v>
      </c>
      <c r="C30" s="30">
        <v>31</v>
      </c>
      <c r="D30" s="30" t="s">
        <v>1249</v>
      </c>
      <c r="E30" s="30" t="s">
        <v>1249</v>
      </c>
      <c r="F30" s="30"/>
      <c r="G30" s="30" t="s">
        <v>1248</v>
      </c>
      <c r="H30" s="30">
        <v>3138503358</v>
      </c>
      <c r="I30" s="30">
        <v>350</v>
      </c>
      <c r="J30" s="30">
        <v>700</v>
      </c>
      <c r="K30" s="30">
        <v>10500</v>
      </c>
      <c r="L30" s="30">
        <v>30</v>
      </c>
      <c r="M30" s="30">
        <v>15</v>
      </c>
      <c r="N30" s="30">
        <v>46078</v>
      </c>
      <c r="O30" s="30">
        <v>31</v>
      </c>
      <c r="P30" s="30">
        <v>22000</v>
      </c>
      <c r="Q30" s="30">
        <v>10500</v>
      </c>
      <c r="R30" s="30">
        <v>231000</v>
      </c>
      <c r="S30" s="30" t="s">
        <v>1247</v>
      </c>
      <c r="T30" s="30" t="s">
        <v>1246</v>
      </c>
      <c r="U30">
        <f>IFERROR(VLOOKUP(C30,Hoja4!$D$4:$E$273,2,FALSE),0)</f>
        <v>250000</v>
      </c>
      <c r="V30">
        <f>IFERROR(VLOOKUP(C30,Hoja4!$A$4:$B$273,2,FALSE),0)</f>
        <v>0</v>
      </c>
    </row>
    <row r="31" spans="1:22" x14ac:dyDescent="0.25">
      <c r="A31" s="33">
        <v>46059</v>
      </c>
      <c r="B31" s="31" t="s">
        <v>63</v>
      </c>
      <c r="C31" s="31">
        <v>32</v>
      </c>
      <c r="D31" s="31" t="s">
        <v>1245</v>
      </c>
      <c r="E31" s="31" t="s">
        <v>1245</v>
      </c>
      <c r="F31" s="31"/>
      <c r="G31" s="31" t="s">
        <v>1244</v>
      </c>
      <c r="H31" s="31">
        <v>3041103894</v>
      </c>
      <c r="I31" s="31">
        <v>100</v>
      </c>
      <c r="J31" s="31">
        <v>200</v>
      </c>
      <c r="K31" s="31">
        <v>3000</v>
      </c>
      <c r="L31" s="31">
        <v>30</v>
      </c>
      <c r="M31" s="31">
        <v>15</v>
      </c>
      <c r="N31" s="31">
        <v>46074</v>
      </c>
      <c r="O31" s="31">
        <v>32</v>
      </c>
      <c r="P31" s="31">
        <v>29000</v>
      </c>
      <c r="Q31" s="31">
        <v>3000</v>
      </c>
      <c r="R31" s="31">
        <v>87000</v>
      </c>
      <c r="S31" s="31" t="s">
        <v>1243</v>
      </c>
      <c r="T31" s="31" t="s">
        <v>1242</v>
      </c>
      <c r="U31">
        <f>IFERROR(VLOOKUP(C31,Hoja4!$D$4:$E$273,2,FALSE),0)</f>
        <v>0</v>
      </c>
      <c r="V31">
        <f>IFERROR(VLOOKUP(C31,Hoja4!$A$4:$B$273,2,FALSE),0)</f>
        <v>0</v>
      </c>
    </row>
    <row r="32" spans="1:22" x14ac:dyDescent="0.25">
      <c r="A32" s="32">
        <v>46069</v>
      </c>
      <c r="B32" s="30" t="s">
        <v>63</v>
      </c>
      <c r="C32" s="30">
        <v>34</v>
      </c>
      <c r="D32" s="30" t="s">
        <v>1241</v>
      </c>
      <c r="E32" s="30" t="s">
        <v>1241</v>
      </c>
      <c r="F32" s="30"/>
      <c r="G32" s="30" t="s">
        <v>1240</v>
      </c>
      <c r="H32" s="30">
        <v>3107986133</v>
      </c>
      <c r="I32" s="30">
        <v>180</v>
      </c>
      <c r="J32" s="30">
        <v>180</v>
      </c>
      <c r="K32" s="30">
        <v>2700</v>
      </c>
      <c r="L32" s="30">
        <v>15</v>
      </c>
      <c r="M32" s="30">
        <v>15</v>
      </c>
      <c r="N32" s="30">
        <v>46084</v>
      </c>
      <c r="O32" s="30">
        <v>34</v>
      </c>
      <c r="P32" s="30">
        <v>32000</v>
      </c>
      <c r="Q32" s="30">
        <v>2700</v>
      </c>
      <c r="R32" s="30">
        <v>86400</v>
      </c>
      <c r="S32" s="30" t="s">
        <v>1239</v>
      </c>
      <c r="T32" s="30" t="s">
        <v>1238</v>
      </c>
      <c r="U32">
        <f>IFERROR(VLOOKUP(C32,Hoja4!$D$4:$E$273,2,FALSE),0)</f>
        <v>0</v>
      </c>
      <c r="V32">
        <f>IFERROR(VLOOKUP(C32,Hoja4!$A$4:$B$273,2,FALSE),0)</f>
        <v>0</v>
      </c>
    </row>
    <row r="33" spans="1:22" x14ac:dyDescent="0.25">
      <c r="A33" s="33">
        <v>46066</v>
      </c>
      <c r="B33" s="31" t="s">
        <v>63</v>
      </c>
      <c r="C33" s="31">
        <v>35</v>
      </c>
      <c r="D33" s="31" t="s">
        <v>1237</v>
      </c>
      <c r="E33" s="31" t="s">
        <v>1237</v>
      </c>
      <c r="F33" s="31"/>
      <c r="G33" s="31" t="s">
        <v>1236</v>
      </c>
      <c r="H33" s="31">
        <v>3112199430</v>
      </c>
      <c r="I33" s="31">
        <v>360</v>
      </c>
      <c r="J33" s="31">
        <v>720</v>
      </c>
      <c r="K33" s="31">
        <v>7200</v>
      </c>
      <c r="L33" s="31">
        <v>20</v>
      </c>
      <c r="M33" s="31">
        <v>10</v>
      </c>
      <c r="N33" s="31">
        <v>46076</v>
      </c>
      <c r="O33" s="31">
        <v>35</v>
      </c>
      <c r="P33" s="31">
        <v>25000</v>
      </c>
      <c r="Q33" s="31">
        <v>7200</v>
      </c>
      <c r="R33" s="31">
        <v>180000</v>
      </c>
      <c r="S33" s="31" t="s">
        <v>1235</v>
      </c>
      <c r="T33" s="31" t="s">
        <v>1234</v>
      </c>
      <c r="U33">
        <f>IFERROR(VLOOKUP(C33,Hoja4!$D$4:$E$273,2,FALSE),0)</f>
        <v>0</v>
      </c>
      <c r="V33">
        <f>IFERROR(VLOOKUP(C33,Hoja4!$A$4:$B$273,2,FALSE),0)</f>
        <v>21000</v>
      </c>
    </row>
    <row r="34" spans="1:22" x14ac:dyDescent="0.25">
      <c r="A34" s="32">
        <v>46071</v>
      </c>
      <c r="B34" s="30" t="s">
        <v>63</v>
      </c>
      <c r="C34" s="30">
        <v>36</v>
      </c>
      <c r="D34" s="30" t="s">
        <v>1233</v>
      </c>
      <c r="E34" s="30" t="s">
        <v>1233</v>
      </c>
      <c r="F34" s="30"/>
      <c r="G34" s="30" t="s">
        <v>1232</v>
      </c>
      <c r="H34" s="30">
        <v>3225394262</v>
      </c>
      <c r="I34" s="30">
        <v>200</v>
      </c>
      <c r="J34" s="30">
        <v>6000</v>
      </c>
      <c r="K34" s="30">
        <v>30000</v>
      </c>
      <c r="L34" s="30">
        <v>150</v>
      </c>
      <c r="M34" s="30">
        <v>5</v>
      </c>
      <c r="N34" s="30">
        <v>46076</v>
      </c>
      <c r="O34" s="30">
        <v>36</v>
      </c>
      <c r="P34" s="30">
        <v>19000</v>
      </c>
      <c r="Q34" s="30">
        <v>30000</v>
      </c>
      <c r="R34" s="30">
        <v>570000</v>
      </c>
      <c r="S34" s="30" t="s">
        <v>1231</v>
      </c>
      <c r="T34" s="30" t="s">
        <v>1230</v>
      </c>
      <c r="U34">
        <f>IFERROR(VLOOKUP(C34,Hoja4!$D$4:$E$273,2,FALSE),0)</f>
        <v>2741575</v>
      </c>
      <c r="V34">
        <f>IFERROR(VLOOKUP(C34,Hoja4!$A$4:$B$273,2,FALSE),0)</f>
        <v>0</v>
      </c>
    </row>
    <row r="35" spans="1:22" x14ac:dyDescent="0.25">
      <c r="A35" s="33">
        <v>0</v>
      </c>
      <c r="B35" s="31" t="s">
        <v>4</v>
      </c>
      <c r="C35" s="31">
        <v>37</v>
      </c>
      <c r="D35" s="31" t="s">
        <v>1229</v>
      </c>
      <c r="E35" s="31" t="s">
        <v>1228</v>
      </c>
      <c r="F35" s="31"/>
      <c r="G35" s="31" t="s">
        <v>26</v>
      </c>
      <c r="H35" s="31"/>
      <c r="I35" s="31">
        <v>0</v>
      </c>
      <c r="J35" s="31">
        <v>0</v>
      </c>
      <c r="K35" s="31">
        <v>0</v>
      </c>
      <c r="L35" s="31">
        <v>0</v>
      </c>
      <c r="M35" s="31">
        <v>0</v>
      </c>
      <c r="N35" s="31">
        <v>0</v>
      </c>
      <c r="O35" s="31">
        <v>37</v>
      </c>
      <c r="P35" s="31">
        <v>0</v>
      </c>
      <c r="Q35" s="31">
        <v>0</v>
      </c>
      <c r="R35" s="31"/>
      <c r="S35" s="31" t="s">
        <v>1227</v>
      </c>
      <c r="T35" s="31" t="s">
        <v>1226</v>
      </c>
      <c r="U35">
        <f>IFERROR(VLOOKUP(C35,Hoja4!$D$4:$E$273,2,FALSE),0)</f>
        <v>0</v>
      </c>
      <c r="V35">
        <f>IFERROR(VLOOKUP(C35,Hoja4!$A$4:$B$273,2,FALSE),0)</f>
        <v>0</v>
      </c>
    </row>
    <row r="36" spans="1:22" x14ac:dyDescent="0.25">
      <c r="A36" s="32">
        <v>0</v>
      </c>
      <c r="B36" s="30" t="s">
        <v>4</v>
      </c>
      <c r="C36" s="30">
        <v>38</v>
      </c>
      <c r="D36" s="30" t="s">
        <v>1225</v>
      </c>
      <c r="E36" s="30" t="s">
        <v>1224</v>
      </c>
      <c r="F36" s="30"/>
      <c r="G36" s="30" t="s">
        <v>26</v>
      </c>
      <c r="H36" s="30"/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38</v>
      </c>
      <c r="P36" s="30">
        <v>0</v>
      </c>
      <c r="Q36" s="30">
        <v>0</v>
      </c>
      <c r="R36" s="30"/>
      <c r="S36" s="30"/>
      <c r="T36" s="30" t="s">
        <v>1223</v>
      </c>
      <c r="U36">
        <f>IFERROR(VLOOKUP(C36,Hoja4!$D$4:$E$273,2,FALSE),0)</f>
        <v>0</v>
      </c>
      <c r="V36">
        <f>IFERROR(VLOOKUP(C36,Hoja4!$A$4:$B$273,2,FALSE),0)</f>
        <v>0</v>
      </c>
    </row>
    <row r="37" spans="1:22" x14ac:dyDescent="0.25">
      <c r="A37" s="33">
        <v>46070</v>
      </c>
      <c r="B37" s="31" t="s">
        <v>63</v>
      </c>
      <c r="C37" s="31">
        <v>39</v>
      </c>
      <c r="D37" s="31" t="s">
        <v>1222</v>
      </c>
      <c r="E37" s="31" t="s">
        <v>1221</v>
      </c>
      <c r="F37" s="31"/>
      <c r="G37" s="31" t="s">
        <v>1220</v>
      </c>
      <c r="H37" s="31">
        <v>3123419084</v>
      </c>
      <c r="I37" s="31">
        <v>150</v>
      </c>
      <c r="J37" s="31">
        <v>150</v>
      </c>
      <c r="K37" s="31">
        <v>1050</v>
      </c>
      <c r="L37" s="31">
        <v>7</v>
      </c>
      <c r="M37" s="31">
        <v>7</v>
      </c>
      <c r="N37" s="31">
        <v>46077</v>
      </c>
      <c r="O37" s="31">
        <v>39</v>
      </c>
      <c r="P37" s="31">
        <v>20952.38095238095</v>
      </c>
      <c r="Q37" s="31">
        <v>1050</v>
      </c>
      <c r="R37" s="31">
        <v>22000</v>
      </c>
      <c r="S37" s="31" t="s">
        <v>1219</v>
      </c>
      <c r="T37" s="31" t="s">
        <v>1218</v>
      </c>
      <c r="U37">
        <f>IFERROR(VLOOKUP(C37,Hoja4!$D$4:$E$273,2,FALSE),0)</f>
        <v>0</v>
      </c>
      <c r="V37">
        <f>IFERROR(VLOOKUP(C37,Hoja4!$A$4:$B$273,2,FALSE),0)</f>
        <v>0</v>
      </c>
    </row>
    <row r="38" spans="1:22" x14ac:dyDescent="0.25">
      <c r="A38" s="32"/>
      <c r="B38" s="30" t="s">
        <v>208</v>
      </c>
      <c r="C38" s="30">
        <v>40</v>
      </c>
      <c r="D38" s="30" t="s">
        <v>1217</v>
      </c>
      <c r="E38" s="30" t="s">
        <v>1216</v>
      </c>
      <c r="F38" s="30" t="s">
        <v>52</v>
      </c>
      <c r="G38" s="30" t="s">
        <v>1215</v>
      </c>
      <c r="H38" s="30">
        <v>3013922571</v>
      </c>
      <c r="I38" s="30">
        <v>150</v>
      </c>
      <c r="J38" s="30">
        <v>300</v>
      </c>
      <c r="K38" s="30">
        <v>4500</v>
      </c>
      <c r="L38" s="30">
        <v>30</v>
      </c>
      <c r="M38" s="30">
        <v>15</v>
      </c>
      <c r="N38" s="30"/>
      <c r="O38" s="30">
        <v>40</v>
      </c>
      <c r="P38" s="30">
        <v>33666.666666666664</v>
      </c>
      <c r="Q38" s="30">
        <v>4500</v>
      </c>
      <c r="R38" s="30">
        <v>151500</v>
      </c>
      <c r="S38" s="30" t="s">
        <v>1214</v>
      </c>
      <c r="T38" s="30" t="s">
        <v>1213</v>
      </c>
      <c r="U38">
        <f>IFERROR(VLOOKUP(C38,Hoja4!$D$4:$E$273,2,FALSE),0)</f>
        <v>0</v>
      </c>
      <c r="V38">
        <f>IFERROR(VLOOKUP(C38,Hoja4!$A$4:$B$273,2,FALSE),0)</f>
        <v>0</v>
      </c>
    </row>
    <row r="39" spans="1:22" x14ac:dyDescent="0.25">
      <c r="A39" s="33">
        <v>46070</v>
      </c>
      <c r="B39" s="31" t="s">
        <v>63</v>
      </c>
      <c r="C39" s="31">
        <v>42</v>
      </c>
      <c r="D39" s="31" t="s">
        <v>1212</v>
      </c>
      <c r="E39" s="31" t="s">
        <v>1211</v>
      </c>
      <c r="F39" s="31"/>
      <c r="G39" s="31" t="s">
        <v>1210</v>
      </c>
      <c r="H39" s="31">
        <v>3027051451</v>
      </c>
      <c r="I39" s="31">
        <v>50</v>
      </c>
      <c r="J39" s="31">
        <v>100</v>
      </c>
      <c r="K39" s="31">
        <v>1500</v>
      </c>
      <c r="L39" s="31">
        <v>30</v>
      </c>
      <c r="M39" s="31">
        <v>15</v>
      </c>
      <c r="N39" s="31">
        <v>46085</v>
      </c>
      <c r="O39" s="31">
        <v>42</v>
      </c>
      <c r="P39" s="31">
        <v>25000</v>
      </c>
      <c r="Q39" s="31">
        <v>1500</v>
      </c>
      <c r="R39" s="31">
        <v>37500</v>
      </c>
      <c r="S39" s="31" t="s">
        <v>1160</v>
      </c>
      <c r="T39" s="31"/>
      <c r="U39">
        <f>IFERROR(VLOOKUP(C39,Hoja4!$D$4:$E$273,2,FALSE),0)</f>
        <v>103500</v>
      </c>
      <c r="V39">
        <f>IFERROR(VLOOKUP(C39,Hoja4!$A$4:$B$273,2,FALSE),0)</f>
        <v>0</v>
      </c>
    </row>
    <row r="40" spans="1:22" x14ac:dyDescent="0.25">
      <c r="A40" s="32">
        <v>46071</v>
      </c>
      <c r="B40" s="30" t="s">
        <v>63</v>
      </c>
      <c r="C40" s="30">
        <v>43</v>
      </c>
      <c r="D40" s="30" t="s">
        <v>1209</v>
      </c>
      <c r="E40" s="30" t="s">
        <v>1208</v>
      </c>
      <c r="F40" s="30"/>
      <c r="G40" s="30" t="s">
        <v>1207</v>
      </c>
      <c r="H40" s="30">
        <v>3208063914</v>
      </c>
      <c r="I40" s="30">
        <v>100</v>
      </c>
      <c r="J40" s="30">
        <v>300</v>
      </c>
      <c r="K40" s="30">
        <v>4500</v>
      </c>
      <c r="L40" s="30">
        <v>45</v>
      </c>
      <c r="M40" s="30">
        <v>15</v>
      </c>
      <c r="N40" s="30">
        <v>46086</v>
      </c>
      <c r="O40" s="30">
        <v>43</v>
      </c>
      <c r="P40" s="30">
        <v>30000</v>
      </c>
      <c r="Q40" s="30">
        <v>4500</v>
      </c>
      <c r="R40" s="30">
        <v>135000</v>
      </c>
      <c r="S40" s="30" t="s">
        <v>1206</v>
      </c>
      <c r="T40" s="30" t="s">
        <v>1205</v>
      </c>
      <c r="U40">
        <f>IFERROR(VLOOKUP(C40,Hoja4!$D$4:$E$273,2,FALSE),0)</f>
        <v>256500</v>
      </c>
      <c r="V40">
        <f>IFERROR(VLOOKUP(C40,Hoja4!$A$4:$B$273,2,FALSE),0)</f>
        <v>0</v>
      </c>
    </row>
    <row r="41" spans="1:22" x14ac:dyDescent="0.25">
      <c r="A41" s="33">
        <v>46069</v>
      </c>
      <c r="B41" s="31" t="s">
        <v>63</v>
      </c>
      <c r="C41" s="31">
        <v>44</v>
      </c>
      <c r="D41" s="31" t="s">
        <v>1204</v>
      </c>
      <c r="E41" s="31" t="s">
        <v>1204</v>
      </c>
      <c r="F41" s="31"/>
      <c r="G41" s="31" t="s">
        <v>1203</v>
      </c>
      <c r="H41" s="31">
        <v>3166198371</v>
      </c>
      <c r="I41" s="31">
        <v>100</v>
      </c>
      <c r="J41" s="31">
        <v>300</v>
      </c>
      <c r="K41" s="31">
        <v>4500</v>
      </c>
      <c r="L41" s="31">
        <v>45</v>
      </c>
      <c r="M41" s="31">
        <v>15</v>
      </c>
      <c r="N41" s="31">
        <v>46084</v>
      </c>
      <c r="O41" s="31">
        <v>44</v>
      </c>
      <c r="P41" s="31">
        <v>36000</v>
      </c>
      <c r="Q41" s="31">
        <v>4500</v>
      </c>
      <c r="R41" s="31">
        <v>162000</v>
      </c>
      <c r="S41" s="31" t="s">
        <v>1202</v>
      </c>
      <c r="T41" s="31" t="s">
        <v>1201</v>
      </c>
      <c r="U41">
        <f>IFERROR(VLOOKUP(C41,Hoja4!$D$4:$E$273,2,FALSE),0)</f>
        <v>162000</v>
      </c>
      <c r="V41">
        <f>IFERROR(VLOOKUP(C41,Hoja4!$A$4:$B$273,2,FALSE),0)</f>
        <v>0</v>
      </c>
    </row>
    <row r="42" spans="1:22" x14ac:dyDescent="0.25">
      <c r="A42" s="32">
        <v>46058</v>
      </c>
      <c r="B42" s="30" t="s">
        <v>63</v>
      </c>
      <c r="C42" s="30">
        <v>45</v>
      </c>
      <c r="D42" s="30" t="s">
        <v>1200</v>
      </c>
      <c r="E42" s="30" t="s">
        <v>1199</v>
      </c>
      <c r="F42" s="30" t="s">
        <v>52</v>
      </c>
      <c r="G42" s="30" t="s">
        <v>1198</v>
      </c>
      <c r="H42" s="30">
        <v>3107629406</v>
      </c>
      <c r="I42" s="30">
        <v>265</v>
      </c>
      <c r="J42" s="30">
        <v>530</v>
      </c>
      <c r="K42" s="30">
        <v>7950</v>
      </c>
      <c r="L42" s="30">
        <v>30</v>
      </c>
      <c r="M42" s="30">
        <v>15</v>
      </c>
      <c r="N42" s="30">
        <v>46073</v>
      </c>
      <c r="O42" s="30">
        <v>45</v>
      </c>
      <c r="P42" s="30">
        <v>30000</v>
      </c>
      <c r="Q42" s="30">
        <v>7950</v>
      </c>
      <c r="R42" s="30">
        <v>238500</v>
      </c>
      <c r="S42" s="30" t="s">
        <v>1197</v>
      </c>
      <c r="T42" s="30"/>
      <c r="U42">
        <f>IFERROR(VLOOKUP(C42,Hoja4!$D$4:$E$273,2,FALSE),0)</f>
        <v>19000</v>
      </c>
      <c r="V42">
        <f>IFERROR(VLOOKUP(C42,Hoja4!$A$4:$B$273,2,FALSE),0)</f>
        <v>0</v>
      </c>
    </row>
    <row r="43" spans="1:22" x14ac:dyDescent="0.25">
      <c r="A43" s="33"/>
      <c r="B43" s="31" t="s">
        <v>208</v>
      </c>
      <c r="C43" s="31">
        <v>46</v>
      </c>
      <c r="D43" s="31" t="s">
        <v>1196</v>
      </c>
      <c r="E43" s="31" t="s">
        <v>1196</v>
      </c>
      <c r="F43" s="31"/>
      <c r="G43" s="31" t="s">
        <v>1195</v>
      </c>
      <c r="H43" s="31">
        <v>3185164316</v>
      </c>
      <c r="I43" s="31">
        <v>185</v>
      </c>
      <c r="J43" s="31">
        <v>370</v>
      </c>
      <c r="K43" s="31">
        <v>2590</v>
      </c>
      <c r="L43" s="31">
        <v>14</v>
      </c>
      <c r="M43" s="31">
        <v>7</v>
      </c>
      <c r="N43" s="31"/>
      <c r="O43" s="31">
        <v>46</v>
      </c>
      <c r="P43" s="31">
        <v>78301.158301158299</v>
      </c>
      <c r="Q43" s="31">
        <v>2590</v>
      </c>
      <c r="R43" s="31">
        <v>202800</v>
      </c>
      <c r="S43" s="31" t="s">
        <v>1194</v>
      </c>
      <c r="T43" s="31"/>
      <c r="U43">
        <f>IFERROR(VLOOKUP(C43,Hoja4!$D$4:$E$273,2,FALSE),0)</f>
        <v>0</v>
      </c>
      <c r="V43">
        <f>IFERROR(VLOOKUP(C43,Hoja4!$A$4:$B$273,2,FALSE),0)</f>
        <v>0</v>
      </c>
    </row>
    <row r="44" spans="1:22" x14ac:dyDescent="0.25">
      <c r="A44" s="32">
        <v>46069</v>
      </c>
      <c r="B44" s="30" t="s">
        <v>63</v>
      </c>
      <c r="C44" s="30">
        <v>47</v>
      </c>
      <c r="D44" s="30" t="s">
        <v>1193</v>
      </c>
      <c r="E44" s="30" t="s">
        <v>1193</v>
      </c>
      <c r="F44" s="30"/>
      <c r="G44" s="30" t="s">
        <v>1192</v>
      </c>
      <c r="H44" s="30">
        <v>3134233956</v>
      </c>
      <c r="I44" s="30">
        <v>200</v>
      </c>
      <c r="J44" s="30">
        <v>200</v>
      </c>
      <c r="K44" s="30">
        <v>6000</v>
      </c>
      <c r="L44" s="30">
        <v>30</v>
      </c>
      <c r="M44" s="30">
        <v>30</v>
      </c>
      <c r="N44" s="30">
        <v>46099</v>
      </c>
      <c r="O44" s="30">
        <v>47</v>
      </c>
      <c r="P44" s="30">
        <v>28000</v>
      </c>
      <c r="Q44" s="30">
        <v>6000</v>
      </c>
      <c r="R44" s="30">
        <v>168000</v>
      </c>
      <c r="S44" s="30" t="s">
        <v>1191</v>
      </c>
      <c r="T44" s="30" t="s">
        <v>1190</v>
      </c>
      <c r="U44">
        <f>IFERROR(VLOOKUP(C44,Hoja4!$D$4:$E$273,2,FALSE),0)</f>
        <v>0</v>
      </c>
      <c r="V44">
        <f>IFERROR(VLOOKUP(C44,Hoja4!$A$4:$B$273,2,FALSE),0)</f>
        <v>0</v>
      </c>
    </row>
    <row r="45" spans="1:22" x14ac:dyDescent="0.25">
      <c r="A45" s="33"/>
      <c r="B45" s="31" t="s">
        <v>208</v>
      </c>
      <c r="C45" s="31">
        <v>48</v>
      </c>
      <c r="D45" s="31" t="s">
        <v>1189</v>
      </c>
      <c r="E45" s="31" t="s">
        <v>1189</v>
      </c>
      <c r="F45" s="31"/>
      <c r="G45" s="31" t="s">
        <v>1188</v>
      </c>
      <c r="H45" s="31">
        <v>3115975083</v>
      </c>
      <c r="I45" s="31">
        <v>260</v>
      </c>
      <c r="J45" s="31">
        <v>260</v>
      </c>
      <c r="K45" s="31">
        <v>3900</v>
      </c>
      <c r="L45" s="31">
        <v>15</v>
      </c>
      <c r="M45" s="31">
        <v>15</v>
      </c>
      <c r="N45" s="31"/>
      <c r="O45" s="31">
        <v>48</v>
      </c>
      <c r="P45" s="31">
        <v>23000</v>
      </c>
      <c r="Q45" s="31">
        <v>3900</v>
      </c>
      <c r="R45" s="31">
        <v>89700</v>
      </c>
      <c r="S45" s="31" t="s">
        <v>1187</v>
      </c>
      <c r="T45" s="31" t="s">
        <v>1186</v>
      </c>
      <c r="U45">
        <f>IFERROR(VLOOKUP(C45,Hoja4!$D$4:$E$273,2,FALSE),0)</f>
        <v>0</v>
      </c>
      <c r="V45">
        <f>IFERROR(VLOOKUP(C45,Hoja4!$A$4:$B$273,2,FALSE),0)</f>
        <v>0</v>
      </c>
    </row>
    <row r="46" spans="1:22" x14ac:dyDescent="0.25">
      <c r="A46" s="32">
        <v>46045</v>
      </c>
      <c r="B46" s="30" t="s">
        <v>4</v>
      </c>
      <c r="C46" s="30">
        <v>49</v>
      </c>
      <c r="D46" s="30" t="s">
        <v>1185</v>
      </c>
      <c r="E46" s="30" t="s">
        <v>1185</v>
      </c>
      <c r="F46" s="30"/>
      <c r="G46" s="30" t="s">
        <v>1184</v>
      </c>
      <c r="H46" s="30">
        <v>3212442419</v>
      </c>
      <c r="I46" s="30">
        <v>150</v>
      </c>
      <c r="J46" s="30">
        <v>150</v>
      </c>
      <c r="K46" s="30">
        <v>1500</v>
      </c>
      <c r="L46" s="30">
        <v>10</v>
      </c>
      <c r="M46" s="30">
        <v>10</v>
      </c>
      <c r="N46" s="30">
        <v>46055</v>
      </c>
      <c r="O46" s="30">
        <v>49</v>
      </c>
      <c r="P46" s="30">
        <v>99000</v>
      </c>
      <c r="Q46" s="30">
        <v>1500</v>
      </c>
      <c r="R46" s="30">
        <v>148500</v>
      </c>
      <c r="S46" s="30" t="s">
        <v>1183</v>
      </c>
      <c r="T46" s="30" t="s">
        <v>1182</v>
      </c>
      <c r="U46">
        <f>IFERROR(VLOOKUP(C46,Hoja4!$D$4:$E$273,2,FALSE),0)</f>
        <v>0</v>
      </c>
      <c r="V46">
        <f>IFERROR(VLOOKUP(C46,Hoja4!$A$4:$B$273,2,FALSE),0)</f>
        <v>0</v>
      </c>
    </row>
    <row r="47" spans="1:22" x14ac:dyDescent="0.25">
      <c r="A47" s="33"/>
      <c r="B47" s="31" t="s">
        <v>208</v>
      </c>
      <c r="C47" s="31">
        <v>50</v>
      </c>
      <c r="D47" s="31" t="s">
        <v>1181</v>
      </c>
      <c r="E47" s="31" t="s">
        <v>1181</v>
      </c>
      <c r="F47" s="31"/>
      <c r="G47" s="31" t="s">
        <v>1180</v>
      </c>
      <c r="H47" s="31">
        <v>3214596773</v>
      </c>
      <c r="I47" s="31">
        <v>45</v>
      </c>
      <c r="J47" s="31">
        <v>90</v>
      </c>
      <c r="K47" s="31">
        <v>630</v>
      </c>
      <c r="L47" s="31">
        <v>14</v>
      </c>
      <c r="M47" s="31">
        <v>7</v>
      </c>
      <c r="N47" s="31"/>
      <c r="O47" s="31">
        <v>50</v>
      </c>
      <c r="P47" s="31">
        <v>15873.015873015873</v>
      </c>
      <c r="Q47" s="31">
        <v>630</v>
      </c>
      <c r="R47" s="31">
        <v>10000</v>
      </c>
      <c r="S47" s="31" t="s">
        <v>1179</v>
      </c>
      <c r="T47" s="31"/>
      <c r="U47">
        <f>IFERROR(VLOOKUP(C47,Hoja4!$D$4:$E$273,2,FALSE),0)</f>
        <v>0</v>
      </c>
      <c r="V47">
        <f>IFERROR(VLOOKUP(C47,Hoja4!$A$4:$B$273,2,FALSE),0)</f>
        <v>0</v>
      </c>
    </row>
    <row r="48" spans="1:22" x14ac:dyDescent="0.25">
      <c r="A48" s="32">
        <v>46063</v>
      </c>
      <c r="B48" s="30" t="s">
        <v>63</v>
      </c>
      <c r="C48" s="30">
        <v>51</v>
      </c>
      <c r="D48" s="30" t="s">
        <v>1178</v>
      </c>
      <c r="E48" s="30" t="s">
        <v>1177</v>
      </c>
      <c r="F48" s="30"/>
      <c r="G48" s="30" t="s">
        <v>1176</v>
      </c>
      <c r="H48" s="30">
        <v>3012984178</v>
      </c>
      <c r="I48" s="30">
        <v>120</v>
      </c>
      <c r="J48" s="30">
        <v>360</v>
      </c>
      <c r="K48" s="30">
        <v>3600</v>
      </c>
      <c r="L48" s="30">
        <v>30</v>
      </c>
      <c r="M48" s="30">
        <v>10</v>
      </c>
      <c r="N48" s="30">
        <v>46073</v>
      </c>
      <c r="O48" s="30">
        <v>51</v>
      </c>
      <c r="P48" s="30">
        <v>0</v>
      </c>
      <c r="Q48" s="30">
        <v>3600</v>
      </c>
      <c r="R48" s="30">
        <v>0</v>
      </c>
      <c r="S48" s="30" t="s">
        <v>1175</v>
      </c>
      <c r="T48" s="30"/>
      <c r="U48">
        <f>IFERROR(VLOOKUP(C48,Hoja4!$D$4:$E$273,2,FALSE),0)</f>
        <v>0</v>
      </c>
      <c r="V48">
        <f>IFERROR(VLOOKUP(C48,Hoja4!$A$4:$B$273,2,FALSE),0)</f>
        <v>0</v>
      </c>
    </row>
    <row r="49" spans="1:22" x14ac:dyDescent="0.25">
      <c r="A49" s="33"/>
      <c r="B49" s="31" t="s">
        <v>208</v>
      </c>
      <c r="C49" s="31">
        <v>52</v>
      </c>
      <c r="D49" s="31" t="s">
        <v>1174</v>
      </c>
      <c r="E49" s="31" t="s">
        <v>1173</v>
      </c>
      <c r="F49" s="31"/>
      <c r="G49" s="31" t="s">
        <v>1172</v>
      </c>
      <c r="H49" s="31">
        <v>3242651750</v>
      </c>
      <c r="I49" s="31">
        <v>150</v>
      </c>
      <c r="J49" s="31">
        <v>300</v>
      </c>
      <c r="K49" s="31">
        <v>4500</v>
      </c>
      <c r="L49" s="31">
        <v>30</v>
      </c>
      <c r="M49" s="31">
        <v>15</v>
      </c>
      <c r="N49" s="31"/>
      <c r="O49" s="31">
        <v>52</v>
      </c>
      <c r="P49" s="31">
        <v>0</v>
      </c>
      <c r="Q49" s="31">
        <v>4500</v>
      </c>
      <c r="R49" s="31"/>
      <c r="S49" s="31"/>
      <c r="T49" s="31"/>
      <c r="U49">
        <f>IFERROR(VLOOKUP(C49,Hoja4!$D$4:$E$273,2,FALSE),0)</f>
        <v>0</v>
      </c>
      <c r="V49">
        <f>IFERROR(VLOOKUP(C49,Hoja4!$A$4:$B$273,2,FALSE),0)</f>
        <v>0</v>
      </c>
    </row>
    <row r="50" spans="1:22" x14ac:dyDescent="0.25">
      <c r="A50" s="32">
        <v>46066</v>
      </c>
      <c r="B50" s="30" t="s">
        <v>63</v>
      </c>
      <c r="C50" s="30">
        <v>53</v>
      </c>
      <c r="D50" s="30" t="s">
        <v>1171</v>
      </c>
      <c r="E50" s="30" t="s">
        <v>1171</v>
      </c>
      <c r="F50" s="30"/>
      <c r="G50" s="30" t="s">
        <v>1170</v>
      </c>
      <c r="H50" s="30">
        <v>3103174172</v>
      </c>
      <c r="I50" s="30">
        <v>120</v>
      </c>
      <c r="J50" s="30">
        <v>120</v>
      </c>
      <c r="K50" s="30">
        <v>1800</v>
      </c>
      <c r="L50" s="30">
        <v>15</v>
      </c>
      <c r="M50" s="30">
        <v>15</v>
      </c>
      <c r="N50" s="30">
        <v>46081</v>
      </c>
      <c r="O50" s="30">
        <v>53</v>
      </c>
      <c r="P50" s="30">
        <v>42000</v>
      </c>
      <c r="Q50" s="30">
        <v>1800</v>
      </c>
      <c r="R50" s="30">
        <v>75600</v>
      </c>
      <c r="S50" s="30" t="s">
        <v>1169</v>
      </c>
      <c r="T50" s="30" t="s">
        <v>1168</v>
      </c>
      <c r="U50">
        <f>IFERROR(VLOOKUP(C50,Hoja4!$D$4:$E$273,2,FALSE),0)</f>
        <v>6500</v>
      </c>
      <c r="V50">
        <f>IFERROR(VLOOKUP(C50,Hoja4!$A$4:$B$273,2,FALSE),0)</f>
        <v>0</v>
      </c>
    </row>
    <row r="51" spans="1:22" x14ac:dyDescent="0.25">
      <c r="A51" s="33">
        <v>46062</v>
      </c>
      <c r="B51" s="31" t="s">
        <v>63</v>
      </c>
      <c r="C51" s="31">
        <v>54</v>
      </c>
      <c r="D51" s="31" t="s">
        <v>1167</v>
      </c>
      <c r="E51" s="31" t="s">
        <v>1167</v>
      </c>
      <c r="F51" s="31"/>
      <c r="G51" s="31" t="s">
        <v>1166</v>
      </c>
      <c r="H51" s="31">
        <v>3004955102</v>
      </c>
      <c r="I51" s="31">
        <v>150</v>
      </c>
      <c r="J51" s="31">
        <v>450</v>
      </c>
      <c r="K51" s="31">
        <v>6750</v>
      </c>
      <c r="L51" s="31">
        <v>45</v>
      </c>
      <c r="M51" s="31">
        <v>15</v>
      </c>
      <c r="N51" s="31">
        <v>46077</v>
      </c>
      <c r="O51" s="31">
        <v>54</v>
      </c>
      <c r="P51" s="31">
        <v>36444.444444444445</v>
      </c>
      <c r="Q51" s="31">
        <v>6750</v>
      </c>
      <c r="R51" s="31">
        <v>246000</v>
      </c>
      <c r="S51" s="31" t="s">
        <v>1165</v>
      </c>
      <c r="T51" s="31" t="s">
        <v>1164</v>
      </c>
      <c r="U51">
        <f>IFERROR(VLOOKUP(C51,Hoja4!$D$4:$E$273,2,FALSE),0)</f>
        <v>0</v>
      </c>
      <c r="V51">
        <f>IFERROR(VLOOKUP(C51,Hoja4!$A$4:$B$273,2,FALSE),0)</f>
        <v>0</v>
      </c>
    </row>
    <row r="52" spans="1:22" x14ac:dyDescent="0.25">
      <c r="A52" s="32"/>
      <c r="B52" s="30" t="s">
        <v>208</v>
      </c>
      <c r="C52" s="30">
        <v>55</v>
      </c>
      <c r="D52" s="30" t="s">
        <v>1163</v>
      </c>
      <c r="E52" s="30" t="s">
        <v>1162</v>
      </c>
      <c r="F52" s="30"/>
      <c r="G52" s="30" t="s">
        <v>1161</v>
      </c>
      <c r="H52" s="30">
        <v>3203424920</v>
      </c>
      <c r="I52" s="30">
        <v>100</v>
      </c>
      <c r="J52" s="30">
        <v>100</v>
      </c>
      <c r="K52" s="30">
        <v>800</v>
      </c>
      <c r="L52" s="30">
        <v>8</v>
      </c>
      <c r="M52" s="30">
        <v>8</v>
      </c>
      <c r="N52" s="30"/>
      <c r="O52" s="30">
        <v>55</v>
      </c>
      <c r="P52" s="30">
        <v>40000</v>
      </c>
      <c r="Q52" s="30">
        <v>800</v>
      </c>
      <c r="R52" s="30">
        <v>32000</v>
      </c>
      <c r="S52" s="30" t="s">
        <v>1160</v>
      </c>
      <c r="T52" s="30"/>
      <c r="U52">
        <f>IFERROR(VLOOKUP(C52,Hoja4!$D$4:$E$273,2,FALSE),0)</f>
        <v>0</v>
      </c>
      <c r="V52">
        <f>IFERROR(VLOOKUP(C52,Hoja4!$A$4:$B$273,2,FALSE),0)</f>
        <v>0</v>
      </c>
    </row>
    <row r="53" spans="1:22" x14ac:dyDescent="0.25">
      <c r="A53" s="33">
        <v>46066</v>
      </c>
      <c r="B53" s="31" t="s">
        <v>63</v>
      </c>
      <c r="C53" s="31">
        <v>56</v>
      </c>
      <c r="D53" s="31" t="s">
        <v>1159</v>
      </c>
      <c r="E53" s="31" t="s">
        <v>1159</v>
      </c>
      <c r="F53" s="31" t="s">
        <v>52</v>
      </c>
      <c r="G53" s="31" t="s">
        <v>1158</v>
      </c>
      <c r="H53" s="31">
        <v>3123705496</v>
      </c>
      <c r="I53" s="31">
        <v>150</v>
      </c>
      <c r="J53" s="31">
        <v>300</v>
      </c>
      <c r="K53" s="31">
        <v>4500</v>
      </c>
      <c r="L53" s="31">
        <v>30</v>
      </c>
      <c r="M53" s="31">
        <v>15</v>
      </c>
      <c r="N53" s="31">
        <v>46081</v>
      </c>
      <c r="O53" s="31">
        <v>56</v>
      </c>
      <c r="P53" s="31">
        <v>29000</v>
      </c>
      <c r="Q53" s="31">
        <v>4500</v>
      </c>
      <c r="R53" s="31">
        <v>130500</v>
      </c>
      <c r="S53" s="31" t="s">
        <v>1157</v>
      </c>
      <c r="T53" s="31" t="s">
        <v>1156</v>
      </c>
      <c r="U53">
        <f>IFERROR(VLOOKUP(C53,Hoja4!$D$4:$E$273,2,FALSE),0)</f>
        <v>174000</v>
      </c>
      <c r="V53">
        <f>IFERROR(VLOOKUP(C53,Hoja4!$A$4:$B$273,2,FALSE),0)</f>
        <v>0</v>
      </c>
    </row>
    <row r="54" spans="1:22" x14ac:dyDescent="0.25">
      <c r="A54" s="32"/>
      <c r="B54" s="30" t="s">
        <v>208</v>
      </c>
      <c r="C54" s="30">
        <v>57</v>
      </c>
      <c r="D54" s="30" t="s">
        <v>1155</v>
      </c>
      <c r="E54" s="30" t="s">
        <v>1155</v>
      </c>
      <c r="F54" s="30"/>
      <c r="G54" s="30" t="s">
        <v>1154</v>
      </c>
      <c r="H54" s="30">
        <v>3214076073</v>
      </c>
      <c r="I54" s="30">
        <v>110</v>
      </c>
      <c r="J54" s="30">
        <v>220</v>
      </c>
      <c r="K54" s="30">
        <v>3300</v>
      </c>
      <c r="L54" s="30">
        <v>30</v>
      </c>
      <c r="M54" s="30">
        <v>15</v>
      </c>
      <c r="N54" s="30"/>
      <c r="O54" s="30">
        <v>57</v>
      </c>
      <c r="P54" s="30">
        <v>37818.181818181823</v>
      </c>
      <c r="Q54" s="30">
        <v>3300</v>
      </c>
      <c r="R54" s="30">
        <v>124800</v>
      </c>
      <c r="S54" s="30" t="s">
        <v>1153</v>
      </c>
      <c r="T54" s="30" t="s">
        <v>1152</v>
      </c>
      <c r="U54">
        <f>IFERROR(VLOOKUP(C54,Hoja4!$D$4:$E$273,2,FALSE),0)</f>
        <v>0</v>
      </c>
      <c r="V54">
        <f>IFERROR(VLOOKUP(C54,Hoja4!$A$4:$B$273,2,FALSE),0)</f>
        <v>0</v>
      </c>
    </row>
    <row r="55" spans="1:22" x14ac:dyDescent="0.25">
      <c r="A55" s="33"/>
      <c r="B55" s="31" t="s">
        <v>208</v>
      </c>
      <c r="C55" s="31">
        <v>58</v>
      </c>
      <c r="D55" s="31" t="s">
        <v>1151</v>
      </c>
      <c r="E55" s="31" t="s">
        <v>1150</v>
      </c>
      <c r="F55" s="31"/>
      <c r="G55" s="31" t="s">
        <v>1149</v>
      </c>
      <c r="H55" s="31">
        <v>3213239770</v>
      </c>
      <c r="I55" s="31">
        <v>73</v>
      </c>
      <c r="J55" s="31">
        <v>146</v>
      </c>
      <c r="K55" s="31">
        <v>1022</v>
      </c>
      <c r="L55" s="31">
        <v>14</v>
      </c>
      <c r="M55" s="31">
        <v>7</v>
      </c>
      <c r="N55" s="31"/>
      <c r="O55" s="31">
        <v>58</v>
      </c>
      <c r="P55" s="31">
        <v>9784.7358121330726</v>
      </c>
      <c r="Q55" s="31">
        <v>1022</v>
      </c>
      <c r="R55" s="31">
        <v>10000</v>
      </c>
      <c r="S55" s="31" t="s">
        <v>1148</v>
      </c>
      <c r="T55" s="31" t="s">
        <v>1147</v>
      </c>
      <c r="U55">
        <f>IFERROR(VLOOKUP(C55,Hoja4!$D$4:$E$273,2,FALSE),0)</f>
        <v>0</v>
      </c>
      <c r="V55">
        <f>IFERROR(VLOOKUP(C55,Hoja4!$A$4:$B$273,2,FALSE),0)</f>
        <v>0</v>
      </c>
    </row>
    <row r="56" spans="1:22" x14ac:dyDescent="0.25">
      <c r="A56" s="32"/>
      <c r="B56" s="30" t="s">
        <v>208</v>
      </c>
      <c r="C56" s="30">
        <v>60</v>
      </c>
      <c r="D56" s="30" t="s">
        <v>1146</v>
      </c>
      <c r="E56" s="30" t="s">
        <v>1146</v>
      </c>
      <c r="F56" s="30"/>
      <c r="G56" s="30" t="s">
        <v>1145</v>
      </c>
      <c r="H56" s="30">
        <v>3143193333</v>
      </c>
      <c r="I56" s="30">
        <v>130</v>
      </c>
      <c r="J56" s="30">
        <v>260</v>
      </c>
      <c r="K56" s="30">
        <v>3900</v>
      </c>
      <c r="L56" s="30">
        <v>30</v>
      </c>
      <c r="M56" s="30">
        <v>15</v>
      </c>
      <c r="N56" s="30"/>
      <c r="O56" s="30">
        <v>60</v>
      </c>
      <c r="P56" s="30">
        <v>37538.461538461539</v>
      </c>
      <c r="Q56" s="30">
        <v>3900</v>
      </c>
      <c r="R56" s="30">
        <v>146400</v>
      </c>
      <c r="S56" s="30" t="s">
        <v>1144</v>
      </c>
      <c r="T56" s="30" t="s">
        <v>1143</v>
      </c>
      <c r="U56">
        <f>IFERROR(VLOOKUP(C56,Hoja4!$D$4:$E$273,2,FALSE),0)</f>
        <v>0</v>
      </c>
      <c r="V56">
        <f>IFERROR(VLOOKUP(C56,Hoja4!$A$4:$B$273,2,FALSE),0)</f>
        <v>0</v>
      </c>
    </row>
    <row r="57" spans="1:22" x14ac:dyDescent="0.25">
      <c r="A57" s="33">
        <v>46070</v>
      </c>
      <c r="B57" s="31" t="s">
        <v>63</v>
      </c>
      <c r="C57" s="31">
        <v>61</v>
      </c>
      <c r="D57" s="31" t="s">
        <v>1142</v>
      </c>
      <c r="E57" s="31" t="s">
        <v>1142</v>
      </c>
      <c r="F57" s="31"/>
      <c r="G57" s="31" t="s">
        <v>1141</v>
      </c>
      <c r="H57" s="31">
        <v>3124002720</v>
      </c>
      <c r="I57" s="31">
        <v>270</v>
      </c>
      <c r="J57" s="31">
        <v>540</v>
      </c>
      <c r="K57" s="31">
        <v>8100</v>
      </c>
      <c r="L57" s="31">
        <v>30</v>
      </c>
      <c r="M57" s="31">
        <v>15</v>
      </c>
      <c r="N57" s="31">
        <v>46085</v>
      </c>
      <c r="O57" s="31">
        <v>61</v>
      </c>
      <c r="P57" s="31">
        <v>26000</v>
      </c>
      <c r="Q57" s="31">
        <v>8100</v>
      </c>
      <c r="R57" s="31">
        <v>210600</v>
      </c>
      <c r="S57" s="31" t="s">
        <v>671</v>
      </c>
      <c r="T57" s="31" t="s">
        <v>670</v>
      </c>
      <c r="U57">
        <f>IFERROR(VLOOKUP(C57,Hoja4!$D$4:$E$273,2,FALSE),0)</f>
        <v>210600</v>
      </c>
      <c r="V57">
        <f>IFERROR(VLOOKUP(C57,Hoja4!$A$4:$B$273,2,FALSE),0)</f>
        <v>0</v>
      </c>
    </row>
    <row r="58" spans="1:22" x14ac:dyDescent="0.25">
      <c r="A58" s="32"/>
      <c r="B58" s="30" t="s">
        <v>208</v>
      </c>
      <c r="C58" s="30">
        <v>62</v>
      </c>
      <c r="D58" s="30" t="s">
        <v>1140</v>
      </c>
      <c r="E58" s="30" t="s">
        <v>1140</v>
      </c>
      <c r="F58" s="30"/>
      <c r="G58" s="30" t="s">
        <v>1139</v>
      </c>
      <c r="H58" s="30">
        <v>3138791829</v>
      </c>
      <c r="I58" s="30">
        <v>185</v>
      </c>
      <c r="J58" s="30">
        <v>370</v>
      </c>
      <c r="K58" s="30">
        <v>2590</v>
      </c>
      <c r="L58" s="30">
        <v>14</v>
      </c>
      <c r="M58" s="30">
        <v>7</v>
      </c>
      <c r="N58" s="30"/>
      <c r="O58" s="30">
        <v>62</v>
      </c>
      <c r="P58" s="30">
        <v>3861.0038610038609</v>
      </c>
      <c r="Q58" s="30">
        <v>2590</v>
      </c>
      <c r="R58" s="30">
        <v>10000</v>
      </c>
      <c r="S58" s="30"/>
      <c r="T58" s="30"/>
      <c r="U58">
        <f>IFERROR(VLOOKUP(C58,Hoja4!$D$4:$E$273,2,FALSE),0)</f>
        <v>0</v>
      </c>
      <c r="V58">
        <f>IFERROR(VLOOKUP(C58,Hoja4!$A$4:$B$273,2,FALSE),0)</f>
        <v>0</v>
      </c>
    </row>
    <row r="59" spans="1:22" x14ac:dyDescent="0.25">
      <c r="A59" s="33">
        <v>46071</v>
      </c>
      <c r="B59" s="31" t="s">
        <v>63</v>
      </c>
      <c r="C59" s="31">
        <v>63</v>
      </c>
      <c r="D59" s="31" t="s">
        <v>1138</v>
      </c>
      <c r="E59" s="31" t="s">
        <v>1137</v>
      </c>
      <c r="F59" s="31" t="s">
        <v>313</v>
      </c>
      <c r="G59" s="31" t="s">
        <v>1136</v>
      </c>
      <c r="H59" s="31">
        <v>3143069108</v>
      </c>
      <c r="I59" s="31">
        <v>140</v>
      </c>
      <c r="J59" s="31">
        <v>420</v>
      </c>
      <c r="K59" s="31">
        <v>6300</v>
      </c>
      <c r="L59" s="31">
        <v>45</v>
      </c>
      <c r="M59" s="31">
        <v>15</v>
      </c>
      <c r="N59" s="31">
        <v>46086</v>
      </c>
      <c r="O59" s="31">
        <v>63</v>
      </c>
      <c r="P59" s="31">
        <v>27000</v>
      </c>
      <c r="Q59" s="31">
        <v>6300</v>
      </c>
      <c r="R59" s="31">
        <v>170100</v>
      </c>
      <c r="S59" s="31" t="s">
        <v>1135</v>
      </c>
      <c r="T59" s="31" t="s">
        <v>1134</v>
      </c>
      <c r="U59">
        <f>IFERROR(VLOOKUP(C59,Hoja4!$D$4:$E$273,2,FALSE),0)</f>
        <v>375200</v>
      </c>
      <c r="V59">
        <f>IFERROR(VLOOKUP(C59,Hoja4!$A$4:$B$273,2,FALSE),0)</f>
        <v>0</v>
      </c>
    </row>
    <row r="60" spans="1:22" x14ac:dyDescent="0.25">
      <c r="A60" s="32">
        <v>46069</v>
      </c>
      <c r="B60" s="30" t="s">
        <v>63</v>
      </c>
      <c r="C60" s="30">
        <v>64</v>
      </c>
      <c r="D60" s="30" t="s">
        <v>1133</v>
      </c>
      <c r="E60" s="30" t="s">
        <v>1133</v>
      </c>
      <c r="F60" s="30"/>
      <c r="G60" s="30" t="s">
        <v>1132</v>
      </c>
      <c r="H60" s="30">
        <v>3057888483</v>
      </c>
      <c r="I60" s="30">
        <v>220</v>
      </c>
      <c r="J60" s="30">
        <v>220</v>
      </c>
      <c r="K60" s="30">
        <v>3300</v>
      </c>
      <c r="L60" s="30">
        <v>15</v>
      </c>
      <c r="M60" s="30">
        <v>15</v>
      </c>
      <c r="N60" s="30">
        <v>46084</v>
      </c>
      <c r="O60" s="30">
        <v>64</v>
      </c>
      <c r="P60" s="30">
        <v>30151.515151515152</v>
      </c>
      <c r="Q60" s="30">
        <v>3300</v>
      </c>
      <c r="R60" s="30">
        <v>99500</v>
      </c>
      <c r="S60" s="30" t="s">
        <v>1131</v>
      </c>
      <c r="T60" s="30" t="s">
        <v>1130</v>
      </c>
      <c r="U60">
        <f>IFERROR(VLOOKUP(C60,Hoja4!$D$4:$E$273,2,FALSE),0)</f>
        <v>0</v>
      </c>
      <c r="V60">
        <f>IFERROR(VLOOKUP(C60,Hoja4!$A$4:$B$273,2,FALSE),0)</f>
        <v>0</v>
      </c>
    </row>
    <row r="61" spans="1:22" x14ac:dyDescent="0.25">
      <c r="A61" s="33"/>
      <c r="B61" s="31" t="s">
        <v>208</v>
      </c>
      <c r="C61" s="31">
        <v>65</v>
      </c>
      <c r="D61" s="31" t="s">
        <v>1129</v>
      </c>
      <c r="E61" s="31" t="s">
        <v>1129</v>
      </c>
      <c r="F61" s="31"/>
      <c r="G61" s="31" t="s">
        <v>1128</v>
      </c>
      <c r="H61" s="31">
        <v>3195630612</v>
      </c>
      <c r="I61" s="31">
        <v>105</v>
      </c>
      <c r="J61" s="31">
        <v>210</v>
      </c>
      <c r="K61" s="31">
        <v>3150</v>
      </c>
      <c r="L61" s="31">
        <v>30</v>
      </c>
      <c r="M61" s="31">
        <v>15</v>
      </c>
      <c r="N61" s="31"/>
      <c r="O61" s="31">
        <v>65</v>
      </c>
      <c r="P61" s="31">
        <v>28000</v>
      </c>
      <c r="Q61" s="31">
        <v>3150</v>
      </c>
      <c r="R61" s="31">
        <v>88200</v>
      </c>
      <c r="S61" s="31" t="s">
        <v>1127</v>
      </c>
      <c r="T61" s="31" t="s">
        <v>1126</v>
      </c>
      <c r="U61">
        <f>IFERROR(VLOOKUP(C61,Hoja4!$D$4:$E$273,2,FALSE),0)</f>
        <v>0</v>
      </c>
      <c r="V61">
        <f>IFERROR(VLOOKUP(C61,Hoja4!$A$4:$B$273,2,FALSE),0)</f>
        <v>0</v>
      </c>
    </row>
    <row r="62" spans="1:22" x14ac:dyDescent="0.25">
      <c r="A62" s="32">
        <v>46065</v>
      </c>
      <c r="B62" s="30" t="s">
        <v>63</v>
      </c>
      <c r="C62" s="30">
        <v>66</v>
      </c>
      <c r="D62" s="30" t="s">
        <v>1125</v>
      </c>
      <c r="E62" s="30" t="s">
        <v>1125</v>
      </c>
      <c r="F62" s="30" t="s">
        <v>52</v>
      </c>
      <c r="G62" s="30" t="s">
        <v>1124</v>
      </c>
      <c r="H62" s="30">
        <v>3013849900</v>
      </c>
      <c r="I62" s="30">
        <v>220</v>
      </c>
      <c r="J62" s="30">
        <v>440</v>
      </c>
      <c r="K62" s="30">
        <v>6160</v>
      </c>
      <c r="L62" s="30">
        <v>28</v>
      </c>
      <c r="M62" s="30">
        <v>14</v>
      </c>
      <c r="N62" s="30">
        <v>46079</v>
      </c>
      <c r="O62" s="30">
        <v>66</v>
      </c>
      <c r="P62" s="30">
        <v>30000</v>
      </c>
      <c r="Q62" s="30">
        <v>6160</v>
      </c>
      <c r="R62" s="30">
        <v>184800</v>
      </c>
      <c r="S62" s="30" t="s">
        <v>1123</v>
      </c>
      <c r="T62" s="30" t="s">
        <v>1122</v>
      </c>
      <c r="U62">
        <f>IFERROR(VLOOKUP(C62,Hoja4!$D$4:$E$273,2,FALSE),0)</f>
        <v>0</v>
      </c>
      <c r="V62">
        <f>IFERROR(VLOOKUP(C62,Hoja4!$A$4:$B$273,2,FALSE),0)</f>
        <v>0</v>
      </c>
    </row>
    <row r="63" spans="1:22" x14ac:dyDescent="0.25">
      <c r="A63" s="33">
        <v>46048</v>
      </c>
      <c r="B63" s="31" t="s">
        <v>4</v>
      </c>
      <c r="C63" s="31">
        <v>67</v>
      </c>
      <c r="D63" s="31" t="s">
        <v>1121</v>
      </c>
      <c r="E63" s="31" t="s">
        <v>1121</v>
      </c>
      <c r="F63" s="31"/>
      <c r="G63" s="31" t="s">
        <v>1120</v>
      </c>
      <c r="H63" s="31">
        <v>3142070103</v>
      </c>
      <c r="I63" s="31">
        <v>124</v>
      </c>
      <c r="J63" s="31">
        <v>124</v>
      </c>
      <c r="K63" s="31">
        <v>3720</v>
      </c>
      <c r="L63" s="31">
        <v>30</v>
      </c>
      <c r="M63" s="31">
        <v>30</v>
      </c>
      <c r="N63" s="31">
        <v>46078</v>
      </c>
      <c r="O63" s="31">
        <v>67</v>
      </c>
      <c r="P63" s="31">
        <v>42903.225806451614</v>
      </c>
      <c r="Q63" s="31">
        <v>3720</v>
      </c>
      <c r="R63" s="31">
        <v>159600</v>
      </c>
      <c r="S63" s="31" t="s">
        <v>1119</v>
      </c>
      <c r="T63" s="31" t="s">
        <v>1118</v>
      </c>
      <c r="U63">
        <f>IFERROR(VLOOKUP(C63,Hoja4!$D$4:$E$273,2,FALSE),0)</f>
        <v>0</v>
      </c>
      <c r="V63">
        <f>IFERROR(VLOOKUP(C63,Hoja4!$A$4:$B$273,2,FALSE),0)</f>
        <v>400</v>
      </c>
    </row>
    <row r="64" spans="1:22" x14ac:dyDescent="0.25">
      <c r="A64" s="32">
        <v>46056</v>
      </c>
      <c r="B64" s="30" t="s">
        <v>63</v>
      </c>
      <c r="C64" s="30">
        <v>68</v>
      </c>
      <c r="D64" s="30" t="s">
        <v>1117</v>
      </c>
      <c r="E64" s="30" t="s">
        <v>1117</v>
      </c>
      <c r="F64" s="30"/>
      <c r="G64" s="30" t="s">
        <v>1116</v>
      </c>
      <c r="H64" s="30">
        <v>3132651016</v>
      </c>
      <c r="I64" s="30">
        <v>160</v>
      </c>
      <c r="J64" s="30">
        <v>320</v>
      </c>
      <c r="K64" s="30">
        <v>4800</v>
      </c>
      <c r="L64" s="30">
        <v>30</v>
      </c>
      <c r="M64" s="30">
        <v>15</v>
      </c>
      <c r="N64" s="30">
        <v>46071</v>
      </c>
      <c r="O64" s="30">
        <v>68</v>
      </c>
      <c r="P64" s="30">
        <v>38000</v>
      </c>
      <c r="Q64" s="30">
        <v>4800</v>
      </c>
      <c r="R64" s="30">
        <v>182400</v>
      </c>
      <c r="S64" s="30" t="s">
        <v>1115</v>
      </c>
      <c r="T64" s="30" t="s">
        <v>1114</v>
      </c>
      <c r="U64">
        <f>IFERROR(VLOOKUP(C64,Hoja4!$D$4:$E$273,2,FALSE),0)</f>
        <v>0</v>
      </c>
      <c r="V64">
        <f>IFERROR(VLOOKUP(C64,Hoja4!$A$4:$B$273,2,FALSE),0)</f>
        <v>0</v>
      </c>
    </row>
    <row r="65" spans="1:22" x14ac:dyDescent="0.25">
      <c r="A65" s="33">
        <v>46063</v>
      </c>
      <c r="B65" s="31" t="s">
        <v>63</v>
      </c>
      <c r="C65" s="31">
        <v>69</v>
      </c>
      <c r="D65" s="31" t="s">
        <v>1113</v>
      </c>
      <c r="E65" s="31" t="s">
        <v>1113</v>
      </c>
      <c r="F65" s="31"/>
      <c r="G65" s="31" t="s">
        <v>1112</v>
      </c>
      <c r="H65" s="31">
        <v>3022387448</v>
      </c>
      <c r="I65" s="31">
        <v>150</v>
      </c>
      <c r="J65" s="31">
        <v>300</v>
      </c>
      <c r="K65" s="31">
        <v>4500</v>
      </c>
      <c r="L65" s="31">
        <v>30</v>
      </c>
      <c r="M65" s="31">
        <v>15</v>
      </c>
      <c r="N65" s="31">
        <v>46078</v>
      </c>
      <c r="O65" s="31">
        <v>69</v>
      </c>
      <c r="P65" s="31">
        <v>35000</v>
      </c>
      <c r="Q65" s="31">
        <v>4500</v>
      </c>
      <c r="R65" s="31">
        <v>157500</v>
      </c>
      <c r="S65" s="31" t="s">
        <v>1111</v>
      </c>
      <c r="T65" s="31" t="s">
        <v>1110</v>
      </c>
      <c r="U65">
        <f>IFERROR(VLOOKUP(C65,Hoja4!$D$4:$E$273,2,FALSE),0)</f>
        <v>799000</v>
      </c>
      <c r="V65">
        <f>IFERROR(VLOOKUP(C65,Hoja4!$A$4:$B$273,2,FALSE),0)</f>
        <v>0</v>
      </c>
    </row>
    <row r="66" spans="1:22" x14ac:dyDescent="0.25">
      <c r="A66" s="32"/>
      <c r="B66" s="30" t="s">
        <v>208</v>
      </c>
      <c r="C66" s="30">
        <v>70</v>
      </c>
      <c r="D66" s="30" t="s">
        <v>1109</v>
      </c>
      <c r="E66" s="30" t="s">
        <v>1108</v>
      </c>
      <c r="F66" s="30"/>
      <c r="G66" s="30" t="s">
        <v>1107</v>
      </c>
      <c r="H66" s="30">
        <v>3176451476</v>
      </c>
      <c r="I66" s="30">
        <v>64</v>
      </c>
      <c r="J66" s="30">
        <v>190</v>
      </c>
      <c r="K66" s="30">
        <v>2850</v>
      </c>
      <c r="L66" s="30">
        <v>44.53125</v>
      </c>
      <c r="M66" s="30">
        <v>15</v>
      </c>
      <c r="N66" s="30"/>
      <c r="O66" s="30">
        <v>70</v>
      </c>
      <c r="P66" s="30">
        <v>38105.26315789474</v>
      </c>
      <c r="Q66" s="30">
        <v>2850</v>
      </c>
      <c r="R66" s="30">
        <v>108600</v>
      </c>
      <c r="S66" s="30" t="s">
        <v>1106</v>
      </c>
      <c r="T66" s="30" t="s">
        <v>1105</v>
      </c>
      <c r="U66">
        <f>IFERROR(VLOOKUP(C66,Hoja4!$D$4:$E$273,2,FALSE),0)</f>
        <v>0</v>
      </c>
      <c r="V66">
        <f>IFERROR(VLOOKUP(C66,Hoja4!$A$4:$B$273,2,FALSE),0)</f>
        <v>0</v>
      </c>
    </row>
    <row r="67" spans="1:22" x14ac:dyDescent="0.25">
      <c r="A67" s="33">
        <v>46078</v>
      </c>
      <c r="B67" s="31" t="s">
        <v>63</v>
      </c>
      <c r="C67" s="31">
        <v>71</v>
      </c>
      <c r="D67" s="31" t="s">
        <v>1104</v>
      </c>
      <c r="E67" s="31" t="s">
        <v>1103</v>
      </c>
      <c r="F67" s="31" t="s">
        <v>52</v>
      </c>
      <c r="G67" s="31" t="s">
        <v>88</v>
      </c>
      <c r="H67" s="31">
        <v>3002104747</v>
      </c>
      <c r="I67" s="31">
        <v>180</v>
      </c>
      <c r="J67" s="31">
        <v>360</v>
      </c>
      <c r="K67" s="31">
        <v>5040</v>
      </c>
      <c r="L67" s="31">
        <v>28</v>
      </c>
      <c r="M67" s="31">
        <v>14</v>
      </c>
      <c r="N67" s="31">
        <v>46092</v>
      </c>
      <c r="O67" s="31">
        <v>71</v>
      </c>
      <c r="P67" s="31">
        <v>31944.444444444442</v>
      </c>
      <c r="Q67" s="31">
        <v>5040</v>
      </c>
      <c r="R67" s="31">
        <v>161000</v>
      </c>
      <c r="S67" s="31" t="s">
        <v>87</v>
      </c>
      <c r="T67" s="31" t="s">
        <v>86</v>
      </c>
      <c r="U67">
        <f>IFERROR(VLOOKUP(C67,Hoja4!$D$4:$E$273,2,FALSE),0)</f>
        <v>0</v>
      </c>
      <c r="V67">
        <f>IFERROR(VLOOKUP(C67,Hoja4!$A$4:$B$273,2,FALSE),0)</f>
        <v>131800</v>
      </c>
    </row>
    <row r="68" spans="1:22" x14ac:dyDescent="0.25">
      <c r="A68" s="32">
        <v>46070</v>
      </c>
      <c r="B68" s="30" t="s">
        <v>63</v>
      </c>
      <c r="C68" s="30">
        <v>72</v>
      </c>
      <c r="D68" s="30" t="s">
        <v>1102</v>
      </c>
      <c r="E68" s="30" t="s">
        <v>1101</v>
      </c>
      <c r="F68" s="30"/>
      <c r="G68" s="30" t="s">
        <v>1100</v>
      </c>
      <c r="H68" s="30">
        <v>3043471739</v>
      </c>
      <c r="I68" s="30">
        <v>100</v>
      </c>
      <c r="J68" s="30">
        <v>200</v>
      </c>
      <c r="K68" s="30">
        <v>3000</v>
      </c>
      <c r="L68" s="30">
        <v>30</v>
      </c>
      <c r="M68" s="30">
        <v>15</v>
      </c>
      <c r="N68" s="30">
        <v>46085</v>
      </c>
      <c r="O68" s="30">
        <v>72</v>
      </c>
      <c r="P68" s="30">
        <v>42000</v>
      </c>
      <c r="Q68" s="30">
        <v>3000</v>
      </c>
      <c r="R68" s="30">
        <v>126000</v>
      </c>
      <c r="S68" s="30" t="s">
        <v>1099</v>
      </c>
      <c r="T68" s="30" t="s">
        <v>1098</v>
      </c>
      <c r="U68">
        <f>IFERROR(VLOOKUP(C68,Hoja4!$D$4:$E$273,2,FALSE),0)</f>
        <v>0</v>
      </c>
      <c r="V68">
        <f>IFERROR(VLOOKUP(C68,Hoja4!$A$4:$B$273,2,FALSE),0)</f>
        <v>107400</v>
      </c>
    </row>
    <row r="69" spans="1:22" x14ac:dyDescent="0.25">
      <c r="A69" s="33">
        <v>46071</v>
      </c>
      <c r="B69" s="31" t="s">
        <v>63</v>
      </c>
      <c r="C69" s="31">
        <v>73</v>
      </c>
      <c r="D69" s="31" t="s">
        <v>1097</v>
      </c>
      <c r="E69" s="31" t="s">
        <v>1097</v>
      </c>
      <c r="F69" s="31"/>
      <c r="G69" s="31" t="s">
        <v>1096</v>
      </c>
      <c r="H69" s="31">
        <v>3104955288</v>
      </c>
      <c r="I69" s="31">
        <v>105</v>
      </c>
      <c r="J69" s="31">
        <v>210</v>
      </c>
      <c r="K69" s="31">
        <v>3150</v>
      </c>
      <c r="L69" s="31">
        <v>30</v>
      </c>
      <c r="M69" s="31">
        <v>15</v>
      </c>
      <c r="N69" s="31">
        <v>46086</v>
      </c>
      <c r="O69" s="31">
        <v>73</v>
      </c>
      <c r="P69" s="31">
        <v>37904.761904761901</v>
      </c>
      <c r="Q69" s="31">
        <v>3150</v>
      </c>
      <c r="R69" s="31">
        <v>119400</v>
      </c>
      <c r="S69" s="31" t="s">
        <v>1095</v>
      </c>
      <c r="T69" s="31" t="s">
        <v>1094</v>
      </c>
      <c r="U69">
        <f>IFERROR(VLOOKUP(C69,Hoja4!$D$4:$E$273,2,FALSE),0)</f>
        <v>238800</v>
      </c>
      <c r="V69">
        <f>IFERROR(VLOOKUP(C69,Hoja4!$A$4:$B$273,2,FALSE),0)</f>
        <v>0</v>
      </c>
    </row>
    <row r="70" spans="1:22" x14ac:dyDescent="0.25">
      <c r="A70" s="32">
        <v>46065</v>
      </c>
      <c r="B70" s="30" t="s">
        <v>63</v>
      </c>
      <c r="C70" s="30">
        <v>74</v>
      </c>
      <c r="D70" s="30" t="s">
        <v>1093</v>
      </c>
      <c r="E70" s="30" t="s">
        <v>1092</v>
      </c>
      <c r="F70" s="30"/>
      <c r="G70" s="30" t="s">
        <v>1091</v>
      </c>
      <c r="H70" s="30">
        <v>3138291625</v>
      </c>
      <c r="I70" s="30">
        <v>300</v>
      </c>
      <c r="J70" s="30">
        <v>900</v>
      </c>
      <c r="K70" s="30">
        <v>9000</v>
      </c>
      <c r="L70" s="30">
        <v>30</v>
      </c>
      <c r="M70" s="30">
        <v>10</v>
      </c>
      <c r="N70" s="30">
        <v>46075</v>
      </c>
      <c r="O70" s="30">
        <v>74</v>
      </c>
      <c r="P70" s="30">
        <v>25000</v>
      </c>
      <c r="Q70" s="30">
        <v>9000</v>
      </c>
      <c r="R70" s="30">
        <v>225000</v>
      </c>
      <c r="S70" s="30" t="s">
        <v>1090</v>
      </c>
      <c r="T70" s="30" t="s">
        <v>1089</v>
      </c>
      <c r="U70">
        <f>IFERROR(VLOOKUP(C70,Hoja4!$D$4:$E$273,2,FALSE),0)</f>
        <v>0</v>
      </c>
      <c r="V70">
        <f>IFERROR(VLOOKUP(C70,Hoja4!$A$4:$B$273,2,FALSE),0)</f>
        <v>0</v>
      </c>
    </row>
    <row r="71" spans="1:22" x14ac:dyDescent="0.25">
      <c r="A71" s="33">
        <v>46069</v>
      </c>
      <c r="B71" s="31" t="s">
        <v>63</v>
      </c>
      <c r="C71" s="31">
        <v>75</v>
      </c>
      <c r="D71" s="31" t="s">
        <v>1088</v>
      </c>
      <c r="E71" s="31" t="s">
        <v>1088</v>
      </c>
      <c r="F71" s="31"/>
      <c r="G71" s="31" t="s">
        <v>1087</v>
      </c>
      <c r="H71" s="31">
        <v>3218280844</v>
      </c>
      <c r="I71" s="31">
        <v>180</v>
      </c>
      <c r="J71" s="31">
        <v>360</v>
      </c>
      <c r="K71" s="31">
        <v>5400</v>
      </c>
      <c r="L71" s="31">
        <v>30</v>
      </c>
      <c r="M71" s="31">
        <v>15</v>
      </c>
      <c r="N71" s="31">
        <v>46084</v>
      </c>
      <c r="O71" s="31">
        <v>75</v>
      </c>
      <c r="P71" s="31">
        <v>25606.425702811201</v>
      </c>
      <c r="Q71" s="31">
        <v>5400</v>
      </c>
      <c r="R71" s="31">
        <v>138274.69879518048</v>
      </c>
      <c r="S71" s="31" t="s">
        <v>1086</v>
      </c>
      <c r="T71" s="31" t="s">
        <v>1085</v>
      </c>
      <c r="U71">
        <f>IFERROR(VLOOKUP(C71,Hoja4!$D$4:$E$273,2,FALSE),0)</f>
        <v>678200</v>
      </c>
      <c r="V71">
        <f>IFERROR(VLOOKUP(C71,Hoja4!$A$4:$B$273,2,FALSE),0)</f>
        <v>0</v>
      </c>
    </row>
    <row r="72" spans="1:22" x14ac:dyDescent="0.25">
      <c r="A72" s="32"/>
      <c r="B72" s="30" t="s">
        <v>208</v>
      </c>
      <c r="C72" s="30">
        <v>76</v>
      </c>
      <c r="D72" s="30" t="s">
        <v>1084</v>
      </c>
      <c r="E72" s="30" t="s">
        <v>1084</v>
      </c>
      <c r="F72" s="30"/>
      <c r="G72" s="30" t="s">
        <v>1083</v>
      </c>
      <c r="H72" s="30">
        <v>3148128511</v>
      </c>
      <c r="I72" s="30">
        <v>58</v>
      </c>
      <c r="J72" s="30">
        <v>115</v>
      </c>
      <c r="K72" s="30">
        <v>1725</v>
      </c>
      <c r="L72" s="30">
        <v>29.741379310344829</v>
      </c>
      <c r="M72" s="30">
        <v>15</v>
      </c>
      <c r="N72" s="30"/>
      <c r="O72" s="30">
        <v>76</v>
      </c>
      <c r="P72" s="30">
        <v>42840.579710144928</v>
      </c>
      <c r="Q72" s="30">
        <v>1725</v>
      </c>
      <c r="R72" s="30">
        <v>73900</v>
      </c>
      <c r="S72" s="30" t="s">
        <v>1082</v>
      </c>
      <c r="T72" s="30" t="s">
        <v>1081</v>
      </c>
      <c r="U72">
        <f>IFERROR(VLOOKUP(C72,Hoja4!$D$4:$E$273,2,FALSE),0)</f>
        <v>0</v>
      </c>
      <c r="V72">
        <f>IFERROR(VLOOKUP(C72,Hoja4!$A$4:$B$273,2,FALSE),0)</f>
        <v>0</v>
      </c>
    </row>
    <row r="73" spans="1:22" x14ac:dyDescent="0.25">
      <c r="A73" s="33">
        <v>46064</v>
      </c>
      <c r="B73" s="31" t="s">
        <v>63</v>
      </c>
      <c r="C73" s="31">
        <v>77</v>
      </c>
      <c r="D73" s="31" t="s">
        <v>1080</v>
      </c>
      <c r="E73" s="31" t="s">
        <v>1079</v>
      </c>
      <c r="F73" s="31"/>
      <c r="G73" s="31" t="s">
        <v>1078</v>
      </c>
      <c r="H73" s="31">
        <v>3118438157</v>
      </c>
      <c r="I73" s="31">
        <v>84</v>
      </c>
      <c r="J73" s="31">
        <v>252</v>
      </c>
      <c r="K73" s="31">
        <v>3780</v>
      </c>
      <c r="L73" s="31">
        <v>45</v>
      </c>
      <c r="M73" s="31">
        <v>15</v>
      </c>
      <c r="N73" s="31">
        <v>46079</v>
      </c>
      <c r="O73" s="31">
        <v>77</v>
      </c>
      <c r="P73" s="31">
        <v>37301.587301587315</v>
      </c>
      <c r="Q73" s="31">
        <v>3780</v>
      </c>
      <c r="R73" s="31">
        <v>141000</v>
      </c>
      <c r="S73" s="31" t="s">
        <v>1077</v>
      </c>
      <c r="T73" s="31"/>
      <c r="U73">
        <f>IFERROR(VLOOKUP(C73,Hoja4!$D$4:$E$273,2,FALSE),0)</f>
        <v>0</v>
      </c>
      <c r="V73">
        <f>IFERROR(VLOOKUP(C73,Hoja4!$A$4:$B$273,2,FALSE),0)</f>
        <v>47000</v>
      </c>
    </row>
    <row r="74" spans="1:22" x14ac:dyDescent="0.25">
      <c r="A74" s="32">
        <v>46059</v>
      </c>
      <c r="B74" s="30" t="s">
        <v>63</v>
      </c>
      <c r="C74" s="30">
        <v>78</v>
      </c>
      <c r="D74" s="30" t="s">
        <v>1076</v>
      </c>
      <c r="E74" s="30" t="s">
        <v>1076</v>
      </c>
      <c r="F74" s="30"/>
      <c r="G74" s="30" t="s">
        <v>1075</v>
      </c>
      <c r="H74" s="30">
        <v>3043765289</v>
      </c>
      <c r="I74" s="30">
        <v>72</v>
      </c>
      <c r="J74" s="30">
        <v>72</v>
      </c>
      <c r="K74" s="30">
        <v>1080</v>
      </c>
      <c r="L74" s="30">
        <v>15</v>
      </c>
      <c r="M74" s="30">
        <v>15</v>
      </c>
      <c r="N74" s="30">
        <v>46074</v>
      </c>
      <c r="O74" s="30">
        <v>78</v>
      </c>
      <c r="P74" s="30">
        <v>55000</v>
      </c>
      <c r="Q74" s="30">
        <v>1080</v>
      </c>
      <c r="R74" s="30">
        <v>59400</v>
      </c>
      <c r="S74" s="30" t="s">
        <v>1074</v>
      </c>
      <c r="T74" s="30" t="s">
        <v>1073</v>
      </c>
      <c r="U74">
        <f>IFERROR(VLOOKUP(C74,Hoja4!$D$4:$E$273,2,FALSE),0)</f>
        <v>0</v>
      </c>
      <c r="V74">
        <f>IFERROR(VLOOKUP(C74,Hoja4!$A$4:$B$273,2,FALSE),0)</f>
        <v>40</v>
      </c>
    </row>
    <row r="75" spans="1:22" x14ac:dyDescent="0.25">
      <c r="A75" s="33"/>
      <c r="B75" s="31" t="s">
        <v>208</v>
      </c>
      <c r="C75" s="31">
        <v>79</v>
      </c>
      <c r="D75" s="31" t="s">
        <v>1072</v>
      </c>
      <c r="E75" s="31" t="s">
        <v>1071</v>
      </c>
      <c r="F75" s="31"/>
      <c r="G75" s="31" t="s">
        <v>1070</v>
      </c>
      <c r="H75" s="31">
        <v>3114654968</v>
      </c>
      <c r="I75" s="31">
        <v>60</v>
      </c>
      <c r="J75" s="31">
        <v>180</v>
      </c>
      <c r="K75" s="31">
        <v>2700</v>
      </c>
      <c r="L75" s="31">
        <v>45</v>
      </c>
      <c r="M75" s="31">
        <v>15</v>
      </c>
      <c r="N75" s="31"/>
      <c r="O75" s="31">
        <v>79</v>
      </c>
      <c r="P75" s="31">
        <v>34222.222222222219</v>
      </c>
      <c r="Q75" s="31">
        <v>2700</v>
      </c>
      <c r="R75" s="31">
        <v>92400</v>
      </c>
      <c r="S75" s="31" t="s">
        <v>1069</v>
      </c>
      <c r="T75" s="31" t="s">
        <v>1068</v>
      </c>
      <c r="U75">
        <f>IFERROR(VLOOKUP(C75,Hoja4!$D$4:$E$273,2,FALSE),0)</f>
        <v>0</v>
      </c>
      <c r="V75">
        <f>IFERROR(VLOOKUP(C75,Hoja4!$A$4:$B$273,2,FALSE),0)</f>
        <v>0</v>
      </c>
    </row>
    <row r="76" spans="1:22" x14ac:dyDescent="0.25">
      <c r="A76" s="32">
        <v>46069</v>
      </c>
      <c r="B76" s="30" t="s">
        <v>63</v>
      </c>
      <c r="C76" s="30">
        <v>80</v>
      </c>
      <c r="D76" s="30" t="s">
        <v>1067</v>
      </c>
      <c r="E76" s="30" t="s">
        <v>1067</v>
      </c>
      <c r="F76" s="30"/>
      <c r="G76" s="30" t="s">
        <v>1066</v>
      </c>
      <c r="H76" s="30">
        <v>3123350951</v>
      </c>
      <c r="I76" s="30">
        <v>110</v>
      </c>
      <c r="J76" s="30">
        <v>110</v>
      </c>
      <c r="K76" s="30">
        <v>1650</v>
      </c>
      <c r="L76" s="30">
        <v>15</v>
      </c>
      <c r="M76" s="30">
        <v>15</v>
      </c>
      <c r="N76" s="30">
        <v>46084</v>
      </c>
      <c r="O76" s="30">
        <v>80</v>
      </c>
      <c r="P76" s="30">
        <v>49090.909090909096</v>
      </c>
      <c r="Q76" s="30">
        <v>1650</v>
      </c>
      <c r="R76" s="30">
        <v>81000</v>
      </c>
      <c r="S76" s="30" t="s">
        <v>1065</v>
      </c>
      <c r="T76" s="30"/>
      <c r="U76">
        <f>IFERROR(VLOOKUP(C76,Hoja4!$D$4:$E$273,2,FALSE),0)</f>
        <v>82000</v>
      </c>
      <c r="V76">
        <f>IFERROR(VLOOKUP(C76,Hoja4!$A$4:$B$273,2,FALSE),0)</f>
        <v>0</v>
      </c>
    </row>
    <row r="77" spans="1:22" x14ac:dyDescent="0.25">
      <c r="A77" s="33">
        <v>46069</v>
      </c>
      <c r="B77" s="31" t="s">
        <v>63</v>
      </c>
      <c r="C77" s="31">
        <v>81</v>
      </c>
      <c r="D77" s="31" t="s">
        <v>1064</v>
      </c>
      <c r="E77" s="31" t="s">
        <v>1063</v>
      </c>
      <c r="F77" s="31"/>
      <c r="G77" s="31" t="s">
        <v>1062</v>
      </c>
      <c r="H77" s="31">
        <v>3187091632</v>
      </c>
      <c r="I77" s="31">
        <v>170</v>
      </c>
      <c r="J77" s="31">
        <v>170</v>
      </c>
      <c r="K77" s="31">
        <v>2380</v>
      </c>
      <c r="L77" s="31">
        <v>14</v>
      </c>
      <c r="M77" s="31">
        <v>14</v>
      </c>
      <c r="N77" s="31">
        <v>46083</v>
      </c>
      <c r="O77" s="31">
        <v>81</v>
      </c>
      <c r="P77" s="31">
        <v>39495.798319327725</v>
      </c>
      <c r="Q77" s="31">
        <v>2380</v>
      </c>
      <c r="R77" s="31">
        <v>94000</v>
      </c>
      <c r="S77" s="31" t="s">
        <v>1061</v>
      </c>
      <c r="T77" s="31"/>
      <c r="U77">
        <f>IFERROR(VLOOKUP(C77,Hoja4!$D$4:$E$273,2,FALSE),0)</f>
        <v>107429</v>
      </c>
      <c r="V77">
        <f>IFERROR(VLOOKUP(C77,Hoja4!$A$4:$B$273,2,FALSE),0)</f>
        <v>0</v>
      </c>
    </row>
    <row r="78" spans="1:22" x14ac:dyDescent="0.25">
      <c r="A78" s="32">
        <v>46058</v>
      </c>
      <c r="B78" s="30" t="s">
        <v>63</v>
      </c>
      <c r="C78" s="30">
        <v>82</v>
      </c>
      <c r="D78" s="30" t="s">
        <v>1060</v>
      </c>
      <c r="E78" s="30" t="s">
        <v>1060</v>
      </c>
      <c r="F78" s="30"/>
      <c r="G78" s="30" t="s">
        <v>1059</v>
      </c>
      <c r="H78" s="30">
        <v>3115644071</v>
      </c>
      <c r="I78" s="30">
        <v>106</v>
      </c>
      <c r="J78" s="30">
        <v>212</v>
      </c>
      <c r="K78" s="30">
        <v>3180</v>
      </c>
      <c r="L78" s="30">
        <v>30</v>
      </c>
      <c r="M78" s="30">
        <v>15</v>
      </c>
      <c r="N78" s="30">
        <v>46073</v>
      </c>
      <c r="O78" s="30">
        <v>82</v>
      </c>
      <c r="P78" s="30">
        <v>39150.943396226416</v>
      </c>
      <c r="Q78" s="30">
        <v>3180</v>
      </c>
      <c r="R78" s="30">
        <v>124500</v>
      </c>
      <c r="S78" s="30" t="s">
        <v>1058</v>
      </c>
      <c r="T78" s="30" t="s">
        <v>1057</v>
      </c>
      <c r="U78">
        <f>IFERROR(VLOOKUP(C78,Hoja4!$D$4:$E$273,2,FALSE),0)</f>
        <v>21302</v>
      </c>
      <c r="V78">
        <f>IFERROR(VLOOKUP(C78,Hoja4!$A$4:$B$273,2,FALSE),0)</f>
        <v>0</v>
      </c>
    </row>
    <row r="79" spans="1:22" x14ac:dyDescent="0.25">
      <c r="A79" s="33">
        <v>46059</v>
      </c>
      <c r="B79" s="31" t="s">
        <v>63</v>
      </c>
      <c r="C79" s="31">
        <v>83</v>
      </c>
      <c r="D79" s="31" t="s">
        <v>1056</v>
      </c>
      <c r="E79" s="31" t="s">
        <v>1056</v>
      </c>
      <c r="F79" s="31"/>
      <c r="G79" s="31" t="s">
        <v>1055</v>
      </c>
      <c r="H79" s="31">
        <v>3007205916</v>
      </c>
      <c r="I79" s="31">
        <v>200</v>
      </c>
      <c r="J79" s="31">
        <v>400</v>
      </c>
      <c r="K79" s="31">
        <v>6000</v>
      </c>
      <c r="L79" s="31">
        <v>30</v>
      </c>
      <c r="M79" s="31">
        <v>15</v>
      </c>
      <c r="N79" s="31">
        <v>46074</v>
      </c>
      <c r="O79" s="31">
        <v>83</v>
      </c>
      <c r="P79" s="31">
        <v>36000</v>
      </c>
      <c r="Q79" s="31">
        <v>6000</v>
      </c>
      <c r="R79" s="31">
        <v>216000</v>
      </c>
      <c r="S79" s="31" t="s">
        <v>1054</v>
      </c>
      <c r="T79" s="31" t="s">
        <v>1053</v>
      </c>
      <c r="U79">
        <f>IFERROR(VLOOKUP(C79,Hoja4!$D$4:$E$273,2,FALSE),0)</f>
        <v>216000</v>
      </c>
      <c r="V79">
        <f>IFERROR(VLOOKUP(C79,Hoja4!$A$4:$B$273,2,FALSE),0)</f>
        <v>0</v>
      </c>
    </row>
    <row r="80" spans="1:22" x14ac:dyDescent="0.25">
      <c r="A80" s="32">
        <v>46079</v>
      </c>
      <c r="B80" s="30" t="s">
        <v>63</v>
      </c>
      <c r="C80" s="30">
        <v>84</v>
      </c>
      <c r="D80" s="30" t="s">
        <v>1052</v>
      </c>
      <c r="E80" s="30" t="s">
        <v>1051</v>
      </c>
      <c r="F80" s="30"/>
      <c r="G80" s="30" t="s">
        <v>1050</v>
      </c>
      <c r="H80" s="30">
        <v>3153084029</v>
      </c>
      <c r="I80" s="30">
        <v>205</v>
      </c>
      <c r="J80" s="30">
        <v>410</v>
      </c>
      <c r="K80" s="30">
        <v>3075</v>
      </c>
      <c r="L80" s="30">
        <v>15</v>
      </c>
      <c r="M80" s="30">
        <v>7.5</v>
      </c>
      <c r="N80" s="30">
        <v>46086.5</v>
      </c>
      <c r="O80" s="30">
        <v>84</v>
      </c>
      <c r="P80" s="30">
        <v>32837</v>
      </c>
      <c r="Q80" s="30">
        <v>3075</v>
      </c>
      <c r="R80" s="30">
        <v>101444.25</v>
      </c>
      <c r="S80" s="30" t="s">
        <v>1049</v>
      </c>
      <c r="T80" s="30" t="s">
        <v>1048</v>
      </c>
      <c r="U80">
        <f>IFERROR(VLOOKUP(C80,Hoja4!$D$4:$E$273,2,FALSE),0)</f>
        <v>0</v>
      </c>
      <c r="V80">
        <f>IFERROR(VLOOKUP(C80,Hoja4!$A$4:$B$273,2,FALSE),0)</f>
        <v>17162</v>
      </c>
    </row>
    <row r="81" spans="1:22" x14ac:dyDescent="0.25">
      <c r="A81" s="33">
        <v>46059</v>
      </c>
      <c r="B81" s="31" t="s">
        <v>63</v>
      </c>
      <c r="C81" s="31">
        <v>85</v>
      </c>
      <c r="D81" s="31" t="s">
        <v>1047</v>
      </c>
      <c r="E81" s="31" t="s">
        <v>1047</v>
      </c>
      <c r="F81" s="31"/>
      <c r="G81" s="31" t="s">
        <v>1046</v>
      </c>
      <c r="H81" s="31">
        <v>3223793529</v>
      </c>
      <c r="I81" s="31">
        <v>170</v>
      </c>
      <c r="J81" s="31">
        <v>170</v>
      </c>
      <c r="K81" s="31">
        <v>2380</v>
      </c>
      <c r="L81" s="31">
        <v>14</v>
      </c>
      <c r="M81" s="31">
        <v>14</v>
      </c>
      <c r="N81" s="31">
        <v>46073</v>
      </c>
      <c r="O81" s="31">
        <v>85</v>
      </c>
      <c r="P81" s="31">
        <v>36000</v>
      </c>
      <c r="Q81" s="31">
        <v>2380</v>
      </c>
      <c r="R81" s="31">
        <v>85680</v>
      </c>
      <c r="S81" s="31" t="s">
        <v>1045</v>
      </c>
      <c r="T81" s="31" t="s">
        <v>1044</v>
      </c>
      <c r="U81">
        <f>IFERROR(VLOOKUP(C81,Hoja4!$D$4:$E$273,2,FALSE),0)</f>
        <v>0</v>
      </c>
      <c r="V81">
        <f>IFERROR(VLOOKUP(C81,Hoja4!$A$4:$B$273,2,FALSE),0)</f>
        <v>20</v>
      </c>
    </row>
    <row r="82" spans="1:22" x14ac:dyDescent="0.25">
      <c r="A82" s="32"/>
      <c r="B82" s="30" t="s">
        <v>208</v>
      </c>
      <c r="C82" s="30">
        <v>86</v>
      </c>
      <c r="D82" s="30" t="s">
        <v>1043</v>
      </c>
      <c r="E82" s="30" t="s">
        <v>1043</v>
      </c>
      <c r="F82" s="30" t="s">
        <v>52</v>
      </c>
      <c r="G82" s="30" t="s">
        <v>1042</v>
      </c>
      <c r="H82" s="30">
        <v>3118238285</v>
      </c>
      <c r="I82" s="30">
        <v>200</v>
      </c>
      <c r="J82" s="30">
        <v>1000</v>
      </c>
      <c r="K82" s="30">
        <v>10000</v>
      </c>
      <c r="L82" s="30">
        <v>50</v>
      </c>
      <c r="M82" s="30">
        <v>10</v>
      </c>
      <c r="N82" s="30"/>
      <c r="O82" s="30">
        <v>86</v>
      </c>
      <c r="P82" s="30">
        <v>23000</v>
      </c>
      <c r="Q82" s="30">
        <v>10000</v>
      </c>
      <c r="R82" s="30">
        <v>230000</v>
      </c>
      <c r="S82" s="30" t="s">
        <v>1041</v>
      </c>
      <c r="T82" s="30" t="s">
        <v>1040</v>
      </c>
      <c r="U82">
        <f>IFERROR(VLOOKUP(C82,Hoja4!$D$4:$E$273,2,FALSE),0)</f>
        <v>0</v>
      </c>
      <c r="V82">
        <f>IFERROR(VLOOKUP(C82,Hoja4!$A$4:$B$273,2,FALSE),0)</f>
        <v>0</v>
      </c>
    </row>
    <row r="83" spans="1:22" x14ac:dyDescent="0.25">
      <c r="A83" s="33">
        <v>46066</v>
      </c>
      <c r="B83" s="31" t="s">
        <v>63</v>
      </c>
      <c r="C83" s="31">
        <v>87</v>
      </c>
      <c r="D83" s="31" t="s">
        <v>1039</v>
      </c>
      <c r="E83" s="31" t="s">
        <v>1038</v>
      </c>
      <c r="F83" s="31" t="s">
        <v>52</v>
      </c>
      <c r="G83" s="31" t="s">
        <v>1037</v>
      </c>
      <c r="H83" s="31">
        <v>3017866042</v>
      </c>
      <c r="I83" s="31">
        <v>200</v>
      </c>
      <c r="J83" s="31">
        <v>2000</v>
      </c>
      <c r="K83" s="31">
        <v>24000</v>
      </c>
      <c r="L83" s="31">
        <v>120</v>
      </c>
      <c r="M83" s="31">
        <v>12</v>
      </c>
      <c r="N83" s="31">
        <v>46078</v>
      </c>
      <c r="O83" s="31">
        <v>87</v>
      </c>
      <c r="P83" s="31">
        <v>22000</v>
      </c>
      <c r="Q83" s="31">
        <v>24000</v>
      </c>
      <c r="R83" s="31">
        <v>528000</v>
      </c>
      <c r="S83" s="31" t="s">
        <v>1036</v>
      </c>
      <c r="T83" s="31" t="s">
        <v>1035</v>
      </c>
      <c r="U83">
        <f>IFERROR(VLOOKUP(C83,Hoja4!$D$4:$E$273,2,FALSE),0)</f>
        <v>469986</v>
      </c>
      <c r="V83">
        <f>IFERROR(VLOOKUP(C83,Hoja4!$A$4:$B$273,2,FALSE),0)</f>
        <v>0</v>
      </c>
    </row>
    <row r="84" spans="1:22" x14ac:dyDescent="0.25">
      <c r="A84" s="32">
        <v>46063</v>
      </c>
      <c r="B84" s="30" t="s">
        <v>63</v>
      </c>
      <c r="C84" s="30">
        <v>88</v>
      </c>
      <c r="D84" s="30" t="s">
        <v>1034</v>
      </c>
      <c r="E84" s="30" t="s">
        <v>1033</v>
      </c>
      <c r="F84" s="30"/>
      <c r="G84" s="30" t="s">
        <v>1032</v>
      </c>
      <c r="H84" s="30">
        <v>3222505832</v>
      </c>
      <c r="I84" s="30">
        <v>130</v>
      </c>
      <c r="J84" s="30">
        <v>390</v>
      </c>
      <c r="K84" s="30">
        <v>5850</v>
      </c>
      <c r="L84" s="30">
        <v>45</v>
      </c>
      <c r="M84" s="30">
        <v>15</v>
      </c>
      <c r="N84" s="30">
        <v>46078</v>
      </c>
      <c r="O84" s="30">
        <v>88</v>
      </c>
      <c r="P84" s="30">
        <v>38000</v>
      </c>
      <c r="Q84" s="30">
        <v>5850</v>
      </c>
      <c r="R84" s="30">
        <v>222300</v>
      </c>
      <c r="S84" s="30" t="s">
        <v>1031</v>
      </c>
      <c r="T84" s="30" t="s">
        <v>1030</v>
      </c>
      <c r="U84">
        <f>IFERROR(VLOOKUP(C84,Hoja4!$D$4:$E$273,2,FALSE),0)</f>
        <v>0</v>
      </c>
      <c r="V84">
        <f>IFERROR(VLOOKUP(C84,Hoja4!$A$4:$B$273,2,FALSE),0)</f>
        <v>0</v>
      </c>
    </row>
    <row r="85" spans="1:22" x14ac:dyDescent="0.25">
      <c r="A85" s="33">
        <v>46065</v>
      </c>
      <c r="B85" s="31" t="s">
        <v>63</v>
      </c>
      <c r="C85" s="31">
        <v>89</v>
      </c>
      <c r="D85" s="31" t="s">
        <v>1029</v>
      </c>
      <c r="E85" s="31" t="s">
        <v>1028</v>
      </c>
      <c r="F85" s="31"/>
      <c r="G85" s="31" t="s">
        <v>1027</v>
      </c>
      <c r="H85" s="31">
        <v>3157943245</v>
      </c>
      <c r="I85" s="31">
        <v>215</v>
      </c>
      <c r="J85" s="31">
        <v>430</v>
      </c>
      <c r="K85" s="31">
        <v>6450</v>
      </c>
      <c r="L85" s="31">
        <v>30</v>
      </c>
      <c r="M85" s="31">
        <v>15</v>
      </c>
      <c r="N85" s="31">
        <v>46080</v>
      </c>
      <c r="O85" s="31">
        <v>89</v>
      </c>
      <c r="P85" s="31">
        <v>26000</v>
      </c>
      <c r="Q85" s="31">
        <v>6450</v>
      </c>
      <c r="R85" s="31">
        <v>167700</v>
      </c>
      <c r="S85" s="31" t="s">
        <v>1026</v>
      </c>
      <c r="T85" s="31" t="s">
        <v>1025</v>
      </c>
      <c r="U85">
        <f>IFERROR(VLOOKUP(C85,Hoja4!$D$4:$E$273,2,FALSE),0)</f>
        <v>0</v>
      </c>
      <c r="V85">
        <f>IFERROR(VLOOKUP(C85,Hoja4!$A$4:$B$273,2,FALSE),0)</f>
        <v>0</v>
      </c>
    </row>
    <row r="86" spans="1:22" x14ac:dyDescent="0.25">
      <c r="A86" s="32">
        <v>46066</v>
      </c>
      <c r="B86" s="30" t="s">
        <v>63</v>
      </c>
      <c r="C86" s="30">
        <v>90</v>
      </c>
      <c r="D86" s="30" t="s">
        <v>1024</v>
      </c>
      <c r="E86" s="30" t="s">
        <v>1023</v>
      </c>
      <c r="F86" s="30"/>
      <c r="G86" s="30" t="s">
        <v>1022</v>
      </c>
      <c r="H86" s="30">
        <v>3016627101</v>
      </c>
      <c r="I86" s="30">
        <v>345</v>
      </c>
      <c r="J86" s="30">
        <v>690</v>
      </c>
      <c r="K86" s="30">
        <v>10350</v>
      </c>
      <c r="L86" s="30">
        <v>30</v>
      </c>
      <c r="M86" s="30">
        <v>15</v>
      </c>
      <c r="N86" s="30">
        <v>46081</v>
      </c>
      <c r="O86" s="30">
        <v>90</v>
      </c>
      <c r="P86" s="30">
        <v>24743.961352657007</v>
      </c>
      <c r="Q86" s="30">
        <v>10350</v>
      </c>
      <c r="R86" s="30">
        <v>256100</v>
      </c>
      <c r="S86" s="30" t="s">
        <v>1021</v>
      </c>
      <c r="T86" s="30" t="s">
        <v>1020</v>
      </c>
      <c r="U86">
        <f>IFERROR(VLOOKUP(C86,Hoja4!$D$4:$E$273,2,FALSE),0)</f>
        <v>19000</v>
      </c>
      <c r="V86">
        <f>IFERROR(VLOOKUP(C86,Hoja4!$A$4:$B$273,2,FALSE),0)</f>
        <v>0</v>
      </c>
    </row>
    <row r="87" spans="1:22" x14ac:dyDescent="0.25">
      <c r="A87" s="33">
        <v>46072</v>
      </c>
      <c r="B87" s="31" t="s">
        <v>63</v>
      </c>
      <c r="C87" s="31">
        <v>91</v>
      </c>
      <c r="D87" s="31" t="s">
        <v>1019</v>
      </c>
      <c r="E87" s="31" t="s">
        <v>1019</v>
      </c>
      <c r="F87" s="31"/>
      <c r="G87" s="31" t="s">
        <v>1018</v>
      </c>
      <c r="H87" s="31">
        <v>3006968740</v>
      </c>
      <c r="I87" s="31">
        <v>135</v>
      </c>
      <c r="J87" s="31">
        <v>405</v>
      </c>
      <c r="K87" s="31">
        <v>6075</v>
      </c>
      <c r="L87" s="31">
        <v>45</v>
      </c>
      <c r="M87" s="31">
        <v>15</v>
      </c>
      <c r="N87" s="31">
        <v>46087</v>
      </c>
      <c r="O87" s="31">
        <v>91</v>
      </c>
      <c r="P87" s="31">
        <v>22000</v>
      </c>
      <c r="Q87" s="31">
        <v>6075</v>
      </c>
      <c r="R87" s="31">
        <v>133650</v>
      </c>
      <c r="S87" s="31" t="s">
        <v>1017</v>
      </c>
      <c r="T87" s="31" t="s">
        <v>1016</v>
      </c>
      <c r="U87">
        <f>IFERROR(VLOOKUP(C87,Hoja4!$D$4:$E$273,2,FALSE),0)</f>
        <v>0</v>
      </c>
      <c r="V87">
        <f>IFERROR(VLOOKUP(C87,Hoja4!$A$4:$B$273,2,FALSE),0)</f>
        <v>0</v>
      </c>
    </row>
    <row r="88" spans="1:22" x14ac:dyDescent="0.25">
      <c r="A88" s="32">
        <v>46065</v>
      </c>
      <c r="B88" s="30" t="s">
        <v>63</v>
      </c>
      <c r="C88" s="30">
        <v>92</v>
      </c>
      <c r="D88" s="30" t="s">
        <v>1015</v>
      </c>
      <c r="E88" s="30" t="s">
        <v>1015</v>
      </c>
      <c r="F88" s="30"/>
      <c r="G88" s="30" t="s">
        <v>1014</v>
      </c>
      <c r="H88" s="30">
        <v>3103228444</v>
      </c>
      <c r="I88" s="30">
        <v>56</v>
      </c>
      <c r="J88" s="30">
        <v>168</v>
      </c>
      <c r="K88" s="30">
        <v>2520</v>
      </c>
      <c r="L88" s="30">
        <v>45</v>
      </c>
      <c r="M88" s="30">
        <v>15</v>
      </c>
      <c r="N88" s="30">
        <v>46080</v>
      </c>
      <c r="O88" s="30">
        <v>92</v>
      </c>
      <c r="P88" s="30">
        <v>21984.126984126982</v>
      </c>
      <c r="Q88" s="30">
        <v>2520</v>
      </c>
      <c r="R88" s="30">
        <v>55400</v>
      </c>
      <c r="S88" s="30" t="s">
        <v>1013</v>
      </c>
      <c r="T88" s="30" t="s">
        <v>1012</v>
      </c>
      <c r="U88">
        <f>IFERROR(VLOOKUP(C88,Hoja4!$D$4:$E$273,2,FALSE),0)</f>
        <v>0</v>
      </c>
      <c r="V88">
        <f>IFERROR(VLOOKUP(C88,Hoja4!$A$4:$B$273,2,FALSE),0)</f>
        <v>0</v>
      </c>
    </row>
    <row r="89" spans="1:22" x14ac:dyDescent="0.25">
      <c r="A89" s="33">
        <v>46071</v>
      </c>
      <c r="B89" s="31" t="s">
        <v>63</v>
      </c>
      <c r="C89" s="31">
        <v>93</v>
      </c>
      <c r="D89" s="31" t="s">
        <v>1011</v>
      </c>
      <c r="E89" s="31" t="s">
        <v>1011</v>
      </c>
      <c r="F89" s="31"/>
      <c r="G89" s="31" t="s">
        <v>1010</v>
      </c>
      <c r="H89" s="31">
        <v>3015850114</v>
      </c>
      <c r="I89" s="31">
        <v>116</v>
      </c>
      <c r="J89" s="31">
        <v>232</v>
      </c>
      <c r="K89" s="31">
        <v>3480</v>
      </c>
      <c r="L89" s="31">
        <v>30</v>
      </c>
      <c r="M89" s="31">
        <v>15</v>
      </c>
      <c r="N89" s="31">
        <v>46086</v>
      </c>
      <c r="O89" s="31">
        <v>93</v>
      </c>
      <c r="P89" s="31">
        <v>21982.758620689656</v>
      </c>
      <c r="Q89" s="31">
        <v>3480</v>
      </c>
      <c r="R89" s="31">
        <v>76500</v>
      </c>
      <c r="S89" s="31" t="s">
        <v>1009</v>
      </c>
      <c r="T89" s="31" t="s">
        <v>1008</v>
      </c>
      <c r="U89">
        <f>IFERROR(VLOOKUP(C89,Hoja4!$D$4:$E$273,2,FALSE),0)</f>
        <v>76500</v>
      </c>
      <c r="V89">
        <f>IFERROR(VLOOKUP(C89,Hoja4!$A$4:$B$273,2,FALSE),0)</f>
        <v>0</v>
      </c>
    </row>
    <row r="90" spans="1:22" x14ac:dyDescent="0.25">
      <c r="A90" s="32">
        <v>46063</v>
      </c>
      <c r="B90" s="30" t="s">
        <v>63</v>
      </c>
      <c r="C90" s="30">
        <v>94</v>
      </c>
      <c r="D90" s="30" t="s">
        <v>1007</v>
      </c>
      <c r="E90" s="30" t="s">
        <v>1007</v>
      </c>
      <c r="F90" s="30"/>
      <c r="G90" s="30" t="s">
        <v>1006</v>
      </c>
      <c r="H90" s="30">
        <v>3134339849</v>
      </c>
      <c r="I90" s="30">
        <v>154</v>
      </c>
      <c r="J90" s="30">
        <v>462</v>
      </c>
      <c r="K90" s="30">
        <v>6930</v>
      </c>
      <c r="L90" s="30">
        <v>45</v>
      </c>
      <c r="M90" s="30">
        <v>15</v>
      </c>
      <c r="N90" s="30">
        <v>46078</v>
      </c>
      <c r="O90" s="30">
        <v>94</v>
      </c>
      <c r="P90" s="30">
        <v>21991.341991341989</v>
      </c>
      <c r="Q90" s="30">
        <v>6930</v>
      </c>
      <c r="R90" s="30">
        <v>152400</v>
      </c>
      <c r="S90" s="30" t="s">
        <v>1005</v>
      </c>
      <c r="T90" s="30"/>
      <c r="U90">
        <f>IFERROR(VLOOKUP(C90,Hoja4!$D$4:$E$273,2,FALSE),0)</f>
        <v>0</v>
      </c>
      <c r="V90">
        <f>IFERROR(VLOOKUP(C90,Hoja4!$A$4:$B$273,2,FALSE),0)</f>
        <v>0</v>
      </c>
    </row>
    <row r="91" spans="1:22" x14ac:dyDescent="0.25">
      <c r="A91" s="33">
        <v>46066</v>
      </c>
      <c r="B91" s="31" t="s">
        <v>63</v>
      </c>
      <c r="C91" s="31">
        <v>95</v>
      </c>
      <c r="D91" s="31" t="s">
        <v>1004</v>
      </c>
      <c r="E91" s="31" t="s">
        <v>1004</v>
      </c>
      <c r="F91" s="31"/>
      <c r="G91" s="31" t="s">
        <v>1003</v>
      </c>
      <c r="H91" s="31">
        <v>3123935050</v>
      </c>
      <c r="I91" s="31">
        <v>90</v>
      </c>
      <c r="J91" s="31">
        <v>180</v>
      </c>
      <c r="K91" s="31">
        <v>2880</v>
      </c>
      <c r="L91" s="31">
        <v>32</v>
      </c>
      <c r="M91" s="31">
        <v>16</v>
      </c>
      <c r="N91" s="31">
        <v>46082</v>
      </c>
      <c r="O91" s="31">
        <v>95</v>
      </c>
      <c r="P91" s="31">
        <v>21875</v>
      </c>
      <c r="Q91" s="31">
        <v>2880</v>
      </c>
      <c r="R91" s="31">
        <v>63000</v>
      </c>
      <c r="S91" s="31" t="s">
        <v>1002</v>
      </c>
      <c r="T91" s="31" t="s">
        <v>1001</v>
      </c>
      <c r="U91">
        <f>IFERROR(VLOOKUP(C91,Hoja4!$D$4:$E$273,2,FALSE),0)</f>
        <v>63000</v>
      </c>
      <c r="V91">
        <f>IFERROR(VLOOKUP(C91,Hoja4!$A$4:$B$273,2,FALSE),0)</f>
        <v>0</v>
      </c>
    </row>
    <row r="92" spans="1:22" x14ac:dyDescent="0.25">
      <c r="A92" s="32">
        <v>46065</v>
      </c>
      <c r="B92" s="30" t="s">
        <v>63</v>
      </c>
      <c r="C92" s="30">
        <v>96</v>
      </c>
      <c r="D92" s="30" t="s">
        <v>1000</v>
      </c>
      <c r="E92" s="30" t="s">
        <v>1000</v>
      </c>
      <c r="F92" s="30"/>
      <c r="G92" s="30" t="s">
        <v>999</v>
      </c>
      <c r="H92" s="30">
        <v>3123570114</v>
      </c>
      <c r="I92" s="30">
        <v>100</v>
      </c>
      <c r="J92" s="30">
        <v>200</v>
      </c>
      <c r="K92" s="30">
        <v>3000</v>
      </c>
      <c r="L92" s="30">
        <v>30</v>
      </c>
      <c r="M92" s="30">
        <v>15</v>
      </c>
      <c r="N92" s="30">
        <v>46080</v>
      </c>
      <c r="O92" s="30">
        <v>96</v>
      </c>
      <c r="P92" s="30">
        <v>38000</v>
      </c>
      <c r="Q92" s="30">
        <v>3000</v>
      </c>
      <c r="R92" s="30">
        <v>114000</v>
      </c>
      <c r="S92" s="30" t="s">
        <v>998</v>
      </c>
      <c r="T92" s="30" t="s">
        <v>997</v>
      </c>
      <c r="U92">
        <f>IFERROR(VLOOKUP(C92,Hoja4!$D$4:$E$273,2,FALSE),0)</f>
        <v>0</v>
      </c>
      <c r="V92">
        <f>IFERROR(VLOOKUP(C92,Hoja4!$A$4:$B$273,2,FALSE),0)</f>
        <v>0</v>
      </c>
    </row>
    <row r="93" spans="1:22" x14ac:dyDescent="0.25">
      <c r="A93" s="33">
        <v>46065</v>
      </c>
      <c r="B93" s="31" t="s">
        <v>63</v>
      </c>
      <c r="C93" s="31">
        <v>97</v>
      </c>
      <c r="D93" s="31" t="s">
        <v>996</v>
      </c>
      <c r="E93" s="31" t="s">
        <v>996</v>
      </c>
      <c r="F93" s="31"/>
      <c r="G93" s="31" t="s">
        <v>995</v>
      </c>
      <c r="H93" s="31">
        <v>3103140694</v>
      </c>
      <c r="I93" s="31">
        <v>90</v>
      </c>
      <c r="J93" s="31">
        <v>270</v>
      </c>
      <c r="K93" s="31">
        <v>4050</v>
      </c>
      <c r="L93" s="31">
        <v>45</v>
      </c>
      <c r="M93" s="31">
        <v>15</v>
      </c>
      <c r="N93" s="31">
        <v>46080</v>
      </c>
      <c r="O93" s="31">
        <v>97</v>
      </c>
      <c r="P93" s="31">
        <v>37481.481481481482</v>
      </c>
      <c r="Q93" s="31">
        <v>4050</v>
      </c>
      <c r="R93" s="31">
        <v>151800</v>
      </c>
      <c r="S93" s="31" t="s">
        <v>994</v>
      </c>
      <c r="T93" s="31" t="s">
        <v>993</v>
      </c>
      <c r="U93">
        <f>IFERROR(VLOOKUP(C93,Hoja4!$D$4:$E$273,2,FALSE),0)</f>
        <v>0</v>
      </c>
      <c r="V93">
        <f>IFERROR(VLOOKUP(C93,Hoja4!$A$4:$B$273,2,FALSE),0)</f>
        <v>0</v>
      </c>
    </row>
    <row r="94" spans="1:22" x14ac:dyDescent="0.25">
      <c r="A94" s="32">
        <v>46065</v>
      </c>
      <c r="B94" s="30" t="s">
        <v>63</v>
      </c>
      <c r="C94" s="30">
        <v>98</v>
      </c>
      <c r="D94" s="30" t="s">
        <v>992</v>
      </c>
      <c r="E94" s="30" t="s">
        <v>992</v>
      </c>
      <c r="F94" s="30"/>
      <c r="G94" s="30" t="s">
        <v>991</v>
      </c>
      <c r="H94" s="30">
        <v>3003004703</v>
      </c>
      <c r="I94" s="30">
        <v>106</v>
      </c>
      <c r="J94" s="30">
        <v>318</v>
      </c>
      <c r="K94" s="30">
        <v>3180</v>
      </c>
      <c r="L94" s="30">
        <v>30</v>
      </c>
      <c r="M94" s="30">
        <v>10</v>
      </c>
      <c r="N94" s="30">
        <v>46075</v>
      </c>
      <c r="O94" s="30">
        <v>98</v>
      </c>
      <c r="P94" s="30">
        <v>35974.842767295595</v>
      </c>
      <c r="Q94" s="30">
        <v>3180</v>
      </c>
      <c r="R94" s="30">
        <v>114400</v>
      </c>
      <c r="S94" s="30" t="s">
        <v>990</v>
      </c>
      <c r="T94" s="30" t="s">
        <v>989</v>
      </c>
      <c r="U94">
        <f>IFERROR(VLOOKUP(C94,Hoja4!$D$4:$E$273,2,FALSE),0)</f>
        <v>0</v>
      </c>
      <c r="V94">
        <f>IFERROR(VLOOKUP(C94,Hoja4!$A$4:$B$273,2,FALSE),0)</f>
        <v>0</v>
      </c>
    </row>
    <row r="95" spans="1:22" x14ac:dyDescent="0.25">
      <c r="A95" s="33">
        <v>46057</v>
      </c>
      <c r="B95" s="31" t="s">
        <v>63</v>
      </c>
      <c r="C95" s="31">
        <v>99</v>
      </c>
      <c r="D95" s="31" t="s">
        <v>988</v>
      </c>
      <c r="E95" s="31" t="s">
        <v>988</v>
      </c>
      <c r="F95" s="31"/>
      <c r="G95" s="31" t="s">
        <v>987</v>
      </c>
      <c r="H95" s="31">
        <v>3194667470</v>
      </c>
      <c r="I95" s="31">
        <v>200</v>
      </c>
      <c r="J95" s="31">
        <v>200</v>
      </c>
      <c r="K95" s="31">
        <v>5000</v>
      </c>
      <c r="L95" s="31">
        <v>25</v>
      </c>
      <c r="M95" s="31">
        <v>25</v>
      </c>
      <c r="N95" s="31">
        <v>46082</v>
      </c>
      <c r="O95" s="31">
        <v>99</v>
      </c>
      <c r="P95" s="31">
        <v>25000</v>
      </c>
      <c r="Q95" s="31">
        <v>5000</v>
      </c>
      <c r="R95" s="31">
        <v>125000</v>
      </c>
      <c r="S95" s="31" t="s">
        <v>986</v>
      </c>
      <c r="T95" s="31" t="s">
        <v>985</v>
      </c>
      <c r="U95">
        <f>IFERROR(VLOOKUP(C95,Hoja4!$D$4:$E$273,2,FALSE),0)</f>
        <v>0</v>
      </c>
      <c r="V95">
        <f>IFERROR(VLOOKUP(C95,Hoja4!$A$4:$B$273,2,FALSE),0)</f>
        <v>0</v>
      </c>
    </row>
    <row r="96" spans="1:22" x14ac:dyDescent="0.25">
      <c r="A96" s="32">
        <v>46069</v>
      </c>
      <c r="B96" s="30" t="s">
        <v>63</v>
      </c>
      <c r="C96" s="30">
        <v>100</v>
      </c>
      <c r="D96" s="30" t="s">
        <v>984</v>
      </c>
      <c r="E96" s="30" t="s">
        <v>984</v>
      </c>
      <c r="F96" s="30"/>
      <c r="G96" s="30" t="s">
        <v>983</v>
      </c>
      <c r="H96" s="30">
        <v>3016189999</v>
      </c>
      <c r="I96" s="30">
        <v>74</v>
      </c>
      <c r="J96" s="30">
        <v>222</v>
      </c>
      <c r="K96" s="30">
        <v>3330</v>
      </c>
      <c r="L96" s="30">
        <v>45</v>
      </c>
      <c r="M96" s="30">
        <v>15</v>
      </c>
      <c r="N96" s="30">
        <v>46084</v>
      </c>
      <c r="O96" s="30">
        <v>100</v>
      </c>
      <c r="P96" s="30">
        <v>38648.648648648646</v>
      </c>
      <c r="Q96" s="30">
        <v>3330</v>
      </c>
      <c r="R96" s="30">
        <v>128700</v>
      </c>
      <c r="S96" s="30" t="s">
        <v>982</v>
      </c>
      <c r="T96" s="30" t="s">
        <v>981</v>
      </c>
      <c r="U96">
        <f>IFERROR(VLOOKUP(C96,Hoja4!$D$4:$E$273,2,FALSE),0)</f>
        <v>0</v>
      </c>
      <c r="V96">
        <f>IFERROR(VLOOKUP(C96,Hoja4!$A$4:$B$273,2,FALSE),0)</f>
        <v>0</v>
      </c>
    </row>
    <row r="97" spans="1:22" x14ac:dyDescent="0.25">
      <c r="A97" s="33">
        <v>46076</v>
      </c>
      <c r="B97" s="31" t="s">
        <v>63</v>
      </c>
      <c r="C97" s="31">
        <v>101</v>
      </c>
      <c r="D97" s="31" t="s">
        <v>980</v>
      </c>
      <c r="E97" s="31" t="s">
        <v>980</v>
      </c>
      <c r="F97" s="31"/>
      <c r="G97" s="31" t="s">
        <v>979</v>
      </c>
      <c r="H97" s="31">
        <v>3138013032</v>
      </c>
      <c r="I97" s="31">
        <v>150</v>
      </c>
      <c r="J97" s="31">
        <v>300</v>
      </c>
      <c r="K97" s="31">
        <v>4500</v>
      </c>
      <c r="L97" s="31">
        <v>30</v>
      </c>
      <c r="M97" s="31">
        <v>15</v>
      </c>
      <c r="N97" s="31">
        <v>46091</v>
      </c>
      <c r="O97" s="31">
        <v>101</v>
      </c>
      <c r="P97" s="31">
        <v>41700</v>
      </c>
      <c r="Q97" s="31">
        <v>4500</v>
      </c>
      <c r="R97" s="31">
        <v>187650</v>
      </c>
      <c r="S97" s="31" t="s">
        <v>978</v>
      </c>
      <c r="T97" s="31" t="s">
        <v>977</v>
      </c>
      <c r="U97">
        <f>IFERROR(VLOOKUP(C97,Hoja4!$D$4:$E$273,2,FALSE),0)</f>
        <v>0</v>
      </c>
      <c r="V97">
        <f>IFERROR(VLOOKUP(C97,Hoja4!$A$4:$B$273,2,FALSE),0)</f>
        <v>0</v>
      </c>
    </row>
    <row r="98" spans="1:22" x14ac:dyDescent="0.25">
      <c r="A98" s="32"/>
      <c r="B98" s="30" t="s">
        <v>208</v>
      </c>
      <c r="C98" s="30">
        <v>102</v>
      </c>
      <c r="D98" s="30" t="s">
        <v>976</v>
      </c>
      <c r="E98" s="30" t="s">
        <v>976</v>
      </c>
      <c r="F98" s="30"/>
      <c r="G98" s="30" t="s">
        <v>975</v>
      </c>
      <c r="H98" s="30">
        <v>3134974621</v>
      </c>
      <c r="I98" s="30">
        <v>40</v>
      </c>
      <c r="J98" s="30">
        <v>120</v>
      </c>
      <c r="K98" s="30">
        <v>960</v>
      </c>
      <c r="L98" s="30">
        <v>24</v>
      </c>
      <c r="M98" s="30">
        <v>8</v>
      </c>
      <c r="N98" s="30"/>
      <c r="O98" s="30">
        <v>102</v>
      </c>
      <c r="P98" s="30">
        <v>40416.666666666664</v>
      </c>
      <c r="Q98" s="30">
        <v>960</v>
      </c>
      <c r="R98" s="30">
        <v>38800</v>
      </c>
      <c r="S98" s="30" t="s">
        <v>974</v>
      </c>
      <c r="T98" s="30" t="s">
        <v>973</v>
      </c>
      <c r="U98">
        <f>IFERROR(VLOOKUP(C98,Hoja4!$D$4:$E$273,2,FALSE),0)</f>
        <v>0</v>
      </c>
      <c r="V98">
        <f>IFERROR(VLOOKUP(C98,Hoja4!$A$4:$B$273,2,FALSE),0)</f>
        <v>0</v>
      </c>
    </row>
    <row r="99" spans="1:22" x14ac:dyDescent="0.25">
      <c r="A99" s="33">
        <v>46070</v>
      </c>
      <c r="B99" s="31" t="s">
        <v>63</v>
      </c>
      <c r="C99" s="31">
        <v>103</v>
      </c>
      <c r="D99" s="31" t="s">
        <v>972</v>
      </c>
      <c r="E99" s="31" t="s">
        <v>972</v>
      </c>
      <c r="F99" s="31"/>
      <c r="G99" s="31" t="s">
        <v>971</v>
      </c>
      <c r="H99" s="31">
        <v>3052896347</v>
      </c>
      <c r="I99" s="31">
        <v>85</v>
      </c>
      <c r="J99" s="31">
        <v>170</v>
      </c>
      <c r="K99" s="31">
        <v>2550</v>
      </c>
      <c r="L99" s="31">
        <v>30</v>
      </c>
      <c r="M99" s="31">
        <v>15</v>
      </c>
      <c r="N99" s="31">
        <v>46085</v>
      </c>
      <c r="O99" s="31">
        <v>103</v>
      </c>
      <c r="P99" s="31">
        <v>38352.941176470587</v>
      </c>
      <c r="Q99" s="31">
        <v>2550</v>
      </c>
      <c r="R99" s="31">
        <v>97800</v>
      </c>
      <c r="S99" s="31" t="s">
        <v>970</v>
      </c>
      <c r="T99" s="31" t="s">
        <v>969</v>
      </c>
      <c r="U99">
        <f>IFERROR(VLOOKUP(C99,Hoja4!$D$4:$E$273,2,FALSE),0)</f>
        <v>0</v>
      </c>
      <c r="V99">
        <f>IFERROR(VLOOKUP(C99,Hoja4!$A$4:$B$273,2,FALSE),0)</f>
        <v>3260</v>
      </c>
    </row>
    <row r="100" spans="1:22" x14ac:dyDescent="0.25">
      <c r="A100" s="32">
        <v>46048</v>
      </c>
      <c r="B100" s="30" t="s">
        <v>4</v>
      </c>
      <c r="C100" s="30">
        <v>105</v>
      </c>
      <c r="D100" s="30" t="s">
        <v>968</v>
      </c>
      <c r="E100" s="30" t="s">
        <v>967</v>
      </c>
      <c r="F100" s="30"/>
      <c r="G100" s="30" t="s">
        <v>966</v>
      </c>
      <c r="H100" s="30">
        <v>3209927180</v>
      </c>
      <c r="I100" s="30">
        <v>200</v>
      </c>
      <c r="J100" s="30">
        <v>200</v>
      </c>
      <c r="K100" s="30">
        <v>3000</v>
      </c>
      <c r="L100" s="30">
        <v>15</v>
      </c>
      <c r="M100" s="30">
        <v>15</v>
      </c>
      <c r="N100" s="30">
        <v>46063</v>
      </c>
      <c r="O100" s="30">
        <v>105</v>
      </c>
      <c r="P100" s="30">
        <v>32000</v>
      </c>
      <c r="Q100" s="30">
        <v>3000</v>
      </c>
      <c r="R100" s="30">
        <v>96000</v>
      </c>
      <c r="S100" s="30" t="s">
        <v>965</v>
      </c>
      <c r="T100" s="30" t="s">
        <v>964</v>
      </c>
      <c r="U100">
        <f>IFERROR(VLOOKUP(C100,Hoja4!$D$4:$E$273,2,FALSE),0)</f>
        <v>0</v>
      </c>
      <c r="V100">
        <f>IFERROR(VLOOKUP(C100,Hoja4!$A$4:$B$273,2,FALSE),0)</f>
        <v>0</v>
      </c>
    </row>
    <row r="101" spans="1:22" x14ac:dyDescent="0.25">
      <c r="A101" s="33"/>
      <c r="B101" s="31" t="s">
        <v>208</v>
      </c>
      <c r="C101" s="31">
        <v>106</v>
      </c>
      <c r="D101" s="31" t="s">
        <v>963</v>
      </c>
      <c r="E101" s="31" t="s">
        <v>963</v>
      </c>
      <c r="F101" s="31"/>
      <c r="G101" s="31" t="s">
        <v>962</v>
      </c>
      <c r="H101" s="31">
        <v>3232840240</v>
      </c>
      <c r="I101" s="31">
        <v>295</v>
      </c>
      <c r="J101" s="31">
        <v>295</v>
      </c>
      <c r="K101" s="31">
        <v>2950</v>
      </c>
      <c r="L101" s="31">
        <v>10</v>
      </c>
      <c r="M101" s="31">
        <v>10</v>
      </c>
      <c r="N101" s="31"/>
      <c r="O101" s="31">
        <v>106</v>
      </c>
      <c r="P101" s="31">
        <v>33898.305084745763</v>
      </c>
      <c r="Q101" s="31">
        <v>2950</v>
      </c>
      <c r="R101" s="31">
        <v>100000</v>
      </c>
      <c r="S101" s="31" t="s">
        <v>961</v>
      </c>
      <c r="T101" s="31" t="s">
        <v>960</v>
      </c>
      <c r="U101">
        <f>IFERROR(VLOOKUP(C101,Hoja4!$D$4:$E$273,2,FALSE),0)</f>
        <v>0</v>
      </c>
      <c r="V101">
        <f>IFERROR(VLOOKUP(C101,Hoja4!$A$4:$B$273,2,FALSE),0)</f>
        <v>0</v>
      </c>
    </row>
    <row r="102" spans="1:22" x14ac:dyDescent="0.25">
      <c r="A102" s="32">
        <v>46080</v>
      </c>
      <c r="B102" s="30" t="s">
        <v>63</v>
      </c>
      <c r="C102" s="30">
        <v>107</v>
      </c>
      <c r="D102" s="30" t="s">
        <v>959</v>
      </c>
      <c r="E102" s="30" t="s">
        <v>959</v>
      </c>
      <c r="F102" s="30"/>
      <c r="G102" s="30" t="s">
        <v>958</v>
      </c>
      <c r="H102" s="30">
        <v>3150525254</v>
      </c>
      <c r="I102" s="30">
        <v>28</v>
      </c>
      <c r="J102" s="30">
        <v>84</v>
      </c>
      <c r="K102" s="30">
        <v>1260</v>
      </c>
      <c r="L102" s="30">
        <v>45</v>
      </c>
      <c r="M102" s="30">
        <v>15</v>
      </c>
      <c r="N102" s="30">
        <v>46095</v>
      </c>
      <c r="O102" s="30">
        <v>107</v>
      </c>
      <c r="P102" s="30">
        <v>58000</v>
      </c>
      <c r="Q102" s="30">
        <v>1260</v>
      </c>
      <c r="R102" s="30">
        <v>73080</v>
      </c>
      <c r="S102" s="30" t="s">
        <v>957</v>
      </c>
      <c r="T102" s="30"/>
      <c r="U102">
        <f>IFERROR(VLOOKUP(C102,Hoja4!$D$4:$E$273,2,FALSE),0)</f>
        <v>0</v>
      </c>
      <c r="V102">
        <f>IFERROR(VLOOKUP(C102,Hoja4!$A$4:$B$273,2,FALSE),0)</f>
        <v>71080</v>
      </c>
    </row>
    <row r="103" spans="1:22" x14ac:dyDescent="0.25">
      <c r="A103" s="33">
        <v>46080</v>
      </c>
      <c r="B103" s="31" t="s">
        <v>63</v>
      </c>
      <c r="C103" s="31">
        <v>108</v>
      </c>
      <c r="D103" s="31" t="s">
        <v>956</v>
      </c>
      <c r="E103" s="31" t="s">
        <v>956</v>
      </c>
      <c r="F103" s="31"/>
      <c r="G103" s="31" t="s">
        <v>955</v>
      </c>
      <c r="H103" s="31">
        <v>3103126656</v>
      </c>
      <c r="I103" s="31">
        <v>64</v>
      </c>
      <c r="J103" s="31">
        <v>192</v>
      </c>
      <c r="K103" s="31">
        <v>2880</v>
      </c>
      <c r="L103" s="31">
        <v>45</v>
      </c>
      <c r="M103" s="31">
        <v>15</v>
      </c>
      <c r="N103" s="31">
        <v>46095</v>
      </c>
      <c r="O103" s="31">
        <v>108</v>
      </c>
      <c r="P103" s="31">
        <v>39000</v>
      </c>
      <c r="Q103" s="31">
        <v>2880</v>
      </c>
      <c r="R103" s="31">
        <v>112320</v>
      </c>
      <c r="S103" s="31" t="s">
        <v>954</v>
      </c>
      <c r="T103" s="31" t="s">
        <v>953</v>
      </c>
      <c r="U103">
        <f>IFERROR(VLOOKUP(C103,Hoja4!$D$4:$E$273,2,FALSE),0)</f>
        <v>0</v>
      </c>
      <c r="V103">
        <f>IFERROR(VLOOKUP(C103,Hoja4!$A$4:$B$273,2,FALSE),0)</f>
        <v>0</v>
      </c>
    </row>
    <row r="104" spans="1:22" x14ac:dyDescent="0.25">
      <c r="A104" s="32">
        <v>46062</v>
      </c>
      <c r="B104" s="30" t="s">
        <v>63</v>
      </c>
      <c r="C104" s="30">
        <v>109</v>
      </c>
      <c r="D104" s="30" t="s">
        <v>952</v>
      </c>
      <c r="E104" s="30" t="s">
        <v>952</v>
      </c>
      <c r="F104" s="30"/>
      <c r="G104" s="30" t="s">
        <v>951</v>
      </c>
      <c r="H104" s="30">
        <v>3005281323</v>
      </c>
      <c r="I104" s="30">
        <v>63</v>
      </c>
      <c r="J104" s="30">
        <v>190</v>
      </c>
      <c r="K104" s="30">
        <v>2850</v>
      </c>
      <c r="L104" s="30">
        <v>45.238095238095241</v>
      </c>
      <c r="M104" s="30">
        <v>15</v>
      </c>
      <c r="N104" s="30">
        <v>46077</v>
      </c>
      <c r="O104" s="30">
        <v>109</v>
      </c>
      <c r="P104" s="30">
        <v>43245.149911816574</v>
      </c>
      <c r="Q104" s="30">
        <v>2835</v>
      </c>
      <c r="R104" s="30">
        <v>122600</v>
      </c>
      <c r="S104" s="30" t="s">
        <v>950</v>
      </c>
      <c r="T104" s="30"/>
      <c r="U104">
        <f>IFERROR(VLOOKUP(C104,Hoja4!$D$4:$E$273,2,FALSE),0)</f>
        <v>0</v>
      </c>
      <c r="V104">
        <f>IFERROR(VLOOKUP(C104,Hoja4!$A$4:$B$273,2,FALSE),0)</f>
        <v>0</v>
      </c>
    </row>
    <row r="105" spans="1:22" x14ac:dyDescent="0.25">
      <c r="A105" s="33">
        <v>46051</v>
      </c>
      <c r="B105" s="31" t="s">
        <v>4</v>
      </c>
      <c r="C105" s="31">
        <v>110</v>
      </c>
      <c r="D105" s="31" t="s">
        <v>949</v>
      </c>
      <c r="E105" s="31" t="s">
        <v>949</v>
      </c>
      <c r="F105" s="31"/>
      <c r="G105" s="31" t="s">
        <v>948</v>
      </c>
      <c r="H105" s="31">
        <v>3208795345</v>
      </c>
      <c r="I105" s="31">
        <v>50</v>
      </c>
      <c r="J105" s="31">
        <v>150</v>
      </c>
      <c r="K105" s="31">
        <v>4500</v>
      </c>
      <c r="L105" s="31">
        <v>90</v>
      </c>
      <c r="M105" s="31">
        <v>30</v>
      </c>
      <c r="N105" s="31">
        <v>46081</v>
      </c>
      <c r="O105" s="31">
        <v>110</v>
      </c>
      <c r="P105" s="31">
        <v>38000</v>
      </c>
      <c r="Q105" s="31">
        <v>4500</v>
      </c>
      <c r="R105" s="31">
        <v>171000</v>
      </c>
      <c r="S105" s="31" t="s">
        <v>947</v>
      </c>
      <c r="T105" s="31" t="s">
        <v>946</v>
      </c>
      <c r="U105">
        <f>IFERROR(VLOOKUP(C105,Hoja4!$D$4:$E$273,2,FALSE),0)</f>
        <v>0</v>
      </c>
      <c r="V105">
        <f>IFERROR(VLOOKUP(C105,Hoja4!$A$4:$B$273,2,FALSE),0)</f>
        <v>0</v>
      </c>
    </row>
    <row r="106" spans="1:22" x14ac:dyDescent="0.25">
      <c r="A106" s="32">
        <v>46045</v>
      </c>
      <c r="B106" s="30" t="s">
        <v>4</v>
      </c>
      <c r="C106" s="30">
        <v>111</v>
      </c>
      <c r="D106" s="30" t="s">
        <v>945</v>
      </c>
      <c r="E106" s="30" t="s">
        <v>944</v>
      </c>
      <c r="F106" s="30"/>
      <c r="G106" s="30" t="s">
        <v>943</v>
      </c>
      <c r="H106" s="30">
        <v>3108508105</v>
      </c>
      <c r="I106" s="30">
        <v>100</v>
      </c>
      <c r="J106" s="30">
        <v>200</v>
      </c>
      <c r="K106" s="30">
        <v>6000</v>
      </c>
      <c r="L106" s="30">
        <v>60</v>
      </c>
      <c r="M106" s="30">
        <v>30</v>
      </c>
      <c r="N106" s="30">
        <v>46075</v>
      </c>
      <c r="O106" s="30">
        <v>111</v>
      </c>
      <c r="P106" s="30">
        <v>28000</v>
      </c>
      <c r="Q106" s="30">
        <v>6000</v>
      </c>
      <c r="R106" s="30">
        <v>168000</v>
      </c>
      <c r="S106" s="30" t="s">
        <v>942</v>
      </c>
      <c r="T106" s="30" t="s">
        <v>941</v>
      </c>
      <c r="U106">
        <f>IFERROR(VLOOKUP(C106,Hoja4!$D$4:$E$273,2,FALSE),0)</f>
        <v>0</v>
      </c>
      <c r="V106">
        <f>IFERROR(VLOOKUP(C106,Hoja4!$A$4:$B$273,2,FALSE),0)</f>
        <v>0</v>
      </c>
    </row>
    <row r="107" spans="1:22" x14ac:dyDescent="0.25">
      <c r="A107" s="33">
        <v>46063</v>
      </c>
      <c r="B107" s="31" t="s">
        <v>63</v>
      </c>
      <c r="C107" s="31">
        <v>112</v>
      </c>
      <c r="D107" s="31" t="s">
        <v>940</v>
      </c>
      <c r="E107" s="31" t="s">
        <v>940</v>
      </c>
      <c r="F107" s="31"/>
      <c r="G107" s="31" t="s">
        <v>939</v>
      </c>
      <c r="H107" s="31">
        <v>3138086463</v>
      </c>
      <c r="I107" s="31">
        <v>120</v>
      </c>
      <c r="J107" s="31">
        <v>360</v>
      </c>
      <c r="K107" s="31">
        <v>3600</v>
      </c>
      <c r="L107" s="31">
        <v>30</v>
      </c>
      <c r="M107" s="31">
        <v>10</v>
      </c>
      <c r="N107" s="31">
        <v>46073</v>
      </c>
      <c r="O107" s="31">
        <v>112</v>
      </c>
      <c r="P107" s="31">
        <v>0</v>
      </c>
      <c r="Q107" s="31">
        <v>3600</v>
      </c>
      <c r="R107" s="31">
        <v>0</v>
      </c>
      <c r="S107" s="31">
        <v>0</v>
      </c>
      <c r="T107" s="31" t="s">
        <v>860</v>
      </c>
      <c r="U107">
        <f>IFERROR(VLOOKUP(C107,Hoja4!$D$4:$E$273,2,FALSE),0)</f>
        <v>0</v>
      </c>
      <c r="V107">
        <f>IFERROR(VLOOKUP(C107,Hoja4!$A$4:$B$273,2,FALSE),0)</f>
        <v>0</v>
      </c>
    </row>
    <row r="108" spans="1:22" x14ac:dyDescent="0.25">
      <c r="A108" s="32">
        <v>46069</v>
      </c>
      <c r="B108" s="30" t="s">
        <v>63</v>
      </c>
      <c r="C108" s="30">
        <v>113</v>
      </c>
      <c r="D108" s="30" t="s">
        <v>938</v>
      </c>
      <c r="E108" s="30" t="s">
        <v>938</v>
      </c>
      <c r="F108" s="30"/>
      <c r="G108" s="30" t="s">
        <v>937</v>
      </c>
      <c r="H108" s="30">
        <v>3150570538</v>
      </c>
      <c r="I108" s="30">
        <v>140</v>
      </c>
      <c r="J108" s="30">
        <v>280</v>
      </c>
      <c r="K108" s="30">
        <v>4200</v>
      </c>
      <c r="L108" s="30">
        <v>30</v>
      </c>
      <c r="M108" s="30">
        <v>15</v>
      </c>
      <c r="N108" s="30">
        <v>46084</v>
      </c>
      <c r="O108" s="30">
        <v>113</v>
      </c>
      <c r="P108" s="30">
        <v>36000</v>
      </c>
      <c r="Q108" s="30">
        <v>4200</v>
      </c>
      <c r="R108" s="30">
        <v>151200</v>
      </c>
      <c r="S108" s="30" t="s">
        <v>936</v>
      </c>
      <c r="T108" s="30" t="s">
        <v>935</v>
      </c>
      <c r="U108">
        <f>IFERROR(VLOOKUP(C108,Hoja4!$D$4:$E$273,2,FALSE),0)</f>
        <v>0</v>
      </c>
      <c r="V108">
        <f>IFERROR(VLOOKUP(C108,Hoja4!$A$4:$B$273,2,FALSE),0)</f>
        <v>800</v>
      </c>
    </row>
    <row r="109" spans="1:22" x14ac:dyDescent="0.25">
      <c r="A109" s="33">
        <v>46065</v>
      </c>
      <c r="B109" s="31" t="s">
        <v>63</v>
      </c>
      <c r="C109" s="31">
        <v>114</v>
      </c>
      <c r="D109" s="31" t="s">
        <v>934</v>
      </c>
      <c r="E109" s="31" t="s">
        <v>934</v>
      </c>
      <c r="F109" s="31"/>
      <c r="G109" s="31" t="s">
        <v>933</v>
      </c>
      <c r="H109" s="31">
        <v>3132088593</v>
      </c>
      <c r="I109" s="31">
        <v>40</v>
      </c>
      <c r="J109" s="31">
        <v>120</v>
      </c>
      <c r="K109" s="31">
        <v>1800</v>
      </c>
      <c r="L109" s="31">
        <v>45</v>
      </c>
      <c r="M109" s="31">
        <v>15</v>
      </c>
      <c r="N109" s="31">
        <v>46080</v>
      </c>
      <c r="O109" s="31">
        <v>114</v>
      </c>
      <c r="P109" s="31">
        <v>33000</v>
      </c>
      <c r="Q109" s="31">
        <v>1800</v>
      </c>
      <c r="R109" s="31">
        <v>59400</v>
      </c>
      <c r="S109" s="31" t="s">
        <v>932</v>
      </c>
      <c r="T109" s="31" t="s">
        <v>931</v>
      </c>
      <c r="U109">
        <f>IFERROR(VLOOKUP(C109,Hoja4!$D$4:$E$273,2,FALSE),0)</f>
        <v>0</v>
      </c>
      <c r="V109">
        <f>IFERROR(VLOOKUP(C109,Hoja4!$A$4:$B$273,2,FALSE),0)</f>
        <v>55400</v>
      </c>
    </row>
    <row r="110" spans="1:22" x14ac:dyDescent="0.25">
      <c r="A110" s="32">
        <v>46059</v>
      </c>
      <c r="B110" s="30" t="s">
        <v>63</v>
      </c>
      <c r="C110" s="30">
        <v>116</v>
      </c>
      <c r="D110" s="30" t="s">
        <v>930</v>
      </c>
      <c r="E110" s="30" t="s">
        <v>930</v>
      </c>
      <c r="F110" s="30"/>
      <c r="G110" s="30" t="s">
        <v>929</v>
      </c>
      <c r="H110" s="30">
        <v>3108753186</v>
      </c>
      <c r="I110" s="30">
        <v>60</v>
      </c>
      <c r="J110" s="30">
        <v>120</v>
      </c>
      <c r="K110" s="30">
        <v>1800</v>
      </c>
      <c r="L110" s="30">
        <v>30</v>
      </c>
      <c r="M110" s="30">
        <v>15</v>
      </c>
      <c r="N110" s="30">
        <v>46074</v>
      </c>
      <c r="O110" s="30">
        <v>116</v>
      </c>
      <c r="P110" s="30">
        <v>60000</v>
      </c>
      <c r="Q110" s="30">
        <v>1800</v>
      </c>
      <c r="R110" s="30">
        <v>108000</v>
      </c>
      <c r="S110" s="30" t="s">
        <v>928</v>
      </c>
      <c r="T110" s="30" t="s">
        <v>927</v>
      </c>
      <c r="U110">
        <f>IFERROR(VLOOKUP(C110,Hoja4!$D$4:$E$273,2,FALSE),0)</f>
        <v>216000</v>
      </c>
      <c r="V110">
        <f>IFERROR(VLOOKUP(C110,Hoja4!$A$4:$B$273,2,FALSE),0)</f>
        <v>0</v>
      </c>
    </row>
    <row r="111" spans="1:22" x14ac:dyDescent="0.25">
      <c r="A111" s="33"/>
      <c r="B111" s="31" t="s">
        <v>208</v>
      </c>
      <c r="C111" s="31">
        <v>117</v>
      </c>
      <c r="D111" s="31" t="s">
        <v>926</v>
      </c>
      <c r="E111" s="31" t="s">
        <v>925</v>
      </c>
      <c r="F111" s="31"/>
      <c r="G111" s="31" t="s">
        <v>924</v>
      </c>
      <c r="H111" s="31">
        <v>493608991</v>
      </c>
      <c r="I111" s="31">
        <v>100</v>
      </c>
      <c r="J111" s="31">
        <v>200</v>
      </c>
      <c r="K111" s="31">
        <v>1400</v>
      </c>
      <c r="L111" s="31">
        <v>14</v>
      </c>
      <c r="M111" s="31">
        <v>7</v>
      </c>
      <c r="N111" s="31"/>
      <c r="O111" s="31">
        <v>117</v>
      </c>
      <c r="P111" s="31">
        <v>0</v>
      </c>
      <c r="Q111" s="31">
        <v>1400</v>
      </c>
      <c r="R111" s="31"/>
      <c r="S111" s="31" t="s">
        <v>923</v>
      </c>
      <c r="T111" s="31"/>
      <c r="U111">
        <f>IFERROR(VLOOKUP(C111,Hoja4!$D$4:$E$273,2,FALSE),0)</f>
        <v>0</v>
      </c>
      <c r="V111">
        <f>IFERROR(VLOOKUP(C111,Hoja4!$A$4:$B$273,2,FALSE),0)</f>
        <v>0</v>
      </c>
    </row>
    <row r="112" spans="1:22" x14ac:dyDescent="0.25">
      <c r="A112" s="32">
        <v>46071</v>
      </c>
      <c r="B112" s="30" t="s">
        <v>63</v>
      </c>
      <c r="C112" s="30">
        <v>118</v>
      </c>
      <c r="D112" s="30" t="s">
        <v>922</v>
      </c>
      <c r="E112" s="30" t="s">
        <v>922</v>
      </c>
      <c r="F112" s="30"/>
      <c r="G112" s="30" t="s">
        <v>921</v>
      </c>
      <c r="H112" s="30">
        <v>3212166664</v>
      </c>
      <c r="I112" s="30">
        <v>210</v>
      </c>
      <c r="J112" s="30">
        <v>420</v>
      </c>
      <c r="K112" s="30">
        <v>6300</v>
      </c>
      <c r="L112" s="30">
        <v>30</v>
      </c>
      <c r="M112" s="30">
        <v>15</v>
      </c>
      <c r="N112" s="30">
        <v>46086</v>
      </c>
      <c r="O112" s="30">
        <v>118</v>
      </c>
      <c r="P112" s="30">
        <v>29000</v>
      </c>
      <c r="Q112" s="30">
        <v>6300</v>
      </c>
      <c r="R112" s="30">
        <v>182700</v>
      </c>
      <c r="S112" s="30" t="s">
        <v>920</v>
      </c>
      <c r="T112" s="30" t="s">
        <v>919</v>
      </c>
      <c r="U112">
        <f>IFERROR(VLOOKUP(C112,Hoja4!$D$4:$E$273,2,FALSE),0)</f>
        <v>0</v>
      </c>
      <c r="V112">
        <f>IFERROR(VLOOKUP(C112,Hoja4!$A$4:$B$273,2,FALSE),0)</f>
        <v>199900</v>
      </c>
    </row>
    <row r="113" spans="1:22" x14ac:dyDescent="0.25">
      <c r="A113" s="33">
        <v>46072</v>
      </c>
      <c r="B113" s="31" t="s">
        <v>63</v>
      </c>
      <c r="C113" s="31">
        <v>119</v>
      </c>
      <c r="D113" s="31" t="s">
        <v>918</v>
      </c>
      <c r="E113" s="31" t="s">
        <v>918</v>
      </c>
      <c r="F113" s="31"/>
      <c r="G113" s="31" t="s">
        <v>917</v>
      </c>
      <c r="H113" s="31">
        <v>3124300773</v>
      </c>
      <c r="I113" s="31">
        <v>230</v>
      </c>
      <c r="J113" s="31">
        <v>230</v>
      </c>
      <c r="K113" s="31">
        <v>3450</v>
      </c>
      <c r="L113" s="31">
        <v>15</v>
      </c>
      <c r="M113" s="31">
        <v>15</v>
      </c>
      <c r="N113" s="31">
        <v>46087</v>
      </c>
      <c r="O113" s="31">
        <v>119</v>
      </c>
      <c r="P113" s="31">
        <v>30000</v>
      </c>
      <c r="Q113" s="31">
        <v>3450</v>
      </c>
      <c r="R113" s="31">
        <v>103500</v>
      </c>
      <c r="S113" s="31" t="s">
        <v>916</v>
      </c>
      <c r="T113" s="31" t="s">
        <v>915</v>
      </c>
      <c r="U113">
        <f>IFERROR(VLOOKUP(C113,Hoja4!$D$4:$E$273,2,FALSE),0)</f>
        <v>0</v>
      </c>
      <c r="V113">
        <f>IFERROR(VLOOKUP(C113,Hoja4!$A$4:$B$273,2,FALSE),0)</f>
        <v>0</v>
      </c>
    </row>
    <row r="114" spans="1:22" x14ac:dyDescent="0.25">
      <c r="A114" s="32"/>
      <c r="B114" s="30" t="s">
        <v>208</v>
      </c>
      <c r="C114" s="30">
        <v>120</v>
      </c>
      <c r="D114" s="30" t="s">
        <v>914</v>
      </c>
      <c r="E114" s="30" t="s">
        <v>914</v>
      </c>
      <c r="F114" s="30"/>
      <c r="G114" s="30" t="s">
        <v>913</v>
      </c>
      <c r="H114" s="30">
        <v>3504265525</v>
      </c>
      <c r="I114" s="30">
        <v>200</v>
      </c>
      <c r="J114" s="30">
        <v>200</v>
      </c>
      <c r="K114" s="30">
        <v>6000</v>
      </c>
      <c r="L114" s="30">
        <v>30</v>
      </c>
      <c r="M114" s="30">
        <v>30</v>
      </c>
      <c r="N114" s="30"/>
      <c r="O114" s="30">
        <v>120</v>
      </c>
      <c r="P114" s="30">
        <v>25000</v>
      </c>
      <c r="Q114" s="30">
        <v>6000</v>
      </c>
      <c r="R114" s="30">
        <v>150000</v>
      </c>
      <c r="S114" s="30" t="s">
        <v>912</v>
      </c>
      <c r="T114" s="30" t="s">
        <v>911</v>
      </c>
      <c r="U114">
        <f>IFERROR(VLOOKUP(C114,Hoja4!$D$4:$E$273,2,FALSE),0)</f>
        <v>120000</v>
      </c>
      <c r="V114">
        <f>IFERROR(VLOOKUP(C114,Hoja4!$A$4:$B$273,2,FALSE),0)</f>
        <v>0</v>
      </c>
    </row>
    <row r="115" spans="1:22" x14ac:dyDescent="0.25">
      <c r="A115" s="33">
        <v>46056</v>
      </c>
      <c r="B115" s="31" t="s">
        <v>63</v>
      </c>
      <c r="C115" s="31">
        <v>121</v>
      </c>
      <c r="D115" s="31" t="s">
        <v>910</v>
      </c>
      <c r="E115" s="31" t="s">
        <v>910</v>
      </c>
      <c r="F115" s="31"/>
      <c r="G115" s="31" t="s">
        <v>909</v>
      </c>
      <c r="H115" s="31">
        <v>3008676283</v>
      </c>
      <c r="I115" s="31">
        <v>250</v>
      </c>
      <c r="J115" s="31">
        <v>500</v>
      </c>
      <c r="K115" s="31">
        <v>6000</v>
      </c>
      <c r="L115" s="31">
        <v>24</v>
      </c>
      <c r="M115" s="31">
        <v>12</v>
      </c>
      <c r="N115" s="31">
        <v>46068</v>
      </c>
      <c r="O115" s="31">
        <v>121</v>
      </c>
      <c r="P115" s="31">
        <v>30000</v>
      </c>
      <c r="Q115" s="31">
        <v>6000</v>
      </c>
      <c r="R115" s="31">
        <v>180000</v>
      </c>
      <c r="S115" s="31" t="s">
        <v>908</v>
      </c>
      <c r="T115" s="31" t="s">
        <v>907</v>
      </c>
      <c r="U115">
        <f>IFERROR(VLOOKUP(C115,Hoja4!$D$4:$E$273,2,FALSE),0)</f>
        <v>0</v>
      </c>
      <c r="V115">
        <f>IFERROR(VLOOKUP(C115,Hoja4!$A$4:$B$273,2,FALSE),0)</f>
        <v>0</v>
      </c>
    </row>
    <row r="116" spans="1:22" x14ac:dyDescent="0.25">
      <c r="A116" s="32">
        <v>46059</v>
      </c>
      <c r="B116" s="30" t="s">
        <v>63</v>
      </c>
      <c r="C116" s="30">
        <v>122</v>
      </c>
      <c r="D116" s="30" t="s">
        <v>906</v>
      </c>
      <c r="E116" s="30" t="s">
        <v>906</v>
      </c>
      <c r="F116" s="30"/>
      <c r="G116" s="30" t="s">
        <v>905</v>
      </c>
      <c r="H116" s="30">
        <v>3226140150</v>
      </c>
      <c r="I116" s="30">
        <v>250</v>
      </c>
      <c r="J116" s="30">
        <v>250</v>
      </c>
      <c r="K116" s="30">
        <v>11000</v>
      </c>
      <c r="L116" s="30">
        <v>44</v>
      </c>
      <c r="M116" s="30">
        <v>44</v>
      </c>
      <c r="N116" s="30">
        <v>46103</v>
      </c>
      <c r="O116" s="30">
        <v>122</v>
      </c>
      <c r="P116" s="30">
        <v>22500</v>
      </c>
      <c r="Q116" s="30">
        <v>11000</v>
      </c>
      <c r="R116" s="30">
        <v>247500</v>
      </c>
      <c r="S116" s="30" t="s">
        <v>904</v>
      </c>
      <c r="T116" s="30" t="s">
        <v>903</v>
      </c>
      <c r="U116">
        <f>IFERROR(VLOOKUP(C116,Hoja4!$D$4:$E$273,2,FALSE),0)</f>
        <v>0</v>
      </c>
      <c r="V116">
        <f>IFERROR(VLOOKUP(C116,Hoja4!$A$4:$B$273,2,FALSE),0)</f>
        <v>0</v>
      </c>
    </row>
    <row r="117" spans="1:22" x14ac:dyDescent="0.25">
      <c r="A117" s="33">
        <v>0</v>
      </c>
      <c r="B117" s="31" t="s">
        <v>4</v>
      </c>
      <c r="C117" s="31">
        <v>123</v>
      </c>
      <c r="D117" s="31" t="s">
        <v>902</v>
      </c>
      <c r="E117" s="31" t="s">
        <v>901</v>
      </c>
      <c r="F117" s="31"/>
      <c r="G117" s="31" t="s">
        <v>26</v>
      </c>
      <c r="H117" s="31"/>
      <c r="I117" s="31">
        <v>0</v>
      </c>
      <c r="J117" s="31">
        <v>0</v>
      </c>
      <c r="K117" s="31">
        <v>0</v>
      </c>
      <c r="L117" s="31">
        <v>0</v>
      </c>
      <c r="M117" s="31">
        <v>0</v>
      </c>
      <c r="N117" s="31">
        <v>0</v>
      </c>
      <c r="O117" s="31">
        <v>123</v>
      </c>
      <c r="P117" s="31">
        <v>0</v>
      </c>
      <c r="Q117" s="31">
        <v>0</v>
      </c>
      <c r="R117" s="31"/>
      <c r="S117" s="31"/>
      <c r="T117" s="31" t="s">
        <v>900</v>
      </c>
      <c r="U117">
        <f>IFERROR(VLOOKUP(C117,Hoja4!$D$4:$E$273,2,FALSE),0)</f>
        <v>0</v>
      </c>
      <c r="V117">
        <f>IFERROR(VLOOKUP(C117,Hoja4!$A$4:$B$273,2,FALSE),0)</f>
        <v>0</v>
      </c>
    </row>
    <row r="118" spans="1:22" x14ac:dyDescent="0.25">
      <c r="A118" s="32"/>
      <c r="B118" s="30" t="s">
        <v>208</v>
      </c>
      <c r="C118" s="30">
        <v>124</v>
      </c>
      <c r="D118" s="30" t="s">
        <v>899</v>
      </c>
      <c r="E118" s="30" t="s">
        <v>899</v>
      </c>
      <c r="F118" s="30"/>
      <c r="G118" s="30" t="s">
        <v>898</v>
      </c>
      <c r="H118" s="30">
        <v>3219967349</v>
      </c>
      <c r="I118" s="30">
        <v>53</v>
      </c>
      <c r="J118" s="30">
        <v>106</v>
      </c>
      <c r="K118" s="30">
        <v>1590</v>
      </c>
      <c r="L118" s="30">
        <v>30</v>
      </c>
      <c r="M118" s="30">
        <v>15</v>
      </c>
      <c r="N118" s="30"/>
      <c r="O118" s="30">
        <v>124</v>
      </c>
      <c r="P118" s="30">
        <v>43144.654088050323</v>
      </c>
      <c r="Q118" s="30">
        <v>1590</v>
      </c>
      <c r="R118" s="30">
        <v>68600</v>
      </c>
      <c r="S118" s="30" t="s">
        <v>897</v>
      </c>
      <c r="T118" s="30"/>
      <c r="U118">
        <f>IFERROR(VLOOKUP(C118,Hoja4!$D$4:$E$273,2,FALSE),0)</f>
        <v>0</v>
      </c>
      <c r="V118">
        <f>IFERROR(VLOOKUP(C118,Hoja4!$A$4:$B$273,2,FALSE),0)</f>
        <v>0</v>
      </c>
    </row>
    <row r="119" spans="1:22" x14ac:dyDescent="0.25">
      <c r="A119" s="33"/>
      <c r="B119" s="31" t="s">
        <v>208</v>
      </c>
      <c r="C119" s="31">
        <v>125</v>
      </c>
      <c r="D119" s="31" t="s">
        <v>896</v>
      </c>
      <c r="E119" s="31" t="s">
        <v>896</v>
      </c>
      <c r="F119" s="31"/>
      <c r="G119" s="31" t="s">
        <v>895</v>
      </c>
      <c r="H119" s="31">
        <v>3208941892</v>
      </c>
      <c r="I119" s="31">
        <v>215</v>
      </c>
      <c r="J119" s="31">
        <v>430</v>
      </c>
      <c r="K119" s="31">
        <v>3010</v>
      </c>
      <c r="L119" s="31">
        <v>14</v>
      </c>
      <c r="M119" s="31">
        <v>7</v>
      </c>
      <c r="N119" s="31"/>
      <c r="O119" s="31">
        <v>125</v>
      </c>
      <c r="P119" s="31">
        <v>3322.2591362126245</v>
      </c>
      <c r="Q119" s="31">
        <v>3010</v>
      </c>
      <c r="R119" s="31">
        <v>10000</v>
      </c>
      <c r="S119" s="31" t="s">
        <v>894</v>
      </c>
      <c r="T119" s="31"/>
      <c r="U119">
        <f>IFERROR(VLOOKUP(C119,Hoja4!$D$4:$E$273,2,FALSE),0)</f>
        <v>0</v>
      </c>
      <c r="V119">
        <f>IFERROR(VLOOKUP(C119,Hoja4!$A$4:$B$273,2,FALSE),0)</f>
        <v>0</v>
      </c>
    </row>
    <row r="120" spans="1:22" x14ac:dyDescent="0.25">
      <c r="A120" s="32"/>
      <c r="B120" s="30" t="s">
        <v>208</v>
      </c>
      <c r="C120" s="30">
        <v>126</v>
      </c>
      <c r="D120" s="30" t="s">
        <v>893</v>
      </c>
      <c r="E120" s="30" t="s">
        <v>893</v>
      </c>
      <c r="F120" s="30"/>
      <c r="G120" s="30" t="s">
        <v>892</v>
      </c>
      <c r="H120" s="30">
        <v>3153597347</v>
      </c>
      <c r="I120" s="30">
        <v>260</v>
      </c>
      <c r="J120" s="30">
        <v>520</v>
      </c>
      <c r="K120" s="30">
        <v>7800</v>
      </c>
      <c r="L120" s="30">
        <v>30</v>
      </c>
      <c r="M120" s="30">
        <v>15</v>
      </c>
      <c r="N120" s="30"/>
      <c r="O120" s="30">
        <v>126</v>
      </c>
      <c r="P120" s="30">
        <v>27000</v>
      </c>
      <c r="Q120" s="30">
        <v>7800</v>
      </c>
      <c r="R120" s="30">
        <v>210600</v>
      </c>
      <c r="S120" s="30" t="s">
        <v>891</v>
      </c>
      <c r="T120" s="30" t="s">
        <v>890</v>
      </c>
      <c r="U120">
        <f>IFERROR(VLOOKUP(C120,Hoja4!$D$4:$E$273,2,FALSE),0)</f>
        <v>421200</v>
      </c>
      <c r="V120">
        <f>IFERROR(VLOOKUP(C120,Hoja4!$A$4:$B$273,2,FALSE),0)</f>
        <v>0</v>
      </c>
    </row>
    <row r="121" spans="1:22" x14ac:dyDescent="0.25">
      <c r="A121" s="33">
        <v>46078</v>
      </c>
      <c r="B121" s="31" t="s">
        <v>63</v>
      </c>
      <c r="C121" s="31">
        <v>127</v>
      </c>
      <c r="D121" s="31" t="s">
        <v>889</v>
      </c>
      <c r="E121" s="31" t="s">
        <v>889</v>
      </c>
      <c r="F121" s="31"/>
      <c r="G121" s="31" t="s">
        <v>888</v>
      </c>
      <c r="H121" s="31">
        <v>3046420936</v>
      </c>
      <c r="I121" s="31">
        <v>250</v>
      </c>
      <c r="J121" s="31">
        <v>500</v>
      </c>
      <c r="K121" s="31">
        <v>7500</v>
      </c>
      <c r="L121" s="31">
        <v>30</v>
      </c>
      <c r="M121" s="31">
        <v>15</v>
      </c>
      <c r="N121" s="31">
        <v>46093</v>
      </c>
      <c r="O121" s="31">
        <v>127</v>
      </c>
      <c r="P121" s="31">
        <v>27000</v>
      </c>
      <c r="Q121" s="31">
        <v>7500</v>
      </c>
      <c r="R121" s="31">
        <v>202500</v>
      </c>
      <c r="S121" s="31" t="s">
        <v>887</v>
      </c>
      <c r="T121" s="31" t="s">
        <v>886</v>
      </c>
      <c r="U121">
        <f>IFERROR(VLOOKUP(C121,Hoja4!$D$4:$E$273,2,FALSE),0)</f>
        <v>0</v>
      </c>
      <c r="V121">
        <f>IFERROR(VLOOKUP(C121,Hoja4!$A$4:$B$273,2,FALSE),0)</f>
        <v>6750</v>
      </c>
    </row>
    <row r="122" spans="1:22" x14ac:dyDescent="0.25">
      <c r="A122" s="32"/>
      <c r="B122" s="30" t="s">
        <v>208</v>
      </c>
      <c r="C122" s="30">
        <v>130</v>
      </c>
      <c r="D122" s="30" t="s">
        <v>885</v>
      </c>
      <c r="E122" s="30" t="s">
        <v>885</v>
      </c>
      <c r="F122" s="30"/>
      <c r="G122" s="30" t="s">
        <v>884</v>
      </c>
      <c r="H122" s="30">
        <v>3103019618</v>
      </c>
      <c r="I122" s="30">
        <v>280</v>
      </c>
      <c r="J122" s="30">
        <v>280</v>
      </c>
      <c r="K122" s="30">
        <v>1960</v>
      </c>
      <c r="L122" s="30">
        <v>7</v>
      </c>
      <c r="M122" s="30">
        <v>7</v>
      </c>
      <c r="N122" s="30"/>
      <c r="O122" s="30">
        <v>130</v>
      </c>
      <c r="P122" s="30">
        <v>5102.0408163265301</v>
      </c>
      <c r="Q122" s="30">
        <v>1960</v>
      </c>
      <c r="R122" s="30">
        <v>10000</v>
      </c>
      <c r="S122" s="30" t="s">
        <v>883</v>
      </c>
      <c r="T122" s="30" t="s">
        <v>882</v>
      </c>
      <c r="U122">
        <f>IFERROR(VLOOKUP(C122,Hoja4!$D$4:$E$273,2,FALSE),0)</f>
        <v>0</v>
      </c>
      <c r="V122">
        <f>IFERROR(VLOOKUP(C122,Hoja4!$A$4:$B$273,2,FALSE),0)</f>
        <v>0</v>
      </c>
    </row>
    <row r="123" spans="1:22" x14ac:dyDescent="0.25">
      <c r="A123" s="33">
        <v>46059</v>
      </c>
      <c r="B123" s="31" t="s">
        <v>63</v>
      </c>
      <c r="C123" s="31">
        <v>131</v>
      </c>
      <c r="D123" s="31" t="s">
        <v>881</v>
      </c>
      <c r="E123" s="31" t="s">
        <v>881</v>
      </c>
      <c r="F123" s="31"/>
      <c r="G123" s="31" t="s">
        <v>880</v>
      </c>
      <c r="H123" s="31">
        <v>3123775027</v>
      </c>
      <c r="I123" s="31">
        <v>100</v>
      </c>
      <c r="J123" s="31">
        <v>200</v>
      </c>
      <c r="K123" s="31">
        <v>3000</v>
      </c>
      <c r="L123" s="31">
        <v>30</v>
      </c>
      <c r="M123" s="31">
        <v>15</v>
      </c>
      <c r="N123" s="31">
        <v>46074</v>
      </c>
      <c r="O123" s="31">
        <v>131</v>
      </c>
      <c r="P123" s="31">
        <v>40000</v>
      </c>
      <c r="Q123" s="31">
        <v>3000</v>
      </c>
      <c r="R123" s="31">
        <v>120000</v>
      </c>
      <c r="S123" s="31" t="s">
        <v>879</v>
      </c>
      <c r="T123" s="31" t="s">
        <v>878</v>
      </c>
      <c r="U123">
        <f>IFERROR(VLOOKUP(C123,Hoja4!$D$4:$E$273,2,FALSE),0)</f>
        <v>0</v>
      </c>
      <c r="V123">
        <f>IFERROR(VLOOKUP(C123,Hoja4!$A$4:$B$273,2,FALSE),0)</f>
        <v>0</v>
      </c>
    </row>
    <row r="124" spans="1:22" x14ac:dyDescent="0.25">
      <c r="A124" s="32">
        <v>46069</v>
      </c>
      <c r="B124" s="30" t="s">
        <v>63</v>
      </c>
      <c r="C124" s="30">
        <v>132</v>
      </c>
      <c r="D124" s="30" t="s">
        <v>877</v>
      </c>
      <c r="E124" s="30" t="s">
        <v>877</v>
      </c>
      <c r="F124" s="30" t="s">
        <v>52</v>
      </c>
      <c r="G124" s="30" t="s">
        <v>876</v>
      </c>
      <c r="H124" s="30">
        <v>3053122534</v>
      </c>
      <c r="I124" s="30">
        <v>200</v>
      </c>
      <c r="J124" s="30">
        <v>400</v>
      </c>
      <c r="K124" s="30">
        <v>6000</v>
      </c>
      <c r="L124" s="30">
        <v>30</v>
      </c>
      <c r="M124" s="30">
        <v>15</v>
      </c>
      <c r="N124" s="30">
        <v>46084</v>
      </c>
      <c r="O124" s="30">
        <v>132</v>
      </c>
      <c r="P124" s="30">
        <v>30000</v>
      </c>
      <c r="Q124" s="30">
        <v>6000</v>
      </c>
      <c r="R124" s="30">
        <v>180000</v>
      </c>
      <c r="S124" s="30" t="s">
        <v>875</v>
      </c>
      <c r="T124" s="30" t="s">
        <v>874</v>
      </c>
      <c r="U124">
        <f>IFERROR(VLOOKUP(C124,Hoja4!$D$4:$E$273,2,FALSE),0)</f>
        <v>180000</v>
      </c>
      <c r="V124">
        <f>IFERROR(VLOOKUP(C124,Hoja4!$A$4:$B$273,2,FALSE),0)</f>
        <v>0</v>
      </c>
    </row>
    <row r="125" spans="1:22" x14ac:dyDescent="0.25">
      <c r="A125" s="33">
        <v>46078</v>
      </c>
      <c r="B125" s="31" t="s">
        <v>63</v>
      </c>
      <c r="C125" s="31">
        <v>133</v>
      </c>
      <c r="D125" s="31" t="s">
        <v>873</v>
      </c>
      <c r="E125" s="31" t="s">
        <v>873</v>
      </c>
      <c r="F125" s="31"/>
      <c r="G125" s="31" t="s">
        <v>872</v>
      </c>
      <c r="H125" s="31">
        <v>3205179480</v>
      </c>
      <c r="I125" s="31">
        <v>80</v>
      </c>
      <c r="J125" s="31">
        <v>240</v>
      </c>
      <c r="K125" s="31">
        <v>1680</v>
      </c>
      <c r="L125" s="31">
        <v>21</v>
      </c>
      <c r="M125" s="31">
        <v>7</v>
      </c>
      <c r="N125" s="31">
        <v>46085</v>
      </c>
      <c r="O125" s="31">
        <v>133</v>
      </c>
      <c r="P125" s="31">
        <v>41964.285714285717</v>
      </c>
      <c r="Q125" s="31">
        <v>1680</v>
      </c>
      <c r="R125" s="31">
        <v>70500</v>
      </c>
      <c r="S125" s="31" t="s">
        <v>871</v>
      </c>
      <c r="T125" s="31" t="s">
        <v>870</v>
      </c>
      <c r="U125">
        <f>IFERROR(VLOOKUP(C125,Hoja4!$D$4:$E$273,2,FALSE),0)</f>
        <v>70500</v>
      </c>
      <c r="V125">
        <f>IFERROR(VLOOKUP(C125,Hoja4!$A$4:$B$273,2,FALSE),0)</f>
        <v>0</v>
      </c>
    </row>
    <row r="126" spans="1:22" x14ac:dyDescent="0.25">
      <c r="A126" s="32">
        <v>46059</v>
      </c>
      <c r="B126" s="30" t="s">
        <v>63</v>
      </c>
      <c r="C126" s="30">
        <v>134</v>
      </c>
      <c r="D126" s="30" t="s">
        <v>869</v>
      </c>
      <c r="E126" s="30" t="s">
        <v>868</v>
      </c>
      <c r="F126" s="30"/>
      <c r="G126" s="30" t="s">
        <v>867</v>
      </c>
      <c r="H126" s="30">
        <v>3133669967</v>
      </c>
      <c r="I126" s="30">
        <v>113</v>
      </c>
      <c r="J126" s="30">
        <v>339</v>
      </c>
      <c r="K126" s="30">
        <v>10170</v>
      </c>
      <c r="L126" s="30">
        <v>90</v>
      </c>
      <c r="M126" s="30">
        <v>30</v>
      </c>
      <c r="N126" s="30">
        <v>46089</v>
      </c>
      <c r="O126" s="30">
        <v>134</v>
      </c>
      <c r="P126" s="30">
        <v>38112.094395280241</v>
      </c>
      <c r="Q126" s="30">
        <v>10170</v>
      </c>
      <c r="R126" s="30">
        <v>387600</v>
      </c>
      <c r="S126" s="30" t="s">
        <v>866</v>
      </c>
      <c r="T126" s="30" t="s">
        <v>865</v>
      </c>
      <c r="U126">
        <f>IFERROR(VLOOKUP(C126,Hoja4!$D$4:$E$273,2,FALSE),0)</f>
        <v>0</v>
      </c>
      <c r="V126">
        <f>IFERROR(VLOOKUP(C126,Hoja4!$A$4:$B$273,2,FALSE),0)</f>
        <v>0</v>
      </c>
    </row>
    <row r="127" spans="1:22" x14ac:dyDescent="0.25">
      <c r="A127" s="33">
        <v>46069</v>
      </c>
      <c r="B127" s="31" t="s">
        <v>63</v>
      </c>
      <c r="C127" s="31">
        <v>135</v>
      </c>
      <c r="D127" s="31" t="s">
        <v>864</v>
      </c>
      <c r="E127" s="31" t="s">
        <v>863</v>
      </c>
      <c r="F127" s="31"/>
      <c r="G127" s="31" t="s">
        <v>862</v>
      </c>
      <c r="H127" s="31">
        <v>3203909420</v>
      </c>
      <c r="I127" s="31">
        <v>50</v>
      </c>
      <c r="J127" s="31">
        <v>150</v>
      </c>
      <c r="K127" s="31">
        <v>2250</v>
      </c>
      <c r="L127" s="31">
        <v>45</v>
      </c>
      <c r="M127" s="31">
        <v>15</v>
      </c>
      <c r="N127" s="31">
        <v>46084</v>
      </c>
      <c r="O127" s="31">
        <v>135</v>
      </c>
      <c r="P127" s="31">
        <v>15000</v>
      </c>
      <c r="Q127" s="31">
        <v>2250</v>
      </c>
      <c r="R127" s="31">
        <v>33750</v>
      </c>
      <c r="S127" s="31" t="s">
        <v>861</v>
      </c>
      <c r="T127" s="31" t="s">
        <v>860</v>
      </c>
      <c r="U127">
        <f>IFERROR(VLOOKUP(C127,Hoja4!$D$4:$E$273,2,FALSE),0)</f>
        <v>91500</v>
      </c>
      <c r="V127">
        <f>IFERROR(VLOOKUP(C127,Hoja4!$A$4:$B$273,2,FALSE),0)</f>
        <v>0</v>
      </c>
    </row>
    <row r="128" spans="1:22" x14ac:dyDescent="0.25">
      <c r="A128" s="32">
        <v>46066</v>
      </c>
      <c r="B128" s="30" t="s">
        <v>63</v>
      </c>
      <c r="C128" s="30">
        <v>136</v>
      </c>
      <c r="D128" s="30" t="s">
        <v>859</v>
      </c>
      <c r="E128" s="30" t="s">
        <v>859</v>
      </c>
      <c r="F128" s="30"/>
      <c r="G128" s="30" t="s">
        <v>858</v>
      </c>
      <c r="H128" s="30">
        <v>3012828335</v>
      </c>
      <c r="I128" s="30">
        <v>250</v>
      </c>
      <c r="J128" s="30">
        <v>250</v>
      </c>
      <c r="K128" s="30">
        <v>3750</v>
      </c>
      <c r="L128" s="30">
        <v>15</v>
      </c>
      <c r="M128" s="30">
        <v>15</v>
      </c>
      <c r="N128" s="30">
        <v>46081</v>
      </c>
      <c r="O128" s="30">
        <v>136</v>
      </c>
      <c r="P128" s="30">
        <v>32000</v>
      </c>
      <c r="Q128" s="30">
        <v>3750</v>
      </c>
      <c r="R128" s="30">
        <v>120000</v>
      </c>
      <c r="S128" s="30" t="s">
        <v>857</v>
      </c>
      <c r="T128" s="30" t="s">
        <v>856</v>
      </c>
      <c r="U128">
        <f>IFERROR(VLOOKUP(C128,Hoja4!$D$4:$E$273,2,FALSE),0)</f>
        <v>0</v>
      </c>
      <c r="V128">
        <f>IFERROR(VLOOKUP(C128,Hoja4!$A$4:$B$273,2,FALSE),0)</f>
        <v>0</v>
      </c>
    </row>
    <row r="129" spans="1:22" x14ac:dyDescent="0.25">
      <c r="A129" s="33">
        <v>46062</v>
      </c>
      <c r="B129" s="31" t="s">
        <v>63</v>
      </c>
      <c r="C129" s="31">
        <v>137</v>
      </c>
      <c r="D129" s="31" t="s">
        <v>855</v>
      </c>
      <c r="E129" s="31" t="s">
        <v>855</v>
      </c>
      <c r="F129" s="31"/>
      <c r="G129" s="31" t="s">
        <v>854</v>
      </c>
      <c r="H129" s="31">
        <v>3505658503</v>
      </c>
      <c r="I129" s="31">
        <v>48</v>
      </c>
      <c r="J129" s="31">
        <v>144</v>
      </c>
      <c r="K129" s="31">
        <v>2160</v>
      </c>
      <c r="L129" s="31">
        <v>45</v>
      </c>
      <c r="M129" s="31">
        <v>15</v>
      </c>
      <c r="N129" s="31">
        <v>46077</v>
      </c>
      <c r="O129" s="31">
        <v>137</v>
      </c>
      <c r="P129" s="31">
        <v>49537.037037037036</v>
      </c>
      <c r="Q129" s="31">
        <v>2160</v>
      </c>
      <c r="R129" s="31">
        <v>107000</v>
      </c>
      <c r="S129" s="31" t="s">
        <v>853</v>
      </c>
      <c r="T129" s="31" t="s">
        <v>852</v>
      </c>
      <c r="U129">
        <f>IFERROR(VLOOKUP(C129,Hoja4!$D$4:$E$273,2,FALSE),0)</f>
        <v>0</v>
      </c>
      <c r="V129">
        <f>IFERROR(VLOOKUP(C129,Hoja4!$A$4:$B$273,2,FALSE),0)</f>
        <v>0</v>
      </c>
    </row>
    <row r="130" spans="1:22" x14ac:dyDescent="0.25">
      <c r="A130" s="32">
        <v>46036</v>
      </c>
      <c r="B130" s="30" t="s">
        <v>4</v>
      </c>
      <c r="C130" s="30">
        <v>138</v>
      </c>
      <c r="D130" s="30" t="s">
        <v>851</v>
      </c>
      <c r="E130" s="30" t="s">
        <v>851</v>
      </c>
      <c r="F130" s="30"/>
      <c r="G130" s="30" t="s">
        <v>850</v>
      </c>
      <c r="H130" s="30">
        <v>3227137325</v>
      </c>
      <c r="I130" s="30">
        <v>70</v>
      </c>
      <c r="J130" s="30">
        <v>140</v>
      </c>
      <c r="K130" s="30">
        <v>2100</v>
      </c>
      <c r="L130" s="30">
        <v>30</v>
      </c>
      <c r="M130" s="30">
        <v>15</v>
      </c>
      <c r="N130" s="30">
        <v>46051</v>
      </c>
      <c r="O130" s="30">
        <v>138</v>
      </c>
      <c r="P130" s="30">
        <v>40000</v>
      </c>
      <c r="Q130" s="30">
        <v>2100</v>
      </c>
      <c r="R130" s="30">
        <v>84000</v>
      </c>
      <c r="S130" s="30" t="s">
        <v>849</v>
      </c>
      <c r="T130" s="30" t="s">
        <v>848</v>
      </c>
      <c r="U130">
        <f>IFERROR(VLOOKUP(C130,Hoja4!$D$4:$E$273,2,FALSE),0)</f>
        <v>0</v>
      </c>
      <c r="V130">
        <f>IFERROR(VLOOKUP(C130,Hoja4!$A$4:$B$273,2,FALSE),0)</f>
        <v>0</v>
      </c>
    </row>
    <row r="131" spans="1:22" x14ac:dyDescent="0.25">
      <c r="A131" s="33"/>
      <c r="B131" s="31" t="s">
        <v>208</v>
      </c>
      <c r="C131" s="31">
        <v>139</v>
      </c>
      <c r="D131" s="31" t="s">
        <v>847</v>
      </c>
      <c r="E131" s="31" t="s">
        <v>846</v>
      </c>
      <c r="F131" s="31"/>
      <c r="G131" s="31" t="s">
        <v>845</v>
      </c>
      <c r="H131" s="31">
        <v>3144472686</v>
      </c>
      <c r="I131" s="31">
        <v>64</v>
      </c>
      <c r="J131" s="31">
        <v>190</v>
      </c>
      <c r="K131" s="31">
        <v>2850</v>
      </c>
      <c r="L131" s="31">
        <v>44.53125</v>
      </c>
      <c r="M131" s="31">
        <v>15</v>
      </c>
      <c r="N131" s="31"/>
      <c r="O131" s="31">
        <v>139</v>
      </c>
      <c r="P131" s="31">
        <v>46877.192982456138</v>
      </c>
      <c r="Q131" s="31">
        <v>2850</v>
      </c>
      <c r="R131" s="31">
        <v>133600</v>
      </c>
      <c r="S131" s="31" t="s">
        <v>844</v>
      </c>
      <c r="T131" s="31"/>
      <c r="U131">
        <f>IFERROR(VLOOKUP(C131,Hoja4!$D$4:$E$273,2,FALSE),0)</f>
        <v>0</v>
      </c>
      <c r="V131">
        <f>IFERROR(VLOOKUP(C131,Hoja4!$A$4:$B$273,2,FALSE),0)</f>
        <v>0</v>
      </c>
    </row>
    <row r="132" spans="1:22" x14ac:dyDescent="0.25">
      <c r="A132" s="32">
        <v>46065</v>
      </c>
      <c r="B132" s="30" t="s">
        <v>63</v>
      </c>
      <c r="C132" s="30">
        <v>140</v>
      </c>
      <c r="D132" s="30" t="s">
        <v>843</v>
      </c>
      <c r="E132" s="30" t="s">
        <v>843</v>
      </c>
      <c r="F132" s="30"/>
      <c r="G132" s="30" t="s">
        <v>842</v>
      </c>
      <c r="H132" s="30">
        <v>3123577008</v>
      </c>
      <c r="I132" s="30">
        <v>150</v>
      </c>
      <c r="J132" s="30">
        <v>150</v>
      </c>
      <c r="K132" s="30">
        <v>4950</v>
      </c>
      <c r="L132" s="30">
        <v>33</v>
      </c>
      <c r="M132" s="30">
        <v>33</v>
      </c>
      <c r="N132" s="30">
        <v>46098</v>
      </c>
      <c r="O132" s="30">
        <v>140</v>
      </c>
      <c r="P132" s="30">
        <v>28000</v>
      </c>
      <c r="Q132" s="30">
        <v>4950</v>
      </c>
      <c r="R132" s="30">
        <v>138600</v>
      </c>
      <c r="S132" s="30" t="s">
        <v>841</v>
      </c>
      <c r="T132" s="30" t="s">
        <v>840</v>
      </c>
      <c r="U132">
        <f>IFERROR(VLOOKUP(C132,Hoja4!$D$4:$E$273,2,FALSE),0)</f>
        <v>0</v>
      </c>
      <c r="V132">
        <f>IFERROR(VLOOKUP(C132,Hoja4!$A$4:$B$273,2,FALSE),0)</f>
        <v>0</v>
      </c>
    </row>
    <row r="133" spans="1:22" x14ac:dyDescent="0.25">
      <c r="A133" s="33">
        <v>46065</v>
      </c>
      <c r="B133" s="31" t="s">
        <v>63</v>
      </c>
      <c r="C133" s="31">
        <v>141</v>
      </c>
      <c r="D133" s="31" t="s">
        <v>839</v>
      </c>
      <c r="E133" s="31" t="s">
        <v>839</v>
      </c>
      <c r="F133" s="31" t="s">
        <v>52</v>
      </c>
      <c r="G133" s="31" t="s">
        <v>838</v>
      </c>
      <c r="H133" s="31">
        <v>3142244660</v>
      </c>
      <c r="I133" s="31">
        <v>200</v>
      </c>
      <c r="J133" s="31">
        <v>400</v>
      </c>
      <c r="K133" s="31">
        <v>5000</v>
      </c>
      <c r="L133" s="31">
        <v>25</v>
      </c>
      <c r="M133" s="31">
        <v>12.5</v>
      </c>
      <c r="N133" s="31">
        <v>46077.5</v>
      </c>
      <c r="O133" s="31">
        <v>141</v>
      </c>
      <c r="P133" s="31">
        <v>25000</v>
      </c>
      <c r="Q133" s="31">
        <v>5000</v>
      </c>
      <c r="R133" s="31">
        <v>125000</v>
      </c>
      <c r="S133" s="31" t="s">
        <v>837</v>
      </c>
      <c r="T133" s="31" t="s">
        <v>836</v>
      </c>
      <c r="U133">
        <f>IFERROR(VLOOKUP(C133,Hoja4!$D$4:$E$273,2,FALSE),0)</f>
        <v>125000</v>
      </c>
      <c r="V133">
        <f>IFERROR(VLOOKUP(C133,Hoja4!$A$4:$B$273,2,FALSE),0)</f>
        <v>0</v>
      </c>
    </row>
    <row r="134" spans="1:22" x14ac:dyDescent="0.25">
      <c r="A134" s="32">
        <v>46070</v>
      </c>
      <c r="B134" s="30" t="s">
        <v>63</v>
      </c>
      <c r="C134" s="30">
        <v>142</v>
      </c>
      <c r="D134" s="30" t="s">
        <v>835</v>
      </c>
      <c r="E134" s="30" t="s">
        <v>835</v>
      </c>
      <c r="F134" s="30"/>
      <c r="G134" s="30" t="s">
        <v>834</v>
      </c>
      <c r="H134" s="30">
        <v>3193174586</v>
      </c>
      <c r="I134" s="30">
        <v>110</v>
      </c>
      <c r="J134" s="30">
        <v>220</v>
      </c>
      <c r="K134" s="30">
        <v>3300</v>
      </c>
      <c r="L134" s="30">
        <v>30</v>
      </c>
      <c r="M134" s="30">
        <v>15</v>
      </c>
      <c r="N134" s="30">
        <v>46085</v>
      </c>
      <c r="O134" s="30">
        <v>142</v>
      </c>
      <c r="P134" s="30">
        <v>36000</v>
      </c>
      <c r="Q134" s="30">
        <v>3300</v>
      </c>
      <c r="R134" s="30">
        <v>128700</v>
      </c>
      <c r="S134" s="30" t="s">
        <v>833</v>
      </c>
      <c r="T134" s="30" t="s">
        <v>832</v>
      </c>
      <c r="U134">
        <f>IFERROR(VLOOKUP(C134,Hoja4!$D$4:$E$273,2,FALSE),0)</f>
        <v>108900</v>
      </c>
      <c r="V134">
        <f>IFERROR(VLOOKUP(C134,Hoja4!$A$4:$B$273,2,FALSE),0)</f>
        <v>0</v>
      </c>
    </row>
    <row r="135" spans="1:22" x14ac:dyDescent="0.25">
      <c r="A135" s="33">
        <v>46073</v>
      </c>
      <c r="B135" s="31" t="s">
        <v>63</v>
      </c>
      <c r="C135" s="31">
        <v>143</v>
      </c>
      <c r="D135" s="31" t="s">
        <v>831</v>
      </c>
      <c r="E135" s="31" t="s">
        <v>831</v>
      </c>
      <c r="F135" s="31"/>
      <c r="G135" s="31" t="s">
        <v>830</v>
      </c>
      <c r="H135" s="31">
        <v>3106892868</v>
      </c>
      <c r="I135" s="31">
        <v>230</v>
      </c>
      <c r="J135" s="31">
        <v>230</v>
      </c>
      <c r="K135" s="31">
        <v>2300</v>
      </c>
      <c r="L135" s="31">
        <v>10</v>
      </c>
      <c r="M135" s="31">
        <v>10</v>
      </c>
      <c r="N135" s="31">
        <v>46083</v>
      </c>
      <c r="O135" s="31">
        <v>143</v>
      </c>
      <c r="P135" s="31">
        <v>27000</v>
      </c>
      <c r="Q135" s="31">
        <v>2300</v>
      </c>
      <c r="R135" s="31">
        <v>62100</v>
      </c>
      <c r="S135" s="31" t="s">
        <v>829</v>
      </c>
      <c r="T135" s="31" t="s">
        <v>828</v>
      </c>
      <c r="U135">
        <f>IFERROR(VLOOKUP(C135,Hoja4!$D$4:$E$273,2,FALSE),0)</f>
        <v>124200</v>
      </c>
      <c r="V135">
        <f>IFERROR(VLOOKUP(C135,Hoja4!$A$4:$B$273,2,FALSE),0)</f>
        <v>0</v>
      </c>
    </row>
    <row r="136" spans="1:22" x14ac:dyDescent="0.25">
      <c r="A136" s="32">
        <v>46037</v>
      </c>
      <c r="B136" s="30" t="s">
        <v>4</v>
      </c>
      <c r="C136" s="30">
        <v>144</v>
      </c>
      <c r="D136" s="30" t="s">
        <v>827</v>
      </c>
      <c r="E136" s="30" t="s">
        <v>826</v>
      </c>
      <c r="F136" s="30"/>
      <c r="G136" s="30" t="s">
        <v>825</v>
      </c>
      <c r="H136" s="30">
        <v>3209504332</v>
      </c>
      <c r="I136" s="30">
        <v>70</v>
      </c>
      <c r="J136" s="30">
        <v>140</v>
      </c>
      <c r="K136" s="30">
        <v>2100</v>
      </c>
      <c r="L136" s="30">
        <v>30</v>
      </c>
      <c r="M136" s="30">
        <v>15</v>
      </c>
      <c r="N136" s="30">
        <v>46052</v>
      </c>
      <c r="O136" s="30">
        <v>144</v>
      </c>
      <c r="P136" s="30">
        <v>41000</v>
      </c>
      <c r="Q136" s="30">
        <v>2100</v>
      </c>
      <c r="R136" s="30">
        <v>86100</v>
      </c>
      <c r="S136" s="30" t="s">
        <v>824</v>
      </c>
      <c r="T136" s="30"/>
      <c r="U136">
        <f>IFERROR(VLOOKUP(C136,Hoja4!$D$4:$E$273,2,FALSE),0)</f>
        <v>0</v>
      </c>
      <c r="V136">
        <f>IFERROR(VLOOKUP(C136,Hoja4!$A$4:$B$273,2,FALSE),0)</f>
        <v>0</v>
      </c>
    </row>
    <row r="137" spans="1:22" x14ac:dyDescent="0.25">
      <c r="A137" s="33"/>
      <c r="B137" s="31" t="s">
        <v>208</v>
      </c>
      <c r="C137" s="31">
        <v>145</v>
      </c>
      <c r="D137" s="31" t="s">
        <v>823</v>
      </c>
      <c r="E137" s="31" t="s">
        <v>823</v>
      </c>
      <c r="F137" s="31"/>
      <c r="G137" s="31" t="s">
        <v>822</v>
      </c>
      <c r="H137" s="31">
        <v>3011360508</v>
      </c>
      <c r="I137" s="31">
        <v>95</v>
      </c>
      <c r="J137" s="31">
        <v>190</v>
      </c>
      <c r="K137" s="31">
        <v>1330</v>
      </c>
      <c r="L137" s="31">
        <v>14</v>
      </c>
      <c r="M137" s="31">
        <v>7</v>
      </c>
      <c r="N137" s="31"/>
      <c r="O137" s="31">
        <v>145</v>
      </c>
      <c r="P137" s="31">
        <v>7518.7969924812032</v>
      </c>
      <c r="Q137" s="31">
        <v>1330</v>
      </c>
      <c r="R137" s="31">
        <v>10000</v>
      </c>
      <c r="S137" s="31" t="s">
        <v>821</v>
      </c>
      <c r="T137" s="31"/>
      <c r="U137">
        <f>IFERROR(VLOOKUP(C137,Hoja4!$D$4:$E$273,2,FALSE),0)</f>
        <v>0</v>
      </c>
      <c r="V137">
        <f>IFERROR(VLOOKUP(C137,Hoja4!$A$4:$B$273,2,FALSE),0)</f>
        <v>0</v>
      </c>
    </row>
    <row r="138" spans="1:22" x14ac:dyDescent="0.25">
      <c r="A138" s="32"/>
      <c r="B138" s="30" t="s">
        <v>208</v>
      </c>
      <c r="C138" s="30">
        <v>146</v>
      </c>
      <c r="D138" s="30" t="s">
        <v>820</v>
      </c>
      <c r="E138" s="30" t="s">
        <v>820</v>
      </c>
      <c r="F138" s="30"/>
      <c r="G138" s="30" t="s">
        <v>800</v>
      </c>
      <c r="H138" s="30">
        <v>3142555974</v>
      </c>
      <c r="I138" s="30">
        <v>500</v>
      </c>
      <c r="J138" s="30">
        <v>1500</v>
      </c>
      <c r="K138" s="30">
        <v>1500</v>
      </c>
      <c r="L138" s="30">
        <v>3</v>
      </c>
      <c r="M138" s="30">
        <v>1</v>
      </c>
      <c r="N138" s="30"/>
      <c r="O138" s="30">
        <v>146</v>
      </c>
      <c r="P138" s="30">
        <v>46666.666666666664</v>
      </c>
      <c r="Q138" s="30">
        <v>1500</v>
      </c>
      <c r="R138" s="30">
        <v>70000</v>
      </c>
      <c r="S138" s="30" t="s">
        <v>584</v>
      </c>
      <c r="T138" s="30" t="s">
        <v>583</v>
      </c>
      <c r="U138">
        <f>IFERROR(VLOOKUP(C138,Hoja4!$D$4:$E$273,2,FALSE),0)</f>
        <v>0</v>
      </c>
      <c r="V138">
        <f>IFERROR(VLOOKUP(C138,Hoja4!$A$4:$B$273,2,FALSE),0)</f>
        <v>0</v>
      </c>
    </row>
    <row r="139" spans="1:22" x14ac:dyDescent="0.25">
      <c r="A139" s="33">
        <v>46042</v>
      </c>
      <c r="B139" s="31" t="s">
        <v>4</v>
      </c>
      <c r="C139" s="31">
        <v>147</v>
      </c>
      <c r="D139" s="31" t="s">
        <v>819</v>
      </c>
      <c r="E139" s="31" t="s">
        <v>818</v>
      </c>
      <c r="F139" s="31"/>
      <c r="G139" s="31" t="s">
        <v>817</v>
      </c>
      <c r="H139" s="31">
        <v>3015619872</v>
      </c>
      <c r="I139" s="31">
        <v>58</v>
      </c>
      <c r="J139" s="31">
        <v>58</v>
      </c>
      <c r="K139" s="31">
        <v>870</v>
      </c>
      <c r="L139" s="31">
        <v>15</v>
      </c>
      <c r="M139" s="31">
        <v>15</v>
      </c>
      <c r="N139" s="31">
        <v>46057</v>
      </c>
      <c r="O139" s="31">
        <v>147</v>
      </c>
      <c r="P139" s="31">
        <v>55000</v>
      </c>
      <c r="Q139" s="31">
        <v>870</v>
      </c>
      <c r="R139" s="31">
        <v>47850</v>
      </c>
      <c r="S139" s="31" t="s">
        <v>816</v>
      </c>
      <c r="T139" s="31" t="s">
        <v>815</v>
      </c>
      <c r="U139">
        <f>IFERROR(VLOOKUP(C139,Hoja4!$D$4:$E$273,2,FALSE),0)</f>
        <v>36000</v>
      </c>
      <c r="V139">
        <f>IFERROR(VLOOKUP(C139,Hoja4!$A$4:$B$273,2,FALSE),0)</f>
        <v>0</v>
      </c>
    </row>
    <row r="140" spans="1:22" x14ac:dyDescent="0.25">
      <c r="A140" s="32">
        <v>46051</v>
      </c>
      <c r="B140" s="30" t="s">
        <v>4</v>
      </c>
      <c r="C140" s="30">
        <v>148</v>
      </c>
      <c r="D140" s="30" t="s">
        <v>814</v>
      </c>
      <c r="E140" s="30" t="s">
        <v>814</v>
      </c>
      <c r="F140" s="30"/>
      <c r="G140" s="30" t="s">
        <v>813</v>
      </c>
      <c r="H140" s="30">
        <v>3132549221</v>
      </c>
      <c r="I140" s="30">
        <v>210</v>
      </c>
      <c r="J140" s="30">
        <v>420</v>
      </c>
      <c r="K140" s="30">
        <v>4200</v>
      </c>
      <c r="L140" s="30">
        <v>20</v>
      </c>
      <c r="M140" s="30">
        <v>10</v>
      </c>
      <c r="N140" s="30">
        <v>46061</v>
      </c>
      <c r="O140" s="30">
        <v>148</v>
      </c>
      <c r="P140" s="30">
        <v>39071.428571428572</v>
      </c>
      <c r="Q140" s="30">
        <v>4200</v>
      </c>
      <c r="R140" s="30">
        <v>164100</v>
      </c>
      <c r="S140" s="30" t="s">
        <v>812</v>
      </c>
      <c r="T140" s="30"/>
      <c r="U140">
        <f>IFERROR(VLOOKUP(C140,Hoja4!$D$4:$E$273,2,FALSE),0)</f>
        <v>0</v>
      </c>
      <c r="V140">
        <f>IFERROR(VLOOKUP(C140,Hoja4!$A$4:$B$273,2,FALSE),0)</f>
        <v>0</v>
      </c>
    </row>
    <row r="141" spans="1:22" x14ac:dyDescent="0.25">
      <c r="A141" s="33">
        <v>46069</v>
      </c>
      <c r="B141" s="31" t="s">
        <v>63</v>
      </c>
      <c r="C141" s="31">
        <v>149</v>
      </c>
      <c r="D141" s="31" t="s">
        <v>811</v>
      </c>
      <c r="E141" s="31" t="s">
        <v>810</v>
      </c>
      <c r="F141" s="31"/>
      <c r="G141" s="31" t="s">
        <v>809</v>
      </c>
      <c r="H141" s="31" t="s">
        <v>808</v>
      </c>
      <c r="I141" s="31">
        <v>50</v>
      </c>
      <c r="J141" s="31">
        <v>150</v>
      </c>
      <c r="K141" s="31">
        <v>2250</v>
      </c>
      <c r="L141" s="31">
        <v>45</v>
      </c>
      <c r="M141" s="31">
        <v>15</v>
      </c>
      <c r="N141" s="31">
        <v>46084</v>
      </c>
      <c r="O141" s="31">
        <v>149</v>
      </c>
      <c r="P141" s="31">
        <v>42000</v>
      </c>
      <c r="Q141" s="31">
        <v>2250</v>
      </c>
      <c r="R141" s="31">
        <v>94500</v>
      </c>
      <c r="S141" s="31" t="s">
        <v>807</v>
      </c>
      <c r="T141" s="31" t="s">
        <v>806</v>
      </c>
      <c r="U141">
        <f>IFERROR(VLOOKUP(C141,Hoja4!$D$4:$E$273,2,FALSE),0)</f>
        <v>29000</v>
      </c>
      <c r="V141">
        <f>IFERROR(VLOOKUP(C141,Hoja4!$A$4:$B$273,2,FALSE),0)</f>
        <v>0</v>
      </c>
    </row>
    <row r="142" spans="1:22" x14ac:dyDescent="0.25">
      <c r="A142" s="32">
        <v>46052</v>
      </c>
      <c r="B142" s="30" t="s">
        <v>4</v>
      </c>
      <c r="C142" s="30">
        <v>150</v>
      </c>
      <c r="D142" s="30" t="s">
        <v>805</v>
      </c>
      <c r="E142" s="30" t="s">
        <v>805</v>
      </c>
      <c r="F142" s="30"/>
      <c r="G142" s="30" t="s">
        <v>804</v>
      </c>
      <c r="H142" s="30">
        <v>3002431647</v>
      </c>
      <c r="I142" s="30">
        <v>155</v>
      </c>
      <c r="J142" s="30">
        <v>310</v>
      </c>
      <c r="K142" s="30">
        <v>4650</v>
      </c>
      <c r="L142" s="30">
        <v>30</v>
      </c>
      <c r="M142" s="30">
        <v>15</v>
      </c>
      <c r="N142" s="30">
        <v>46067</v>
      </c>
      <c r="O142" s="30">
        <v>150</v>
      </c>
      <c r="P142" s="30">
        <v>38709.677419354841</v>
      </c>
      <c r="Q142" s="30">
        <v>4650</v>
      </c>
      <c r="R142" s="30">
        <v>180000</v>
      </c>
      <c r="S142" s="30" t="s">
        <v>803</v>
      </c>
      <c r="T142" s="30" t="s">
        <v>802</v>
      </c>
      <c r="U142">
        <f>IFERROR(VLOOKUP(C142,Hoja4!$D$4:$E$273,2,FALSE),0)</f>
        <v>342750</v>
      </c>
      <c r="V142">
        <f>IFERROR(VLOOKUP(C142,Hoja4!$A$4:$B$273,2,FALSE),0)</f>
        <v>0</v>
      </c>
    </row>
    <row r="143" spans="1:22" x14ac:dyDescent="0.25">
      <c r="A143" s="33"/>
      <c r="B143" s="31" t="s">
        <v>208</v>
      </c>
      <c r="C143" s="31">
        <v>151</v>
      </c>
      <c r="D143" s="31" t="s">
        <v>801</v>
      </c>
      <c r="E143" s="31" t="s">
        <v>801</v>
      </c>
      <c r="F143" s="31"/>
      <c r="G143" s="31" t="s">
        <v>800</v>
      </c>
      <c r="H143" s="31">
        <v>3142555974</v>
      </c>
      <c r="I143" s="31">
        <v>90</v>
      </c>
      <c r="J143" s="31">
        <v>180</v>
      </c>
      <c r="K143" s="31">
        <v>5400</v>
      </c>
      <c r="L143" s="31">
        <v>60</v>
      </c>
      <c r="M143" s="31">
        <v>30</v>
      </c>
      <c r="N143" s="31"/>
      <c r="O143" s="31">
        <v>151</v>
      </c>
      <c r="P143" s="31">
        <v>22000</v>
      </c>
      <c r="Q143" s="31">
        <v>5400</v>
      </c>
      <c r="R143" s="31">
        <v>118800</v>
      </c>
      <c r="S143" s="31" t="s">
        <v>584</v>
      </c>
      <c r="T143" s="31" t="s">
        <v>799</v>
      </c>
      <c r="U143">
        <f>IFERROR(VLOOKUP(C143,Hoja4!$D$4:$E$273,2,FALSE),0)</f>
        <v>0</v>
      </c>
      <c r="V143">
        <f>IFERROR(VLOOKUP(C143,Hoja4!$A$4:$B$273,2,FALSE),0)</f>
        <v>0</v>
      </c>
    </row>
    <row r="144" spans="1:22" x14ac:dyDescent="0.25">
      <c r="A144" s="32">
        <v>46069</v>
      </c>
      <c r="B144" s="30" t="s">
        <v>63</v>
      </c>
      <c r="C144" s="30">
        <v>152</v>
      </c>
      <c r="D144" s="30" t="s">
        <v>798</v>
      </c>
      <c r="E144" s="30" t="s">
        <v>798</v>
      </c>
      <c r="F144" s="30"/>
      <c r="G144" s="30" t="s">
        <v>797</v>
      </c>
      <c r="H144" s="30">
        <v>3158647677</v>
      </c>
      <c r="I144" s="30">
        <v>210</v>
      </c>
      <c r="J144" s="30">
        <v>210</v>
      </c>
      <c r="K144" s="30">
        <v>3150</v>
      </c>
      <c r="L144" s="30">
        <v>15</v>
      </c>
      <c r="M144" s="30">
        <v>15</v>
      </c>
      <c r="N144" s="30">
        <v>46084</v>
      </c>
      <c r="O144" s="30">
        <v>152</v>
      </c>
      <c r="P144" s="30">
        <v>31714.285714285714</v>
      </c>
      <c r="Q144" s="30">
        <v>3150</v>
      </c>
      <c r="R144" s="30">
        <v>99900</v>
      </c>
      <c r="S144" s="30" t="s">
        <v>796</v>
      </c>
      <c r="T144" s="30" t="s">
        <v>795</v>
      </c>
      <c r="U144">
        <f>IFERROR(VLOOKUP(C144,Hoja4!$D$4:$E$273,2,FALSE),0)</f>
        <v>13300</v>
      </c>
      <c r="V144">
        <f>IFERROR(VLOOKUP(C144,Hoja4!$A$4:$B$273,2,FALSE),0)</f>
        <v>0</v>
      </c>
    </row>
    <row r="145" spans="1:22" x14ac:dyDescent="0.25">
      <c r="A145" s="33">
        <v>46069</v>
      </c>
      <c r="B145" s="31" t="s">
        <v>63</v>
      </c>
      <c r="C145" s="31">
        <v>153</v>
      </c>
      <c r="D145" s="31" t="s">
        <v>794</v>
      </c>
      <c r="E145" s="31" t="s">
        <v>794</v>
      </c>
      <c r="F145" s="31"/>
      <c r="G145" s="31" t="s">
        <v>793</v>
      </c>
      <c r="H145" s="31">
        <v>3182279041</v>
      </c>
      <c r="I145" s="31">
        <v>150</v>
      </c>
      <c r="J145" s="31">
        <v>150</v>
      </c>
      <c r="K145" s="31">
        <v>2250</v>
      </c>
      <c r="L145" s="31">
        <v>15</v>
      </c>
      <c r="M145" s="31">
        <v>15</v>
      </c>
      <c r="N145" s="31">
        <v>46084</v>
      </c>
      <c r="O145" s="31">
        <v>153</v>
      </c>
      <c r="P145" s="31">
        <v>30000</v>
      </c>
      <c r="Q145" s="31">
        <v>2250</v>
      </c>
      <c r="R145" s="31">
        <v>67500</v>
      </c>
      <c r="S145" s="31" t="s">
        <v>792</v>
      </c>
      <c r="T145" s="31" t="s">
        <v>791</v>
      </c>
      <c r="U145">
        <f>IFERROR(VLOOKUP(C145,Hoja4!$D$4:$E$273,2,FALSE),0)</f>
        <v>0</v>
      </c>
      <c r="V145">
        <f>IFERROR(VLOOKUP(C145,Hoja4!$A$4:$B$273,2,FALSE),0)</f>
        <v>0</v>
      </c>
    </row>
    <row r="146" spans="1:22" x14ac:dyDescent="0.25">
      <c r="A146" s="32">
        <v>46070</v>
      </c>
      <c r="B146" s="30" t="s">
        <v>63</v>
      </c>
      <c r="C146" s="30">
        <v>154</v>
      </c>
      <c r="D146" s="30" t="s">
        <v>790</v>
      </c>
      <c r="E146" s="30" t="s">
        <v>790</v>
      </c>
      <c r="F146" s="30"/>
      <c r="G146" s="30" t="s">
        <v>789</v>
      </c>
      <c r="H146" s="30">
        <v>3160496529</v>
      </c>
      <c r="I146" s="30">
        <v>140</v>
      </c>
      <c r="J146" s="30">
        <v>140</v>
      </c>
      <c r="K146" s="30">
        <v>4200</v>
      </c>
      <c r="L146" s="30">
        <v>30</v>
      </c>
      <c r="M146" s="30">
        <v>30</v>
      </c>
      <c r="N146" s="30">
        <v>46100</v>
      </c>
      <c r="O146" s="30">
        <v>154</v>
      </c>
      <c r="P146" s="30">
        <v>30000</v>
      </c>
      <c r="Q146" s="30">
        <v>4200</v>
      </c>
      <c r="R146" s="30">
        <v>126000</v>
      </c>
      <c r="S146" s="30" t="s">
        <v>788</v>
      </c>
      <c r="T146" s="30" t="s">
        <v>787</v>
      </c>
      <c r="U146">
        <f>IFERROR(VLOOKUP(C146,Hoja4!$D$4:$E$273,2,FALSE),0)</f>
        <v>0</v>
      </c>
      <c r="V146">
        <f>IFERROR(VLOOKUP(C146,Hoja4!$A$4:$B$273,2,FALSE),0)</f>
        <v>75000</v>
      </c>
    </row>
    <row r="147" spans="1:22" x14ac:dyDescent="0.25">
      <c r="A147" s="33">
        <v>46066</v>
      </c>
      <c r="B147" s="31" t="s">
        <v>63</v>
      </c>
      <c r="C147" s="31">
        <v>155</v>
      </c>
      <c r="D147" s="31" t="s">
        <v>786</v>
      </c>
      <c r="E147" s="31" t="s">
        <v>786</v>
      </c>
      <c r="F147" s="31"/>
      <c r="G147" s="31" t="s">
        <v>785</v>
      </c>
      <c r="H147" s="31">
        <v>3223299809</v>
      </c>
      <c r="I147" s="31">
        <v>85</v>
      </c>
      <c r="J147" s="31">
        <v>170</v>
      </c>
      <c r="K147" s="31">
        <v>1190</v>
      </c>
      <c r="L147" s="31">
        <v>14</v>
      </c>
      <c r="M147" s="31">
        <v>7</v>
      </c>
      <c r="N147" s="31">
        <v>46073</v>
      </c>
      <c r="O147" s="31">
        <v>155</v>
      </c>
      <c r="P147" s="31">
        <v>41092.436974789918</v>
      </c>
      <c r="Q147" s="31">
        <v>1190</v>
      </c>
      <c r="R147" s="31">
        <v>48900</v>
      </c>
      <c r="S147" s="31" t="s">
        <v>784</v>
      </c>
      <c r="T147" s="31" t="s">
        <v>783</v>
      </c>
      <c r="U147">
        <f>IFERROR(VLOOKUP(C147,Hoja4!$D$4:$E$273,2,FALSE),0)</f>
        <v>0</v>
      </c>
      <c r="V147">
        <f>IFERROR(VLOOKUP(C147,Hoja4!$A$4:$B$273,2,FALSE),0)</f>
        <v>0</v>
      </c>
    </row>
    <row r="148" spans="1:22" x14ac:dyDescent="0.25">
      <c r="A148" s="32">
        <v>46066</v>
      </c>
      <c r="B148" s="30" t="s">
        <v>63</v>
      </c>
      <c r="C148" s="30">
        <v>157</v>
      </c>
      <c r="D148" s="30" t="s">
        <v>782</v>
      </c>
      <c r="E148" s="30" t="s">
        <v>781</v>
      </c>
      <c r="F148" s="30"/>
      <c r="G148" s="30" t="s">
        <v>780</v>
      </c>
      <c r="H148" s="30">
        <v>3022930654</v>
      </c>
      <c r="I148" s="30">
        <v>70</v>
      </c>
      <c r="J148" s="30">
        <v>140</v>
      </c>
      <c r="K148" s="30">
        <v>4200</v>
      </c>
      <c r="L148" s="30">
        <v>60</v>
      </c>
      <c r="M148" s="30">
        <v>30</v>
      </c>
      <c r="N148" s="30">
        <v>46096</v>
      </c>
      <c r="O148" s="30">
        <v>157</v>
      </c>
      <c r="P148" s="30">
        <v>0</v>
      </c>
      <c r="Q148" s="30">
        <v>4200</v>
      </c>
      <c r="R148" s="30">
        <v>0</v>
      </c>
      <c r="S148" s="30" t="s">
        <v>779</v>
      </c>
      <c r="T148" s="30" t="s">
        <v>295</v>
      </c>
      <c r="U148">
        <f>IFERROR(VLOOKUP(C148,Hoja4!$D$4:$E$273,2,FALSE),0)</f>
        <v>0</v>
      </c>
      <c r="V148">
        <f>IFERROR(VLOOKUP(C148,Hoja4!$A$4:$B$273,2,FALSE),0)</f>
        <v>0</v>
      </c>
    </row>
    <row r="149" spans="1:22" x14ac:dyDescent="0.25">
      <c r="A149" s="33">
        <v>46063</v>
      </c>
      <c r="B149" s="31" t="s">
        <v>63</v>
      </c>
      <c r="C149" s="31">
        <v>158</v>
      </c>
      <c r="D149" s="31" t="s">
        <v>778</v>
      </c>
      <c r="E149" s="31" t="s">
        <v>778</v>
      </c>
      <c r="F149" s="31"/>
      <c r="G149" s="31" t="s">
        <v>777</v>
      </c>
      <c r="H149" s="31">
        <v>3132848302</v>
      </c>
      <c r="I149" s="31">
        <v>250</v>
      </c>
      <c r="J149" s="31">
        <v>500</v>
      </c>
      <c r="K149" s="31">
        <v>15000</v>
      </c>
      <c r="L149" s="31">
        <v>60</v>
      </c>
      <c r="M149" s="31">
        <v>30</v>
      </c>
      <c r="N149" s="31">
        <v>46093</v>
      </c>
      <c r="O149" s="31">
        <v>158</v>
      </c>
      <c r="P149" s="31">
        <v>23000</v>
      </c>
      <c r="Q149" s="31">
        <v>15000</v>
      </c>
      <c r="R149" s="31">
        <v>345000</v>
      </c>
      <c r="S149" s="31" t="s">
        <v>776</v>
      </c>
      <c r="T149" s="31" t="s">
        <v>295</v>
      </c>
      <c r="U149">
        <f>IFERROR(VLOOKUP(C149,Hoja4!$D$4:$E$273,2,FALSE),0)</f>
        <v>345000</v>
      </c>
      <c r="V149">
        <f>IFERROR(VLOOKUP(C149,Hoja4!$A$4:$B$273,2,FALSE),0)</f>
        <v>0</v>
      </c>
    </row>
    <row r="150" spans="1:22" x14ac:dyDescent="0.25">
      <c r="A150" s="32">
        <v>46066</v>
      </c>
      <c r="B150" s="30" t="s">
        <v>63</v>
      </c>
      <c r="C150" s="30">
        <v>159</v>
      </c>
      <c r="D150" s="30" t="s">
        <v>775</v>
      </c>
      <c r="E150" s="30" t="s">
        <v>775</v>
      </c>
      <c r="F150" s="30"/>
      <c r="G150" s="30" t="s">
        <v>774</v>
      </c>
      <c r="H150" s="30">
        <v>3154918270</v>
      </c>
      <c r="I150" s="30">
        <v>115</v>
      </c>
      <c r="J150" s="30">
        <v>115</v>
      </c>
      <c r="K150" s="30">
        <v>3450</v>
      </c>
      <c r="L150" s="30">
        <v>30</v>
      </c>
      <c r="M150" s="30">
        <v>30</v>
      </c>
      <c r="N150" s="30">
        <v>46096</v>
      </c>
      <c r="O150" s="30">
        <v>159</v>
      </c>
      <c r="P150" s="30">
        <v>34000</v>
      </c>
      <c r="Q150" s="30">
        <v>3450</v>
      </c>
      <c r="R150" s="30">
        <v>117300</v>
      </c>
      <c r="S150" s="30" t="s">
        <v>773</v>
      </c>
      <c r="T150" s="30" t="s">
        <v>295</v>
      </c>
      <c r="U150">
        <f>IFERROR(VLOOKUP(C150,Hoja4!$D$4:$E$273,2,FALSE),0)</f>
        <v>0</v>
      </c>
      <c r="V150">
        <f>IFERROR(VLOOKUP(C150,Hoja4!$A$4:$B$273,2,FALSE),0)</f>
        <v>0</v>
      </c>
    </row>
    <row r="151" spans="1:22" x14ac:dyDescent="0.25">
      <c r="A151" s="33">
        <v>46073</v>
      </c>
      <c r="B151" s="31" t="s">
        <v>63</v>
      </c>
      <c r="C151" s="31">
        <v>160</v>
      </c>
      <c r="D151" s="31" t="s">
        <v>772</v>
      </c>
      <c r="E151" s="31" t="s">
        <v>772</v>
      </c>
      <c r="F151" s="31"/>
      <c r="G151" s="31" t="s">
        <v>771</v>
      </c>
      <c r="H151" s="31">
        <v>3102397760</v>
      </c>
      <c r="I151" s="31">
        <v>30</v>
      </c>
      <c r="J151" s="31">
        <v>60</v>
      </c>
      <c r="K151" s="31">
        <v>900</v>
      </c>
      <c r="L151" s="31">
        <v>30</v>
      </c>
      <c r="M151" s="31">
        <v>15</v>
      </c>
      <c r="N151" s="31">
        <v>46088</v>
      </c>
      <c r="O151" s="31">
        <v>160</v>
      </c>
      <c r="P151" s="31">
        <v>56444.444444444445</v>
      </c>
      <c r="Q151" s="31">
        <v>900</v>
      </c>
      <c r="R151" s="31">
        <v>50800</v>
      </c>
      <c r="S151" s="31" t="s">
        <v>770</v>
      </c>
      <c r="T151" s="31"/>
      <c r="U151">
        <f>IFERROR(VLOOKUP(C151,Hoja4!$D$4:$E$273,2,FALSE),0)</f>
        <v>200</v>
      </c>
      <c r="V151">
        <f>IFERROR(VLOOKUP(C151,Hoja4!$A$4:$B$273,2,FALSE),0)</f>
        <v>0</v>
      </c>
    </row>
    <row r="152" spans="1:22" x14ac:dyDescent="0.25">
      <c r="A152" s="32">
        <v>46059</v>
      </c>
      <c r="B152" s="30" t="s">
        <v>63</v>
      </c>
      <c r="C152" s="30">
        <v>161</v>
      </c>
      <c r="D152" s="30" t="s">
        <v>769</v>
      </c>
      <c r="E152" s="30" t="s">
        <v>768</v>
      </c>
      <c r="F152" s="30"/>
      <c r="G152" s="30" t="s">
        <v>767</v>
      </c>
      <c r="H152" s="30">
        <v>3158943240</v>
      </c>
      <c r="I152" s="30">
        <v>165</v>
      </c>
      <c r="J152" s="30">
        <v>165</v>
      </c>
      <c r="K152" s="30">
        <v>4950</v>
      </c>
      <c r="L152" s="30">
        <v>30</v>
      </c>
      <c r="M152" s="30">
        <v>30</v>
      </c>
      <c r="N152" s="30">
        <v>46089</v>
      </c>
      <c r="O152" s="30">
        <v>161</v>
      </c>
      <c r="P152" s="30">
        <v>38000</v>
      </c>
      <c r="Q152" s="30">
        <v>4950</v>
      </c>
      <c r="R152" s="30">
        <v>188100</v>
      </c>
      <c r="S152" s="30" t="s">
        <v>766</v>
      </c>
      <c r="T152" s="30" t="s">
        <v>765</v>
      </c>
      <c r="U152">
        <f>IFERROR(VLOOKUP(C152,Hoja4!$D$4:$E$273,2,FALSE),0)</f>
        <v>100</v>
      </c>
      <c r="V152">
        <f>IFERROR(VLOOKUP(C152,Hoja4!$A$4:$B$273,2,FALSE),0)</f>
        <v>0</v>
      </c>
    </row>
    <row r="153" spans="1:22" x14ac:dyDescent="0.25">
      <c r="A153" s="33">
        <v>46071</v>
      </c>
      <c r="B153" s="31" t="s">
        <v>63</v>
      </c>
      <c r="C153" s="31">
        <v>162</v>
      </c>
      <c r="D153" s="31" t="s">
        <v>764</v>
      </c>
      <c r="E153" s="31" t="s">
        <v>764</v>
      </c>
      <c r="F153" s="31"/>
      <c r="G153" s="31" t="s">
        <v>763</v>
      </c>
      <c r="H153" s="31">
        <v>3155947421</v>
      </c>
      <c r="I153" s="31">
        <v>250</v>
      </c>
      <c r="J153" s="31">
        <v>250</v>
      </c>
      <c r="K153" s="31">
        <v>3750</v>
      </c>
      <c r="L153" s="31">
        <v>15</v>
      </c>
      <c r="M153" s="31">
        <v>15</v>
      </c>
      <c r="N153" s="31">
        <v>46086</v>
      </c>
      <c r="O153" s="31">
        <v>162</v>
      </c>
      <c r="P153" s="31">
        <v>34000</v>
      </c>
      <c r="Q153" s="31">
        <v>3750</v>
      </c>
      <c r="R153" s="31">
        <v>127500</v>
      </c>
      <c r="S153" s="31" t="s">
        <v>762</v>
      </c>
      <c r="T153" s="31" t="s">
        <v>761</v>
      </c>
      <c r="U153">
        <f>IFERROR(VLOOKUP(C153,Hoja4!$D$4:$E$273,2,FALSE),0)</f>
        <v>127500</v>
      </c>
      <c r="V153">
        <f>IFERROR(VLOOKUP(C153,Hoja4!$A$4:$B$273,2,FALSE),0)</f>
        <v>0</v>
      </c>
    </row>
    <row r="154" spans="1:22" x14ac:dyDescent="0.25">
      <c r="A154" s="32">
        <v>46080</v>
      </c>
      <c r="B154" s="30" t="s">
        <v>63</v>
      </c>
      <c r="C154" s="30">
        <v>163</v>
      </c>
      <c r="D154" s="30" t="s">
        <v>760</v>
      </c>
      <c r="E154" s="30" t="s">
        <v>760</v>
      </c>
      <c r="F154" s="30"/>
      <c r="G154" s="30" t="s">
        <v>759</v>
      </c>
      <c r="H154" s="30">
        <v>3142352415</v>
      </c>
      <c r="I154" s="30">
        <v>150</v>
      </c>
      <c r="J154" s="30">
        <v>150</v>
      </c>
      <c r="K154" s="30">
        <v>1500</v>
      </c>
      <c r="L154" s="30">
        <v>10</v>
      </c>
      <c r="M154" s="30">
        <v>10</v>
      </c>
      <c r="N154" s="30">
        <v>46090</v>
      </c>
      <c r="O154" s="30">
        <v>163</v>
      </c>
      <c r="P154" s="30">
        <v>29000</v>
      </c>
      <c r="Q154" s="30">
        <v>1500</v>
      </c>
      <c r="R154" s="30">
        <v>43500</v>
      </c>
      <c r="S154" s="30" t="s">
        <v>758</v>
      </c>
      <c r="T154" s="30" t="s">
        <v>757</v>
      </c>
      <c r="U154">
        <f>IFERROR(VLOOKUP(C154,Hoja4!$D$4:$E$273,2,FALSE),0)</f>
        <v>90500</v>
      </c>
      <c r="V154">
        <f>IFERROR(VLOOKUP(C154,Hoja4!$A$4:$B$273,2,FALSE),0)</f>
        <v>0</v>
      </c>
    </row>
    <row r="155" spans="1:22" x14ac:dyDescent="0.25">
      <c r="A155" s="33">
        <v>46069</v>
      </c>
      <c r="B155" s="31" t="s">
        <v>63</v>
      </c>
      <c r="C155" s="31">
        <v>164</v>
      </c>
      <c r="D155" s="31" t="s">
        <v>756</v>
      </c>
      <c r="E155" s="31" t="s">
        <v>756</v>
      </c>
      <c r="F155" s="31"/>
      <c r="G155" s="31" t="s">
        <v>755</v>
      </c>
      <c r="H155" s="31">
        <v>3232204888</v>
      </c>
      <c r="I155" s="31">
        <v>200</v>
      </c>
      <c r="J155" s="31">
        <v>400</v>
      </c>
      <c r="K155" s="31">
        <v>2800</v>
      </c>
      <c r="L155" s="31">
        <v>14</v>
      </c>
      <c r="M155" s="31">
        <v>7</v>
      </c>
      <c r="N155" s="31">
        <v>46076</v>
      </c>
      <c r="O155" s="31">
        <v>164</v>
      </c>
      <c r="P155" s="31">
        <v>39000</v>
      </c>
      <c r="Q155" s="31">
        <v>2800</v>
      </c>
      <c r="R155" s="31">
        <v>109200</v>
      </c>
      <c r="S155" s="31" t="s">
        <v>754</v>
      </c>
      <c r="T155" s="31" t="s">
        <v>753</v>
      </c>
      <c r="U155">
        <f>IFERROR(VLOOKUP(C155,Hoja4!$D$4:$E$273,2,FALSE),0)</f>
        <v>0</v>
      </c>
      <c r="V155">
        <f>IFERROR(VLOOKUP(C155,Hoja4!$A$4:$B$273,2,FALSE),0)</f>
        <v>0</v>
      </c>
    </row>
    <row r="156" spans="1:22" x14ac:dyDescent="0.25">
      <c r="A156" s="32">
        <v>46070</v>
      </c>
      <c r="B156" s="30" t="s">
        <v>63</v>
      </c>
      <c r="C156" s="30">
        <v>165</v>
      </c>
      <c r="D156" s="30" t="s">
        <v>752</v>
      </c>
      <c r="E156" s="30" t="s">
        <v>751</v>
      </c>
      <c r="F156" s="30"/>
      <c r="G156" s="30" t="s">
        <v>750</v>
      </c>
      <c r="H156" s="30">
        <v>3054066396</v>
      </c>
      <c r="I156" s="30">
        <v>150</v>
      </c>
      <c r="J156" s="30">
        <v>300</v>
      </c>
      <c r="K156" s="30">
        <v>4500</v>
      </c>
      <c r="L156" s="30">
        <v>30</v>
      </c>
      <c r="M156" s="30">
        <v>15</v>
      </c>
      <c r="N156" s="30">
        <v>46085</v>
      </c>
      <c r="O156" s="30">
        <v>165</v>
      </c>
      <c r="P156" s="30">
        <v>19000</v>
      </c>
      <c r="Q156" s="30">
        <v>4500</v>
      </c>
      <c r="R156" s="30">
        <v>85500</v>
      </c>
      <c r="S156" s="30" t="s">
        <v>749</v>
      </c>
      <c r="T156" s="30" t="s">
        <v>748</v>
      </c>
      <c r="U156">
        <f>IFERROR(VLOOKUP(C156,Hoja4!$D$4:$E$273,2,FALSE),0)</f>
        <v>0</v>
      </c>
      <c r="V156">
        <f>IFERROR(VLOOKUP(C156,Hoja4!$A$4:$B$273,2,FALSE),0)</f>
        <v>0</v>
      </c>
    </row>
    <row r="157" spans="1:22" x14ac:dyDescent="0.25">
      <c r="A157" s="33"/>
      <c r="B157" s="31" t="s">
        <v>208</v>
      </c>
      <c r="C157" s="31">
        <v>166</v>
      </c>
      <c r="D157" s="31" t="s">
        <v>747</v>
      </c>
      <c r="E157" s="31" t="s">
        <v>746</v>
      </c>
      <c r="F157" s="31"/>
      <c r="G157" s="31" t="s">
        <v>745</v>
      </c>
      <c r="H157" s="31">
        <v>3014259952</v>
      </c>
      <c r="I157" s="31">
        <v>45</v>
      </c>
      <c r="J157" s="31">
        <v>90</v>
      </c>
      <c r="K157" s="31">
        <v>630</v>
      </c>
      <c r="L157" s="31">
        <v>14</v>
      </c>
      <c r="M157" s="31">
        <v>7</v>
      </c>
      <c r="N157" s="31"/>
      <c r="O157" s="31">
        <v>166</v>
      </c>
      <c r="P157" s="31">
        <v>15873.015873015873</v>
      </c>
      <c r="Q157" s="31">
        <v>630</v>
      </c>
      <c r="R157" s="31">
        <v>10000</v>
      </c>
      <c r="S157" s="31" t="s">
        <v>744</v>
      </c>
      <c r="T157" s="31"/>
      <c r="U157">
        <f>IFERROR(VLOOKUP(C157,Hoja4!$D$4:$E$273,2,FALSE),0)</f>
        <v>0</v>
      </c>
      <c r="V157">
        <f>IFERROR(VLOOKUP(C157,Hoja4!$A$4:$B$273,2,FALSE),0)</f>
        <v>0</v>
      </c>
    </row>
    <row r="158" spans="1:22" x14ac:dyDescent="0.25">
      <c r="A158" s="32">
        <v>46059</v>
      </c>
      <c r="B158" s="30" t="s">
        <v>63</v>
      </c>
      <c r="C158" s="30">
        <v>167</v>
      </c>
      <c r="D158" s="30" t="s">
        <v>743</v>
      </c>
      <c r="E158" s="30" t="s">
        <v>742</v>
      </c>
      <c r="F158" s="30"/>
      <c r="G158" s="30" t="s">
        <v>741</v>
      </c>
      <c r="H158" s="30">
        <v>3124784496</v>
      </c>
      <c r="I158" s="30">
        <v>100</v>
      </c>
      <c r="J158" s="30">
        <v>200</v>
      </c>
      <c r="K158" s="30">
        <v>3000</v>
      </c>
      <c r="L158" s="30">
        <v>30</v>
      </c>
      <c r="M158" s="30">
        <v>15</v>
      </c>
      <c r="N158" s="30">
        <v>46074</v>
      </c>
      <c r="O158" s="30">
        <v>167</v>
      </c>
      <c r="P158" s="30">
        <v>42000</v>
      </c>
      <c r="Q158" s="30">
        <v>3000</v>
      </c>
      <c r="R158" s="30">
        <v>126000</v>
      </c>
      <c r="S158" s="30" t="s">
        <v>740</v>
      </c>
      <c r="T158" s="30" t="s">
        <v>739</v>
      </c>
      <c r="U158">
        <f>IFERROR(VLOOKUP(C158,Hoja4!$D$4:$E$273,2,FALSE),0)</f>
        <v>0</v>
      </c>
      <c r="V158">
        <f>IFERROR(VLOOKUP(C158,Hoja4!$A$4:$B$273,2,FALSE),0)</f>
        <v>0</v>
      </c>
    </row>
    <row r="159" spans="1:22" x14ac:dyDescent="0.25">
      <c r="A159" s="33">
        <v>46049</v>
      </c>
      <c r="B159" s="31" t="s">
        <v>4</v>
      </c>
      <c r="C159" s="31">
        <v>168</v>
      </c>
      <c r="D159" s="31" t="s">
        <v>738</v>
      </c>
      <c r="E159" s="31" t="s">
        <v>738</v>
      </c>
      <c r="F159" s="31" t="s">
        <v>52</v>
      </c>
      <c r="G159" s="31" t="s">
        <v>737</v>
      </c>
      <c r="H159" s="31">
        <v>3125933078</v>
      </c>
      <c r="I159" s="31">
        <v>131</v>
      </c>
      <c r="J159" s="31">
        <v>131</v>
      </c>
      <c r="K159" s="31">
        <v>1965</v>
      </c>
      <c r="L159" s="31">
        <v>15</v>
      </c>
      <c r="M159" s="31">
        <v>15</v>
      </c>
      <c r="N159" s="31">
        <v>46064</v>
      </c>
      <c r="O159" s="31">
        <v>168</v>
      </c>
      <c r="P159" s="31">
        <v>40000</v>
      </c>
      <c r="Q159" s="31">
        <v>1965</v>
      </c>
      <c r="R159" s="31">
        <v>78600</v>
      </c>
      <c r="S159" s="31" t="s">
        <v>736</v>
      </c>
      <c r="T159" s="31" t="s">
        <v>735</v>
      </c>
      <c r="U159">
        <f>IFERROR(VLOOKUP(C159,Hoja4!$D$4:$E$273,2,FALSE),0)</f>
        <v>78600</v>
      </c>
      <c r="V159">
        <f>IFERROR(VLOOKUP(C159,Hoja4!$A$4:$B$273,2,FALSE),0)</f>
        <v>0</v>
      </c>
    </row>
    <row r="160" spans="1:22" x14ac:dyDescent="0.25">
      <c r="A160" s="32"/>
      <c r="B160" s="30" t="s">
        <v>208</v>
      </c>
      <c r="C160" s="30">
        <v>170</v>
      </c>
      <c r="D160" s="30" t="s">
        <v>734</v>
      </c>
      <c r="E160" s="30" t="s">
        <v>734</v>
      </c>
      <c r="F160" s="30"/>
      <c r="G160" s="30" t="s">
        <v>733</v>
      </c>
      <c r="H160" s="30">
        <v>3004999882</v>
      </c>
      <c r="I160" s="30">
        <v>40</v>
      </c>
      <c r="J160" s="30">
        <v>40</v>
      </c>
      <c r="K160" s="30">
        <v>280</v>
      </c>
      <c r="L160" s="30">
        <v>7</v>
      </c>
      <c r="M160" s="30">
        <v>7</v>
      </c>
      <c r="N160" s="30"/>
      <c r="O160" s="30">
        <v>170</v>
      </c>
      <c r="P160" s="30">
        <v>35714.285714285717</v>
      </c>
      <c r="Q160" s="30">
        <v>280</v>
      </c>
      <c r="R160" s="30">
        <v>10000</v>
      </c>
      <c r="S160" s="30" t="s">
        <v>732</v>
      </c>
      <c r="T160" s="30"/>
      <c r="U160">
        <f>IFERROR(VLOOKUP(C160,Hoja4!$D$4:$E$273,2,FALSE),0)</f>
        <v>0</v>
      </c>
      <c r="V160">
        <f>IFERROR(VLOOKUP(C160,Hoja4!$A$4:$B$273,2,FALSE),0)</f>
        <v>0</v>
      </c>
    </row>
    <row r="161" spans="1:22" x14ac:dyDescent="0.25">
      <c r="A161" s="33">
        <v>46045</v>
      </c>
      <c r="B161" s="31" t="s">
        <v>4</v>
      </c>
      <c r="C161" s="31">
        <v>171</v>
      </c>
      <c r="D161" s="31" t="s">
        <v>731</v>
      </c>
      <c r="E161" s="31" t="s">
        <v>731</v>
      </c>
      <c r="F161" s="31"/>
      <c r="G161" s="31" t="s">
        <v>730</v>
      </c>
      <c r="H161" s="31">
        <v>3197167416</v>
      </c>
      <c r="I161" s="31">
        <v>215</v>
      </c>
      <c r="J161" s="31">
        <v>430</v>
      </c>
      <c r="K161" s="31">
        <v>6450</v>
      </c>
      <c r="L161" s="31">
        <v>30</v>
      </c>
      <c r="M161" s="31">
        <v>15</v>
      </c>
      <c r="N161" s="31">
        <v>46060</v>
      </c>
      <c r="O161" s="31">
        <v>171</v>
      </c>
      <c r="P161" s="31">
        <v>34000</v>
      </c>
      <c r="Q161" s="31">
        <v>6450</v>
      </c>
      <c r="R161" s="31">
        <v>219300</v>
      </c>
      <c r="S161" s="31" t="s">
        <v>729</v>
      </c>
      <c r="T161" s="31" t="s">
        <v>728</v>
      </c>
      <c r="U161">
        <f>IFERROR(VLOOKUP(C161,Hoja4!$D$4:$E$273,2,FALSE),0)</f>
        <v>0</v>
      </c>
      <c r="V161">
        <f>IFERROR(VLOOKUP(C161,Hoja4!$A$4:$B$273,2,FALSE),0)</f>
        <v>0</v>
      </c>
    </row>
    <row r="162" spans="1:22" x14ac:dyDescent="0.25">
      <c r="A162" s="32">
        <v>46038</v>
      </c>
      <c r="B162" s="30" t="s">
        <v>4</v>
      </c>
      <c r="C162" s="30">
        <v>172</v>
      </c>
      <c r="D162" s="30" t="s">
        <v>727</v>
      </c>
      <c r="E162" s="30" t="s">
        <v>727</v>
      </c>
      <c r="F162" s="30"/>
      <c r="G162" s="30" t="s">
        <v>726</v>
      </c>
      <c r="H162" s="30">
        <v>3118065313</v>
      </c>
      <c r="I162" s="30">
        <v>1000</v>
      </c>
      <c r="J162" s="30">
        <v>1000</v>
      </c>
      <c r="K162" s="30">
        <v>1000</v>
      </c>
      <c r="L162" s="30">
        <v>1</v>
      </c>
      <c r="M162" s="30">
        <v>1</v>
      </c>
      <c r="N162" s="30">
        <v>46039</v>
      </c>
      <c r="O162" s="30">
        <v>172</v>
      </c>
      <c r="P162" s="30">
        <v>57000</v>
      </c>
      <c r="Q162" s="30">
        <v>1000</v>
      </c>
      <c r="R162" s="30">
        <v>57000</v>
      </c>
      <c r="S162" s="30" t="s">
        <v>725</v>
      </c>
      <c r="T162" s="30"/>
      <c r="U162">
        <f>IFERROR(VLOOKUP(C162,Hoja4!$D$4:$E$273,2,FALSE),0)</f>
        <v>0</v>
      </c>
      <c r="V162">
        <f>IFERROR(VLOOKUP(C162,Hoja4!$A$4:$B$273,2,FALSE),0)</f>
        <v>0</v>
      </c>
    </row>
    <row r="163" spans="1:22" x14ac:dyDescent="0.25">
      <c r="A163" s="33"/>
      <c r="B163" s="31" t="s">
        <v>208</v>
      </c>
      <c r="C163" s="31">
        <v>173</v>
      </c>
      <c r="D163" s="31" t="s">
        <v>724</v>
      </c>
      <c r="E163" s="31" t="s">
        <v>723</v>
      </c>
      <c r="F163" s="31"/>
      <c r="G163" s="31" t="s">
        <v>722</v>
      </c>
      <c r="H163" s="31">
        <v>3204999066</v>
      </c>
      <c r="I163" s="31">
        <v>75</v>
      </c>
      <c r="J163" s="31">
        <v>150</v>
      </c>
      <c r="K163" s="31">
        <v>4500</v>
      </c>
      <c r="L163" s="31">
        <v>60</v>
      </c>
      <c r="M163" s="31">
        <v>30</v>
      </c>
      <c r="N163" s="31"/>
      <c r="O163" s="31">
        <v>173</v>
      </c>
      <c r="P163" s="31">
        <v>38666.666666666664</v>
      </c>
      <c r="Q163" s="31">
        <v>4500</v>
      </c>
      <c r="R163" s="31">
        <v>174000</v>
      </c>
      <c r="S163" s="31" t="s">
        <v>721</v>
      </c>
      <c r="T163" s="31"/>
      <c r="U163">
        <f>IFERROR(VLOOKUP(C163,Hoja4!$D$4:$E$273,2,FALSE),0)</f>
        <v>0</v>
      </c>
      <c r="V163">
        <f>IFERROR(VLOOKUP(C163,Hoja4!$A$4:$B$273,2,FALSE),0)</f>
        <v>0</v>
      </c>
    </row>
    <row r="164" spans="1:22" x14ac:dyDescent="0.25">
      <c r="A164" s="32"/>
      <c r="B164" s="30" t="s">
        <v>208</v>
      </c>
      <c r="C164" s="30">
        <v>174</v>
      </c>
      <c r="D164" s="30" t="s">
        <v>720</v>
      </c>
      <c r="E164" s="30" t="s">
        <v>720</v>
      </c>
      <c r="F164" s="30"/>
      <c r="G164" s="30" t="s">
        <v>719</v>
      </c>
      <c r="H164" s="30">
        <v>3175270866</v>
      </c>
      <c r="I164" s="30">
        <v>160</v>
      </c>
      <c r="J164" s="30">
        <v>160</v>
      </c>
      <c r="K164" s="30">
        <v>2400</v>
      </c>
      <c r="L164" s="30">
        <v>15</v>
      </c>
      <c r="M164" s="30">
        <v>15</v>
      </c>
      <c r="N164" s="30"/>
      <c r="O164" s="30">
        <v>174</v>
      </c>
      <c r="P164" s="30">
        <v>29000</v>
      </c>
      <c r="Q164" s="30">
        <v>2400</v>
      </c>
      <c r="R164" s="30">
        <v>69600</v>
      </c>
      <c r="S164" s="30" t="s">
        <v>718</v>
      </c>
      <c r="T164" s="30" t="s">
        <v>717</v>
      </c>
      <c r="U164">
        <f>IFERROR(VLOOKUP(C164,Hoja4!$D$4:$E$273,2,FALSE),0)</f>
        <v>0</v>
      </c>
      <c r="V164">
        <f>IFERROR(VLOOKUP(C164,Hoja4!$A$4:$B$273,2,FALSE),0)</f>
        <v>0</v>
      </c>
    </row>
    <row r="165" spans="1:22" x14ac:dyDescent="0.25">
      <c r="A165" s="33"/>
      <c r="B165" s="31" t="s">
        <v>208</v>
      </c>
      <c r="C165" s="31">
        <v>175</v>
      </c>
      <c r="D165" s="31" t="s">
        <v>716</v>
      </c>
      <c r="E165" s="31" t="s">
        <v>715</v>
      </c>
      <c r="F165" s="31"/>
      <c r="G165" s="31" t="s">
        <v>714</v>
      </c>
      <c r="H165" s="31" t="s">
        <v>713</v>
      </c>
      <c r="I165" s="31">
        <v>53</v>
      </c>
      <c r="J165" s="31">
        <v>160</v>
      </c>
      <c r="K165" s="31">
        <v>2400</v>
      </c>
      <c r="L165" s="31">
        <v>45.283018867924525</v>
      </c>
      <c r="M165" s="31">
        <v>15</v>
      </c>
      <c r="N165" s="31"/>
      <c r="O165" s="31">
        <v>175</v>
      </c>
      <c r="P165" s="31">
        <v>38500</v>
      </c>
      <c r="Q165" s="31">
        <v>2400</v>
      </c>
      <c r="R165" s="31">
        <v>92400</v>
      </c>
      <c r="S165" s="31" t="s">
        <v>712</v>
      </c>
      <c r="T165" s="31" t="s">
        <v>711</v>
      </c>
      <c r="U165">
        <f>IFERROR(VLOOKUP(C165,Hoja4!$D$4:$E$273,2,FALSE),0)</f>
        <v>0</v>
      </c>
      <c r="V165">
        <f>IFERROR(VLOOKUP(C165,Hoja4!$A$4:$B$273,2,FALSE),0)</f>
        <v>107600</v>
      </c>
    </row>
    <row r="166" spans="1:22" x14ac:dyDescent="0.25">
      <c r="A166" s="32">
        <v>46062</v>
      </c>
      <c r="B166" s="30" t="s">
        <v>63</v>
      </c>
      <c r="C166" s="30">
        <v>176</v>
      </c>
      <c r="D166" s="30" t="s">
        <v>710</v>
      </c>
      <c r="E166" s="30" t="s">
        <v>710</v>
      </c>
      <c r="F166" s="30"/>
      <c r="G166" s="30" t="s">
        <v>709</v>
      </c>
      <c r="H166" s="30">
        <v>3118404563</v>
      </c>
      <c r="I166" s="30">
        <v>450</v>
      </c>
      <c r="J166" s="30">
        <v>450</v>
      </c>
      <c r="K166" s="30">
        <v>13500</v>
      </c>
      <c r="L166" s="30">
        <v>30</v>
      </c>
      <c r="M166" s="30">
        <v>30</v>
      </c>
      <c r="N166" s="30">
        <v>46092</v>
      </c>
      <c r="O166" s="30">
        <v>176</v>
      </c>
      <c r="P166" s="30">
        <v>33000</v>
      </c>
      <c r="Q166" s="30">
        <v>13500</v>
      </c>
      <c r="R166" s="30">
        <v>445500</v>
      </c>
      <c r="S166" s="30" t="s">
        <v>708</v>
      </c>
      <c r="T166" s="30" t="s">
        <v>707</v>
      </c>
      <c r="U166">
        <f>IFERROR(VLOOKUP(C166,Hoja4!$D$4:$E$273,2,FALSE),0)</f>
        <v>0</v>
      </c>
      <c r="V166">
        <f>IFERROR(VLOOKUP(C166,Hoja4!$A$4:$B$273,2,FALSE),0)</f>
        <v>0</v>
      </c>
    </row>
    <row r="167" spans="1:22" x14ac:dyDescent="0.25">
      <c r="A167" s="33">
        <v>46065</v>
      </c>
      <c r="B167" s="31" t="s">
        <v>63</v>
      </c>
      <c r="C167" s="31">
        <v>177</v>
      </c>
      <c r="D167" s="31" t="s">
        <v>706</v>
      </c>
      <c r="E167" s="31" t="s">
        <v>706</v>
      </c>
      <c r="F167" s="31"/>
      <c r="G167" s="31" t="s">
        <v>705</v>
      </c>
      <c r="H167" s="31">
        <v>3213564596</v>
      </c>
      <c r="I167" s="31">
        <v>350</v>
      </c>
      <c r="J167" s="31">
        <v>350</v>
      </c>
      <c r="K167" s="31">
        <v>4900</v>
      </c>
      <c r="L167" s="31">
        <v>14</v>
      </c>
      <c r="M167" s="31">
        <v>14</v>
      </c>
      <c r="N167" s="31">
        <v>46079</v>
      </c>
      <c r="O167" s="31">
        <v>177</v>
      </c>
      <c r="P167" s="31">
        <v>26000</v>
      </c>
      <c r="Q167" s="31">
        <v>4900</v>
      </c>
      <c r="R167" s="31">
        <v>127400</v>
      </c>
      <c r="S167" s="31" t="s">
        <v>704</v>
      </c>
      <c r="T167" s="31" t="s">
        <v>703</v>
      </c>
      <c r="U167">
        <f>IFERROR(VLOOKUP(C167,Hoja4!$D$4:$E$273,2,FALSE),0)</f>
        <v>0</v>
      </c>
      <c r="V167">
        <f>IFERROR(VLOOKUP(C167,Hoja4!$A$4:$B$273,2,FALSE),0)</f>
        <v>0</v>
      </c>
    </row>
    <row r="168" spans="1:22" x14ac:dyDescent="0.25">
      <c r="A168" s="32">
        <v>46059</v>
      </c>
      <c r="B168" s="30" t="s">
        <v>63</v>
      </c>
      <c r="C168" s="30">
        <v>178</v>
      </c>
      <c r="D168" s="30" t="s">
        <v>702</v>
      </c>
      <c r="E168" s="30" t="s">
        <v>702</v>
      </c>
      <c r="F168" s="30"/>
      <c r="G168" s="30" t="s">
        <v>701</v>
      </c>
      <c r="H168" s="30">
        <v>3214792026</v>
      </c>
      <c r="I168" s="30">
        <v>200</v>
      </c>
      <c r="J168" s="30">
        <v>200</v>
      </c>
      <c r="K168" s="30">
        <v>3000</v>
      </c>
      <c r="L168" s="30">
        <v>15</v>
      </c>
      <c r="M168" s="30">
        <v>15</v>
      </c>
      <c r="N168" s="30">
        <v>46074</v>
      </c>
      <c r="O168" s="30">
        <v>178</v>
      </c>
      <c r="P168" s="30">
        <v>30000</v>
      </c>
      <c r="Q168" s="30">
        <v>3000</v>
      </c>
      <c r="R168" s="30">
        <v>90000</v>
      </c>
      <c r="S168" s="30" t="s">
        <v>700</v>
      </c>
      <c r="T168" s="30" t="s">
        <v>699</v>
      </c>
      <c r="U168">
        <f>IFERROR(VLOOKUP(C168,Hoja4!$D$4:$E$273,2,FALSE),0)</f>
        <v>141000</v>
      </c>
      <c r="V168">
        <f>IFERROR(VLOOKUP(C168,Hoja4!$A$4:$B$273,2,FALSE),0)</f>
        <v>0</v>
      </c>
    </row>
    <row r="169" spans="1:22" x14ac:dyDescent="0.25">
      <c r="A169" s="33">
        <v>46069</v>
      </c>
      <c r="B169" s="31" t="s">
        <v>63</v>
      </c>
      <c r="C169" s="31">
        <v>179</v>
      </c>
      <c r="D169" s="31" t="s">
        <v>698</v>
      </c>
      <c r="E169" s="31" t="s">
        <v>698</v>
      </c>
      <c r="F169" s="31"/>
      <c r="G169" s="31" t="s">
        <v>697</v>
      </c>
      <c r="H169" s="31">
        <v>3146640759</v>
      </c>
      <c r="I169" s="31">
        <v>110</v>
      </c>
      <c r="J169" s="31">
        <v>220</v>
      </c>
      <c r="K169" s="31">
        <v>3300</v>
      </c>
      <c r="L169" s="31">
        <v>30</v>
      </c>
      <c r="M169" s="31">
        <v>15</v>
      </c>
      <c r="N169" s="31">
        <v>46084</v>
      </c>
      <c r="O169" s="31">
        <v>179</v>
      </c>
      <c r="P169" s="31">
        <v>38000</v>
      </c>
      <c r="Q169" s="31">
        <v>3300</v>
      </c>
      <c r="R169" s="31">
        <v>125400</v>
      </c>
      <c r="S169" s="31" t="s">
        <v>696</v>
      </c>
      <c r="T169" s="31" t="s">
        <v>695</v>
      </c>
      <c r="U169">
        <f>IFERROR(VLOOKUP(C169,Hoja4!$D$4:$E$273,2,FALSE),0)</f>
        <v>0</v>
      </c>
      <c r="V169">
        <f>IFERROR(VLOOKUP(C169,Hoja4!$A$4:$B$273,2,FALSE),0)</f>
        <v>108000</v>
      </c>
    </row>
    <row r="170" spans="1:22" x14ac:dyDescent="0.25">
      <c r="A170" s="32">
        <v>46059</v>
      </c>
      <c r="B170" s="30" t="s">
        <v>63</v>
      </c>
      <c r="C170" s="30">
        <v>180</v>
      </c>
      <c r="D170" s="30" t="s">
        <v>694</v>
      </c>
      <c r="E170" s="30" t="s">
        <v>694</v>
      </c>
      <c r="F170" s="30"/>
      <c r="G170" s="30" t="s">
        <v>693</v>
      </c>
      <c r="H170" s="30">
        <v>3215752195</v>
      </c>
      <c r="I170" s="30">
        <v>180</v>
      </c>
      <c r="J170" s="30">
        <v>360</v>
      </c>
      <c r="K170" s="30">
        <v>5400</v>
      </c>
      <c r="L170" s="30">
        <v>30</v>
      </c>
      <c r="M170" s="30">
        <v>15</v>
      </c>
      <c r="N170" s="30">
        <v>46074</v>
      </c>
      <c r="O170" s="30">
        <v>180</v>
      </c>
      <c r="P170" s="30">
        <v>25185.185185185182</v>
      </c>
      <c r="Q170" s="30">
        <v>5400</v>
      </c>
      <c r="R170" s="30">
        <v>136000</v>
      </c>
      <c r="S170" s="30" t="s">
        <v>692</v>
      </c>
      <c r="T170" s="30" t="s">
        <v>268</v>
      </c>
      <c r="U170">
        <f>IFERROR(VLOOKUP(C170,Hoja4!$D$4:$E$273,2,FALSE),0)</f>
        <v>0</v>
      </c>
      <c r="V170">
        <f>IFERROR(VLOOKUP(C170,Hoja4!$A$4:$B$273,2,FALSE),0)</f>
        <v>0</v>
      </c>
    </row>
    <row r="171" spans="1:22" x14ac:dyDescent="0.25">
      <c r="A171" s="33">
        <v>46066</v>
      </c>
      <c r="B171" s="31" t="s">
        <v>63</v>
      </c>
      <c r="C171" s="31">
        <v>181</v>
      </c>
      <c r="D171" s="31" t="s">
        <v>691</v>
      </c>
      <c r="E171" s="31" t="s">
        <v>690</v>
      </c>
      <c r="F171" s="31"/>
      <c r="G171" s="31" t="s">
        <v>689</v>
      </c>
      <c r="H171" s="31">
        <v>3165157961</v>
      </c>
      <c r="I171" s="31">
        <v>230</v>
      </c>
      <c r="J171" s="31">
        <v>230</v>
      </c>
      <c r="K171" s="31">
        <v>3450</v>
      </c>
      <c r="L171" s="31">
        <v>15</v>
      </c>
      <c r="M171" s="31">
        <v>15</v>
      </c>
      <c r="N171" s="31">
        <v>46081</v>
      </c>
      <c r="O171" s="31">
        <v>181</v>
      </c>
      <c r="P171" s="31">
        <v>34000</v>
      </c>
      <c r="Q171" s="31">
        <v>3450</v>
      </c>
      <c r="R171" s="31">
        <v>117300</v>
      </c>
      <c r="S171" s="31" t="s">
        <v>688</v>
      </c>
      <c r="T171" s="31" t="s">
        <v>687</v>
      </c>
      <c r="U171">
        <f>IFERROR(VLOOKUP(C171,Hoja4!$D$4:$E$273,2,FALSE),0)</f>
        <v>0</v>
      </c>
      <c r="V171">
        <f>IFERROR(VLOOKUP(C171,Hoja4!$A$4:$B$273,2,FALSE),0)</f>
        <v>0</v>
      </c>
    </row>
    <row r="172" spans="1:22" x14ac:dyDescent="0.25">
      <c r="A172" s="32">
        <v>46070</v>
      </c>
      <c r="B172" s="30" t="s">
        <v>63</v>
      </c>
      <c r="C172" s="30">
        <v>182</v>
      </c>
      <c r="D172" s="30" t="s">
        <v>686</v>
      </c>
      <c r="E172" s="30" t="s">
        <v>685</v>
      </c>
      <c r="F172" s="30"/>
      <c r="G172" s="30" t="s">
        <v>684</v>
      </c>
      <c r="H172" s="30">
        <v>3003622282</v>
      </c>
      <c r="I172" s="30">
        <v>60</v>
      </c>
      <c r="J172" s="30">
        <v>180</v>
      </c>
      <c r="K172" s="30">
        <v>2700</v>
      </c>
      <c r="L172" s="30">
        <v>45</v>
      </c>
      <c r="M172" s="30">
        <v>15</v>
      </c>
      <c r="N172" s="30">
        <v>46085</v>
      </c>
      <c r="O172" s="30">
        <v>182</v>
      </c>
      <c r="P172" s="30">
        <v>40185.185185185182</v>
      </c>
      <c r="Q172" s="30">
        <v>2700</v>
      </c>
      <c r="R172" s="30">
        <v>108500</v>
      </c>
      <c r="S172" s="30" t="s">
        <v>683</v>
      </c>
      <c r="T172" s="30" t="s">
        <v>682</v>
      </c>
      <c r="U172">
        <f>IFERROR(VLOOKUP(C172,Hoja4!$D$4:$E$273,2,FALSE),0)</f>
        <v>217000</v>
      </c>
      <c r="V172">
        <f>IFERROR(VLOOKUP(C172,Hoja4!$A$4:$B$273,2,FALSE),0)</f>
        <v>0</v>
      </c>
    </row>
    <row r="173" spans="1:22" x14ac:dyDescent="0.25">
      <c r="A173" s="33">
        <v>46062</v>
      </c>
      <c r="B173" s="31" t="s">
        <v>63</v>
      </c>
      <c r="C173" s="31">
        <v>183</v>
      </c>
      <c r="D173" s="31" t="s">
        <v>681</v>
      </c>
      <c r="E173" s="31" t="s">
        <v>681</v>
      </c>
      <c r="F173" s="31"/>
      <c r="G173" s="31" t="s">
        <v>680</v>
      </c>
      <c r="H173" s="31">
        <v>3125248122</v>
      </c>
      <c r="I173" s="31">
        <v>100</v>
      </c>
      <c r="J173" s="31">
        <v>300</v>
      </c>
      <c r="K173" s="31">
        <v>2100</v>
      </c>
      <c r="L173" s="31">
        <v>21</v>
      </c>
      <c r="M173" s="31">
        <v>7</v>
      </c>
      <c r="N173" s="31">
        <v>46069</v>
      </c>
      <c r="O173" s="31">
        <v>183</v>
      </c>
      <c r="P173" s="31">
        <v>34000</v>
      </c>
      <c r="Q173" s="31">
        <v>2100</v>
      </c>
      <c r="R173" s="31">
        <v>71400</v>
      </c>
      <c r="S173" s="31" t="s">
        <v>679</v>
      </c>
      <c r="T173" s="31" t="s">
        <v>678</v>
      </c>
      <c r="U173">
        <f>IFERROR(VLOOKUP(C173,Hoja4!$D$4:$E$273,2,FALSE),0)</f>
        <v>0</v>
      </c>
      <c r="V173">
        <f>IFERROR(VLOOKUP(C173,Hoja4!$A$4:$B$273,2,FALSE),0)</f>
        <v>0</v>
      </c>
    </row>
    <row r="174" spans="1:22" x14ac:dyDescent="0.25">
      <c r="A174" s="32"/>
      <c r="B174" s="30" t="s">
        <v>208</v>
      </c>
      <c r="C174" s="30">
        <v>184</v>
      </c>
      <c r="D174" s="30" t="s">
        <v>677</v>
      </c>
      <c r="E174" s="30" t="s">
        <v>677</v>
      </c>
      <c r="F174" s="30"/>
      <c r="G174" s="30" t="s">
        <v>676</v>
      </c>
      <c r="H174" s="30">
        <v>3186910791</v>
      </c>
      <c r="I174" s="30">
        <v>200</v>
      </c>
      <c r="J174" s="30">
        <v>400</v>
      </c>
      <c r="K174" s="30">
        <v>6000</v>
      </c>
      <c r="L174" s="30">
        <v>30</v>
      </c>
      <c r="M174" s="30">
        <v>15</v>
      </c>
      <c r="N174" s="30"/>
      <c r="O174" s="30">
        <v>184</v>
      </c>
      <c r="P174" s="30">
        <v>36000</v>
      </c>
      <c r="Q174" s="30">
        <v>6000</v>
      </c>
      <c r="R174" s="30">
        <v>216000</v>
      </c>
      <c r="S174" s="30" t="s">
        <v>675</v>
      </c>
      <c r="T174" s="30" t="s">
        <v>674</v>
      </c>
      <c r="U174">
        <f>IFERROR(VLOOKUP(C174,Hoja4!$D$4:$E$273,2,FALSE),0)</f>
        <v>0</v>
      </c>
      <c r="V174">
        <f>IFERROR(VLOOKUP(C174,Hoja4!$A$4:$B$273,2,FALSE),0)</f>
        <v>0</v>
      </c>
    </row>
    <row r="175" spans="1:22" x14ac:dyDescent="0.25">
      <c r="A175" s="33">
        <v>46070</v>
      </c>
      <c r="B175" s="31" t="s">
        <v>63</v>
      </c>
      <c r="C175" s="31">
        <v>185</v>
      </c>
      <c r="D175" s="31" t="s">
        <v>673</v>
      </c>
      <c r="E175" s="31" t="s">
        <v>673</v>
      </c>
      <c r="F175" s="31"/>
      <c r="G175" s="31" t="s">
        <v>672</v>
      </c>
      <c r="H175" s="31">
        <v>3106848762</v>
      </c>
      <c r="I175" s="31">
        <v>60</v>
      </c>
      <c r="J175" s="31">
        <v>120</v>
      </c>
      <c r="K175" s="31">
        <v>1800</v>
      </c>
      <c r="L175" s="31">
        <v>30</v>
      </c>
      <c r="M175" s="31">
        <v>15</v>
      </c>
      <c r="N175" s="31">
        <v>46085</v>
      </c>
      <c r="O175" s="31">
        <v>185</v>
      </c>
      <c r="P175" s="31">
        <v>43000</v>
      </c>
      <c r="Q175" s="31">
        <v>1800</v>
      </c>
      <c r="R175" s="31">
        <v>77400</v>
      </c>
      <c r="S175" s="31" t="s">
        <v>671</v>
      </c>
      <c r="T175" s="31" t="s">
        <v>670</v>
      </c>
      <c r="U175">
        <f>IFERROR(VLOOKUP(C175,Hoja4!$D$4:$E$273,2,FALSE),0)</f>
        <v>38700</v>
      </c>
      <c r="V175">
        <f>IFERROR(VLOOKUP(C175,Hoja4!$A$4:$B$273,2,FALSE),0)</f>
        <v>0</v>
      </c>
    </row>
    <row r="176" spans="1:22" x14ac:dyDescent="0.25">
      <c r="A176" s="32">
        <v>46078</v>
      </c>
      <c r="B176" s="30" t="s">
        <v>63</v>
      </c>
      <c r="C176" s="30">
        <v>186</v>
      </c>
      <c r="D176" s="30" t="s">
        <v>669</v>
      </c>
      <c r="E176" s="30" t="s">
        <v>668</v>
      </c>
      <c r="F176" s="30"/>
      <c r="G176" s="30" t="s">
        <v>667</v>
      </c>
      <c r="H176" s="30">
        <v>3232336182</v>
      </c>
      <c r="I176" s="30">
        <v>150</v>
      </c>
      <c r="J176" s="30">
        <v>450</v>
      </c>
      <c r="K176" s="30">
        <v>3150</v>
      </c>
      <c r="L176" s="30">
        <v>21</v>
      </c>
      <c r="M176" s="30">
        <v>7</v>
      </c>
      <c r="N176" s="30">
        <v>46085</v>
      </c>
      <c r="O176" s="30">
        <v>186</v>
      </c>
      <c r="P176" s="30">
        <v>29841.269841269841</v>
      </c>
      <c r="Q176" s="30">
        <v>3150</v>
      </c>
      <c r="R176" s="30">
        <v>94000</v>
      </c>
      <c r="S176" s="30" t="s">
        <v>666</v>
      </c>
      <c r="T176" s="30" t="s">
        <v>665</v>
      </c>
      <c r="U176">
        <f>IFERROR(VLOOKUP(C176,Hoja4!$D$4:$E$273,2,FALSE),0)</f>
        <v>282000</v>
      </c>
      <c r="V176">
        <f>IFERROR(VLOOKUP(C176,Hoja4!$A$4:$B$273,2,FALSE),0)</f>
        <v>0</v>
      </c>
    </row>
    <row r="177" spans="1:22" x14ac:dyDescent="0.25">
      <c r="A177" s="33"/>
      <c r="B177" s="31" t="s">
        <v>208</v>
      </c>
      <c r="C177" s="31">
        <v>187</v>
      </c>
      <c r="D177" s="31" t="s">
        <v>664</v>
      </c>
      <c r="E177" s="31" t="s">
        <v>664</v>
      </c>
      <c r="F177" s="31"/>
      <c r="G177" s="31" t="s">
        <v>663</v>
      </c>
      <c r="H177" s="31">
        <v>3183191793</v>
      </c>
      <c r="I177" s="31">
        <v>37</v>
      </c>
      <c r="J177" s="31">
        <v>113</v>
      </c>
      <c r="K177" s="31">
        <v>791</v>
      </c>
      <c r="L177" s="31">
        <v>21.378378378378379</v>
      </c>
      <c r="M177" s="31">
        <v>7</v>
      </c>
      <c r="N177" s="31"/>
      <c r="O177" s="31">
        <v>187</v>
      </c>
      <c r="P177" s="31">
        <v>12642.225031605562</v>
      </c>
      <c r="Q177" s="31">
        <v>791</v>
      </c>
      <c r="R177" s="31">
        <v>10000</v>
      </c>
      <c r="S177" s="31" t="s">
        <v>662</v>
      </c>
      <c r="T177" s="31"/>
      <c r="U177">
        <f>IFERROR(VLOOKUP(C177,Hoja4!$D$4:$E$273,2,FALSE),0)</f>
        <v>0</v>
      </c>
      <c r="V177">
        <f>IFERROR(VLOOKUP(C177,Hoja4!$A$4:$B$273,2,FALSE),0)</f>
        <v>0</v>
      </c>
    </row>
    <row r="178" spans="1:22" x14ac:dyDescent="0.25">
      <c r="A178" s="32">
        <v>46062</v>
      </c>
      <c r="B178" s="30" t="s">
        <v>63</v>
      </c>
      <c r="C178" s="30">
        <v>189</v>
      </c>
      <c r="D178" s="30" t="s">
        <v>661</v>
      </c>
      <c r="E178" s="30" t="s">
        <v>661</v>
      </c>
      <c r="F178" s="30"/>
      <c r="G178" s="30" t="s">
        <v>660</v>
      </c>
      <c r="H178" s="30">
        <v>3174193520</v>
      </c>
      <c r="I178" s="30">
        <v>60</v>
      </c>
      <c r="J178" s="30">
        <v>180</v>
      </c>
      <c r="K178" s="30">
        <v>2700</v>
      </c>
      <c r="L178" s="30">
        <v>45</v>
      </c>
      <c r="M178" s="30">
        <v>15</v>
      </c>
      <c r="N178" s="30">
        <v>46077</v>
      </c>
      <c r="O178" s="30">
        <v>189</v>
      </c>
      <c r="P178" s="30">
        <v>40000</v>
      </c>
      <c r="Q178" s="30">
        <v>2700</v>
      </c>
      <c r="R178" s="30">
        <v>108000</v>
      </c>
      <c r="S178" s="30" t="s">
        <v>659</v>
      </c>
      <c r="T178" s="30" t="s">
        <v>658</v>
      </c>
      <c r="U178">
        <f>IFERROR(VLOOKUP(C178,Hoja4!$D$4:$E$273,2,FALSE),0)</f>
        <v>108000</v>
      </c>
      <c r="V178">
        <f>IFERROR(VLOOKUP(C178,Hoja4!$A$4:$B$273,2,FALSE),0)</f>
        <v>0</v>
      </c>
    </row>
    <row r="179" spans="1:22" x14ac:dyDescent="0.25">
      <c r="A179" s="33"/>
      <c r="B179" s="31" t="s">
        <v>208</v>
      </c>
      <c r="C179" s="31">
        <v>190</v>
      </c>
      <c r="D179" s="31" t="s">
        <v>657</v>
      </c>
      <c r="E179" s="31" t="s">
        <v>657</v>
      </c>
      <c r="F179" s="31"/>
      <c r="G179" s="31" t="s">
        <v>656</v>
      </c>
      <c r="H179" s="31">
        <v>3115050821</v>
      </c>
      <c r="I179" s="31">
        <v>220</v>
      </c>
      <c r="J179" s="31">
        <v>660</v>
      </c>
      <c r="K179" s="31">
        <v>4620</v>
      </c>
      <c r="L179" s="31">
        <v>21</v>
      </c>
      <c r="M179" s="31">
        <v>7</v>
      </c>
      <c r="N179" s="31"/>
      <c r="O179" s="31">
        <v>190</v>
      </c>
      <c r="P179" s="31">
        <v>28928.571428571428</v>
      </c>
      <c r="Q179" s="31">
        <v>4620</v>
      </c>
      <c r="R179" s="31">
        <v>133650</v>
      </c>
      <c r="S179" s="31" t="s">
        <v>655</v>
      </c>
      <c r="T179" s="31" t="s">
        <v>654</v>
      </c>
      <c r="U179">
        <f>IFERROR(VLOOKUP(C179,Hoja4!$D$4:$E$273,2,FALSE),0)</f>
        <v>0</v>
      </c>
      <c r="V179">
        <f>IFERROR(VLOOKUP(C179,Hoja4!$A$4:$B$273,2,FALSE),0)</f>
        <v>0</v>
      </c>
    </row>
    <row r="180" spans="1:22" x14ac:dyDescent="0.25">
      <c r="A180" s="32"/>
      <c r="B180" s="30" t="s">
        <v>208</v>
      </c>
      <c r="C180" s="30">
        <v>191</v>
      </c>
      <c r="D180" s="30" t="s">
        <v>653</v>
      </c>
      <c r="E180" s="30" t="s">
        <v>653</v>
      </c>
      <c r="F180" s="30"/>
      <c r="G180" s="30" t="s">
        <v>652</v>
      </c>
      <c r="H180" s="30">
        <v>3208398555</v>
      </c>
      <c r="I180" s="30">
        <v>60</v>
      </c>
      <c r="J180" s="30">
        <v>120</v>
      </c>
      <c r="K180" s="30">
        <v>1800</v>
      </c>
      <c r="L180" s="30">
        <v>30</v>
      </c>
      <c r="M180" s="30">
        <v>15</v>
      </c>
      <c r="N180" s="30"/>
      <c r="O180" s="30">
        <v>191</v>
      </c>
      <c r="P180" s="30">
        <v>30000</v>
      </c>
      <c r="Q180" s="30">
        <v>1800</v>
      </c>
      <c r="R180" s="30">
        <v>54000</v>
      </c>
      <c r="S180" s="30" t="s">
        <v>651</v>
      </c>
      <c r="T180" s="30" t="s">
        <v>650</v>
      </c>
      <c r="U180">
        <f>IFERROR(VLOOKUP(C180,Hoja4!$D$4:$E$273,2,FALSE),0)</f>
        <v>0</v>
      </c>
      <c r="V180">
        <f>IFERROR(VLOOKUP(C180,Hoja4!$A$4:$B$273,2,FALSE),0)</f>
        <v>0</v>
      </c>
    </row>
    <row r="181" spans="1:22" x14ac:dyDescent="0.25">
      <c r="A181" s="33">
        <v>46066</v>
      </c>
      <c r="B181" s="31" t="s">
        <v>63</v>
      </c>
      <c r="C181" s="31">
        <v>192</v>
      </c>
      <c r="D181" s="31" t="s">
        <v>649</v>
      </c>
      <c r="E181" s="31" t="s">
        <v>649</v>
      </c>
      <c r="F181" s="31"/>
      <c r="G181" s="31" t="s">
        <v>648</v>
      </c>
      <c r="H181" s="31">
        <v>3114755232</v>
      </c>
      <c r="I181" s="31">
        <v>90</v>
      </c>
      <c r="J181" s="31">
        <v>270</v>
      </c>
      <c r="K181" s="31">
        <v>4050</v>
      </c>
      <c r="L181" s="31">
        <v>45</v>
      </c>
      <c r="M181" s="31">
        <v>15</v>
      </c>
      <c r="N181" s="31">
        <v>46081</v>
      </c>
      <c r="O181" s="31">
        <v>192</v>
      </c>
      <c r="P181" s="31">
        <v>25000</v>
      </c>
      <c r="Q181" s="31">
        <v>4050</v>
      </c>
      <c r="R181" s="31">
        <v>101250</v>
      </c>
      <c r="S181" s="31" t="s">
        <v>647</v>
      </c>
      <c r="T181" s="31" t="s">
        <v>646</v>
      </c>
      <c r="U181">
        <f>IFERROR(VLOOKUP(C181,Hoja4!$D$4:$E$273,2,FALSE),0)</f>
        <v>0</v>
      </c>
      <c r="V181">
        <f>IFERROR(VLOOKUP(C181,Hoja4!$A$4:$B$273,2,FALSE),0)</f>
        <v>0</v>
      </c>
    </row>
    <row r="182" spans="1:22" x14ac:dyDescent="0.25">
      <c r="A182" s="32">
        <v>46066</v>
      </c>
      <c r="B182" s="30" t="s">
        <v>63</v>
      </c>
      <c r="C182" s="30">
        <v>194</v>
      </c>
      <c r="D182" s="30" t="s">
        <v>645</v>
      </c>
      <c r="E182" s="30" t="s">
        <v>645</v>
      </c>
      <c r="F182" s="30"/>
      <c r="G182" s="30" t="s">
        <v>644</v>
      </c>
      <c r="H182" s="30">
        <v>3143690333</v>
      </c>
      <c r="I182" s="30">
        <v>140</v>
      </c>
      <c r="J182" s="30">
        <v>280</v>
      </c>
      <c r="K182" s="30">
        <v>4200</v>
      </c>
      <c r="L182" s="30">
        <v>30</v>
      </c>
      <c r="M182" s="30">
        <v>15</v>
      </c>
      <c r="N182" s="30">
        <v>46081</v>
      </c>
      <c r="O182" s="30">
        <v>194</v>
      </c>
      <c r="P182" s="30">
        <v>34455</v>
      </c>
      <c r="Q182" s="30">
        <v>4200</v>
      </c>
      <c r="R182" s="30">
        <v>144713</v>
      </c>
      <c r="S182" s="30" t="s">
        <v>643</v>
      </c>
      <c r="T182" s="30" t="s">
        <v>642</v>
      </c>
      <c r="U182">
        <f>IFERROR(VLOOKUP(C182,Hoja4!$D$4:$E$273,2,FALSE),0)</f>
        <v>347983</v>
      </c>
      <c r="V182">
        <f>IFERROR(VLOOKUP(C182,Hoja4!$A$4:$B$273,2,FALSE),0)</f>
        <v>0</v>
      </c>
    </row>
    <row r="183" spans="1:22" x14ac:dyDescent="0.25">
      <c r="A183" s="33">
        <v>46080</v>
      </c>
      <c r="B183" s="31" t="s">
        <v>63</v>
      </c>
      <c r="C183" s="31">
        <v>195</v>
      </c>
      <c r="D183" s="31" t="s">
        <v>641</v>
      </c>
      <c r="E183" s="31" t="s">
        <v>641</v>
      </c>
      <c r="F183" s="31"/>
      <c r="G183" s="31" t="s">
        <v>640</v>
      </c>
      <c r="H183" s="31">
        <v>3007458537</v>
      </c>
      <c r="I183" s="31">
        <v>90</v>
      </c>
      <c r="J183" s="31">
        <v>180</v>
      </c>
      <c r="K183" s="31">
        <v>1260</v>
      </c>
      <c r="L183" s="31">
        <v>14</v>
      </c>
      <c r="M183" s="31">
        <v>7</v>
      </c>
      <c r="N183" s="31">
        <v>46087</v>
      </c>
      <c r="O183" s="31">
        <v>195</v>
      </c>
      <c r="P183" s="31">
        <v>45000</v>
      </c>
      <c r="Q183" s="31">
        <v>1260</v>
      </c>
      <c r="R183" s="31">
        <v>56700</v>
      </c>
      <c r="S183" s="31" t="s">
        <v>639</v>
      </c>
      <c r="T183" s="31" t="s">
        <v>638</v>
      </c>
      <c r="U183">
        <f>IFERROR(VLOOKUP(C183,Hoja4!$D$4:$E$273,2,FALSE),0)</f>
        <v>0</v>
      </c>
      <c r="V183">
        <f>IFERROR(VLOOKUP(C183,Hoja4!$A$4:$B$273,2,FALSE),0)</f>
        <v>0</v>
      </c>
    </row>
    <row r="184" spans="1:22" x14ac:dyDescent="0.25">
      <c r="A184" s="32">
        <v>46034</v>
      </c>
      <c r="B184" s="30" t="s">
        <v>4</v>
      </c>
      <c r="C184" s="30">
        <v>196</v>
      </c>
      <c r="D184" s="30" t="s">
        <v>637</v>
      </c>
      <c r="E184" s="30" t="s">
        <v>636</v>
      </c>
      <c r="F184" s="30"/>
      <c r="G184" s="30" t="s">
        <v>635</v>
      </c>
      <c r="H184" s="30">
        <v>3170661732</v>
      </c>
      <c r="I184" s="30">
        <v>64</v>
      </c>
      <c r="J184" s="30">
        <v>190</v>
      </c>
      <c r="K184" s="30">
        <v>1330</v>
      </c>
      <c r="L184" s="30">
        <v>20.78125</v>
      </c>
      <c r="M184" s="30">
        <v>7</v>
      </c>
      <c r="N184" s="30">
        <v>46041</v>
      </c>
      <c r="O184" s="30">
        <v>196</v>
      </c>
      <c r="P184" s="30">
        <v>7518.7969924812032</v>
      </c>
      <c r="Q184" s="30">
        <v>1330</v>
      </c>
      <c r="R184" s="30">
        <v>10000</v>
      </c>
      <c r="S184" s="30" t="s">
        <v>634</v>
      </c>
      <c r="T184" s="30"/>
      <c r="U184">
        <f>IFERROR(VLOOKUP(C184,Hoja4!$D$4:$E$273,2,FALSE),0)</f>
        <v>0</v>
      </c>
      <c r="V184">
        <f>IFERROR(VLOOKUP(C184,Hoja4!$A$4:$B$273,2,FALSE),0)</f>
        <v>0</v>
      </c>
    </row>
    <row r="185" spans="1:22" x14ac:dyDescent="0.25">
      <c r="A185" s="33"/>
      <c r="B185" s="31" t="s">
        <v>208</v>
      </c>
      <c r="C185" s="31">
        <v>197</v>
      </c>
      <c r="D185" s="31" t="s">
        <v>633</v>
      </c>
      <c r="E185" s="31" t="s">
        <v>633</v>
      </c>
      <c r="F185" s="31"/>
      <c r="G185" s="31" t="s">
        <v>632</v>
      </c>
      <c r="H185" s="31">
        <v>3223951234</v>
      </c>
      <c r="I185" s="31">
        <v>130</v>
      </c>
      <c r="J185" s="31">
        <v>390</v>
      </c>
      <c r="K185" s="31">
        <v>2730</v>
      </c>
      <c r="L185" s="31">
        <v>21</v>
      </c>
      <c r="M185" s="31">
        <v>7</v>
      </c>
      <c r="N185" s="31"/>
      <c r="O185" s="31">
        <v>197</v>
      </c>
      <c r="P185" s="31">
        <v>39120.879120879123</v>
      </c>
      <c r="Q185" s="31">
        <v>2730</v>
      </c>
      <c r="R185" s="31">
        <v>106800</v>
      </c>
      <c r="S185" s="31" t="s">
        <v>631</v>
      </c>
      <c r="T185" s="31" t="s">
        <v>630</v>
      </c>
      <c r="U185">
        <f>IFERROR(VLOOKUP(C185,Hoja4!$D$4:$E$273,2,FALSE),0)</f>
        <v>0</v>
      </c>
      <c r="V185">
        <f>IFERROR(VLOOKUP(C185,Hoja4!$A$4:$B$273,2,FALSE),0)</f>
        <v>0</v>
      </c>
    </row>
    <row r="186" spans="1:22" x14ac:dyDescent="0.25">
      <c r="A186" s="32">
        <v>46079</v>
      </c>
      <c r="B186" s="30" t="s">
        <v>63</v>
      </c>
      <c r="C186" s="30">
        <v>198</v>
      </c>
      <c r="D186" s="30" t="s">
        <v>629</v>
      </c>
      <c r="E186" s="30" t="s">
        <v>629</v>
      </c>
      <c r="F186" s="30"/>
      <c r="G186" s="30" t="s">
        <v>628</v>
      </c>
      <c r="H186" s="30">
        <v>3123218364</v>
      </c>
      <c r="I186" s="30">
        <v>300</v>
      </c>
      <c r="J186" s="30">
        <v>600</v>
      </c>
      <c r="K186" s="30">
        <v>9000</v>
      </c>
      <c r="L186" s="30">
        <v>30</v>
      </c>
      <c r="M186" s="30">
        <v>15</v>
      </c>
      <c r="N186" s="30">
        <v>46094</v>
      </c>
      <c r="O186" s="30">
        <v>198</v>
      </c>
      <c r="P186" s="30">
        <v>25000</v>
      </c>
      <c r="Q186" s="30">
        <v>9000</v>
      </c>
      <c r="R186" s="30">
        <v>225000</v>
      </c>
      <c r="S186" s="30" t="s">
        <v>627</v>
      </c>
      <c r="T186" s="30" t="s">
        <v>626</v>
      </c>
      <c r="U186">
        <f>IFERROR(VLOOKUP(C186,Hoja4!$D$4:$E$273,2,FALSE),0)</f>
        <v>263034</v>
      </c>
      <c r="V186">
        <f>IFERROR(VLOOKUP(C186,Hoja4!$A$4:$B$273,2,FALSE),0)</f>
        <v>0</v>
      </c>
    </row>
    <row r="187" spans="1:22" x14ac:dyDescent="0.25">
      <c r="A187" s="33">
        <v>46072</v>
      </c>
      <c r="B187" s="31" t="s">
        <v>63</v>
      </c>
      <c r="C187" s="31">
        <v>199</v>
      </c>
      <c r="D187" s="31" t="s">
        <v>625</v>
      </c>
      <c r="E187" s="31" t="s">
        <v>624</v>
      </c>
      <c r="F187" s="31"/>
      <c r="G187" s="31" t="s">
        <v>623</v>
      </c>
      <c r="H187" s="31">
        <v>3229473612</v>
      </c>
      <c r="I187" s="31">
        <v>150</v>
      </c>
      <c r="J187" s="31">
        <v>150</v>
      </c>
      <c r="K187" s="31">
        <v>2250</v>
      </c>
      <c r="L187" s="31">
        <v>15</v>
      </c>
      <c r="M187" s="31">
        <v>15</v>
      </c>
      <c r="N187" s="31">
        <v>46087</v>
      </c>
      <c r="O187" s="31">
        <v>199</v>
      </c>
      <c r="P187" s="31">
        <v>32000</v>
      </c>
      <c r="Q187" s="31">
        <v>2250</v>
      </c>
      <c r="R187" s="31">
        <v>72000</v>
      </c>
      <c r="S187" s="31" t="s">
        <v>622</v>
      </c>
      <c r="T187" s="31" t="s">
        <v>378</v>
      </c>
      <c r="U187">
        <f>IFERROR(VLOOKUP(C187,Hoja4!$D$4:$E$273,2,FALSE),0)</f>
        <v>0</v>
      </c>
      <c r="V187">
        <f>IFERROR(VLOOKUP(C187,Hoja4!$A$4:$B$273,2,FALSE),0)</f>
        <v>6200</v>
      </c>
    </row>
    <row r="188" spans="1:22" x14ac:dyDescent="0.25">
      <c r="A188" s="32">
        <v>46071</v>
      </c>
      <c r="B188" s="30" t="s">
        <v>63</v>
      </c>
      <c r="C188" s="30">
        <v>200</v>
      </c>
      <c r="D188" s="30" t="s">
        <v>621</v>
      </c>
      <c r="E188" s="30" t="s">
        <v>620</v>
      </c>
      <c r="F188" s="30"/>
      <c r="G188" s="30" t="s">
        <v>619</v>
      </c>
      <c r="H188" s="30">
        <v>3128951233</v>
      </c>
      <c r="I188" s="30">
        <v>60</v>
      </c>
      <c r="J188" s="30">
        <v>120</v>
      </c>
      <c r="K188" s="30">
        <v>1800</v>
      </c>
      <c r="L188" s="30">
        <v>30</v>
      </c>
      <c r="M188" s="30">
        <v>15</v>
      </c>
      <c r="N188" s="30">
        <v>46086</v>
      </c>
      <c r="O188" s="30">
        <v>200</v>
      </c>
      <c r="P188" s="30">
        <v>43000</v>
      </c>
      <c r="Q188" s="30">
        <v>1800</v>
      </c>
      <c r="R188" s="30">
        <v>77400</v>
      </c>
      <c r="S188" s="30" t="s">
        <v>618</v>
      </c>
      <c r="T188" s="30" t="s">
        <v>617</v>
      </c>
      <c r="U188">
        <f>IFERROR(VLOOKUP(C188,Hoja4!$D$4:$E$273,2,FALSE),0)</f>
        <v>77400</v>
      </c>
      <c r="V188">
        <f>IFERROR(VLOOKUP(C188,Hoja4!$A$4:$B$273,2,FALSE),0)</f>
        <v>0</v>
      </c>
    </row>
    <row r="189" spans="1:22" x14ac:dyDescent="0.25">
      <c r="A189" s="33">
        <v>46058</v>
      </c>
      <c r="B189" s="31" t="s">
        <v>63</v>
      </c>
      <c r="C189" s="31">
        <v>201</v>
      </c>
      <c r="D189" s="31" t="s">
        <v>616</v>
      </c>
      <c r="E189" s="31" t="s">
        <v>616</v>
      </c>
      <c r="F189" s="31"/>
      <c r="G189" s="31" t="s">
        <v>615</v>
      </c>
      <c r="H189" s="31">
        <v>3057671212</v>
      </c>
      <c r="I189" s="31">
        <v>60</v>
      </c>
      <c r="J189" s="31">
        <v>180</v>
      </c>
      <c r="K189" s="31">
        <v>2700</v>
      </c>
      <c r="L189" s="31">
        <v>45</v>
      </c>
      <c r="M189" s="31">
        <v>15</v>
      </c>
      <c r="N189" s="31">
        <v>46073</v>
      </c>
      <c r="O189" s="31">
        <v>201</v>
      </c>
      <c r="P189" s="31">
        <v>48148.148148148146</v>
      </c>
      <c r="Q189" s="31">
        <v>2700</v>
      </c>
      <c r="R189" s="31">
        <v>130000</v>
      </c>
      <c r="S189" s="31" t="s">
        <v>614</v>
      </c>
      <c r="T189" s="31" t="s">
        <v>613</v>
      </c>
      <c r="U189">
        <f>IFERROR(VLOOKUP(C189,Hoja4!$D$4:$E$273,2,FALSE),0)</f>
        <v>0</v>
      </c>
      <c r="V189">
        <f>IFERROR(VLOOKUP(C189,Hoja4!$A$4:$B$273,2,FALSE),0)</f>
        <v>0</v>
      </c>
    </row>
    <row r="190" spans="1:22" x14ac:dyDescent="0.25">
      <c r="A190" s="32"/>
      <c r="B190" s="30" t="s">
        <v>208</v>
      </c>
      <c r="C190" s="30">
        <v>202</v>
      </c>
      <c r="D190" s="30" t="s">
        <v>612</v>
      </c>
      <c r="E190" s="30" t="s">
        <v>612</v>
      </c>
      <c r="F190" s="30"/>
      <c r="G190" s="30" t="s">
        <v>611</v>
      </c>
      <c r="H190" s="30">
        <v>3138406465</v>
      </c>
      <c r="I190" s="30">
        <v>58</v>
      </c>
      <c r="J190" s="30">
        <v>116</v>
      </c>
      <c r="K190" s="30">
        <v>812</v>
      </c>
      <c r="L190" s="30">
        <v>14</v>
      </c>
      <c r="M190" s="30">
        <v>7</v>
      </c>
      <c r="N190" s="30"/>
      <c r="O190" s="30">
        <v>202</v>
      </c>
      <c r="P190" s="30">
        <v>12315.270935960592</v>
      </c>
      <c r="Q190" s="30">
        <v>812</v>
      </c>
      <c r="R190" s="30">
        <v>10000</v>
      </c>
      <c r="S190" s="30" t="s">
        <v>610</v>
      </c>
      <c r="T190" s="30" t="s">
        <v>609</v>
      </c>
      <c r="U190">
        <f>IFERROR(VLOOKUP(C190,Hoja4!$D$4:$E$273,2,FALSE),0)</f>
        <v>0</v>
      </c>
      <c r="V190">
        <f>IFERROR(VLOOKUP(C190,Hoja4!$A$4:$B$273,2,FALSE),0)</f>
        <v>0</v>
      </c>
    </row>
    <row r="191" spans="1:22" x14ac:dyDescent="0.25">
      <c r="A191" s="33">
        <v>46083</v>
      </c>
      <c r="B191" s="31" t="s">
        <v>272</v>
      </c>
      <c r="C191" s="31">
        <v>203</v>
      </c>
      <c r="D191" s="31" t="s">
        <v>608</v>
      </c>
      <c r="E191" s="31" t="s">
        <v>608</v>
      </c>
      <c r="F191" s="31"/>
      <c r="G191" s="31" t="s">
        <v>607</v>
      </c>
      <c r="H191" s="31">
        <v>3002112901</v>
      </c>
      <c r="I191" s="31">
        <v>130</v>
      </c>
      <c r="J191" s="31">
        <v>260</v>
      </c>
      <c r="K191" s="31">
        <v>3900</v>
      </c>
      <c r="L191" s="31">
        <v>30</v>
      </c>
      <c r="M191" s="31">
        <v>15</v>
      </c>
      <c r="N191" s="31">
        <v>46098</v>
      </c>
      <c r="O191" s="31">
        <v>203</v>
      </c>
      <c r="P191" s="31">
        <v>29000</v>
      </c>
      <c r="Q191" s="31">
        <v>3900</v>
      </c>
      <c r="R191" s="31">
        <v>113100</v>
      </c>
      <c r="S191" s="31" t="s">
        <v>606</v>
      </c>
      <c r="T191" s="31" t="s">
        <v>605</v>
      </c>
      <c r="U191">
        <f>IFERROR(VLOOKUP(C191,Hoja4!$D$4:$E$273,2,FALSE),0)</f>
        <v>19100</v>
      </c>
      <c r="V191">
        <f>IFERROR(VLOOKUP(C191,Hoja4!$A$4:$B$273,2,FALSE),0)</f>
        <v>0</v>
      </c>
    </row>
    <row r="192" spans="1:22" x14ac:dyDescent="0.25">
      <c r="A192" s="32">
        <v>46051</v>
      </c>
      <c r="B192" s="30" t="s">
        <v>4</v>
      </c>
      <c r="C192" s="30">
        <v>204</v>
      </c>
      <c r="D192" s="30" t="s">
        <v>604</v>
      </c>
      <c r="E192" s="30" t="s">
        <v>603</v>
      </c>
      <c r="F192" s="30"/>
      <c r="G192" s="30" t="s">
        <v>602</v>
      </c>
      <c r="H192" s="30">
        <v>3223073853</v>
      </c>
      <c r="I192" s="30">
        <v>25</v>
      </c>
      <c r="J192" s="30">
        <v>75</v>
      </c>
      <c r="K192" s="30">
        <v>1125</v>
      </c>
      <c r="L192" s="30">
        <v>45</v>
      </c>
      <c r="M192" s="30">
        <v>15</v>
      </c>
      <c r="N192" s="30">
        <v>46066</v>
      </c>
      <c r="O192" s="30">
        <v>204</v>
      </c>
      <c r="P192" s="30">
        <v>48360.888888888891</v>
      </c>
      <c r="Q192" s="30">
        <v>1125</v>
      </c>
      <c r="R192" s="30">
        <v>54406</v>
      </c>
      <c r="S192" s="30" t="s">
        <v>601</v>
      </c>
      <c r="T192" s="30" t="s">
        <v>600</v>
      </c>
      <c r="U192">
        <f>IFERROR(VLOOKUP(C192,Hoja4!$D$4:$E$273,2,FALSE),0)</f>
        <v>0</v>
      </c>
      <c r="V192">
        <f>IFERROR(VLOOKUP(C192,Hoja4!$A$4:$B$273,2,FALSE),0)</f>
        <v>2</v>
      </c>
    </row>
    <row r="193" spans="1:22" x14ac:dyDescent="0.25">
      <c r="A193" s="33">
        <v>46044</v>
      </c>
      <c r="B193" s="31" t="s">
        <v>4</v>
      </c>
      <c r="C193" s="31">
        <v>205</v>
      </c>
      <c r="D193" s="31" t="s">
        <v>599</v>
      </c>
      <c r="E193" s="31" t="s">
        <v>599</v>
      </c>
      <c r="F193" s="31"/>
      <c r="G193" s="31" t="s">
        <v>598</v>
      </c>
      <c r="H193" s="31">
        <v>3143484505</v>
      </c>
      <c r="I193" s="31">
        <v>190</v>
      </c>
      <c r="J193" s="31">
        <v>190</v>
      </c>
      <c r="K193" s="31">
        <v>5700</v>
      </c>
      <c r="L193" s="31">
        <v>30</v>
      </c>
      <c r="M193" s="31">
        <v>30</v>
      </c>
      <c r="N193" s="31">
        <v>46074</v>
      </c>
      <c r="O193" s="31">
        <v>205</v>
      </c>
      <c r="P193" s="31">
        <v>30000</v>
      </c>
      <c r="Q193" s="31">
        <v>5700</v>
      </c>
      <c r="R193" s="31">
        <v>171000</v>
      </c>
      <c r="S193" s="31" t="s">
        <v>597</v>
      </c>
      <c r="T193" s="31" t="s">
        <v>596</v>
      </c>
      <c r="U193">
        <f>IFERROR(VLOOKUP(C193,Hoja4!$D$4:$E$273,2,FALSE),0)</f>
        <v>0</v>
      </c>
      <c r="V193">
        <f>IFERROR(VLOOKUP(C193,Hoja4!$A$4:$B$273,2,FALSE),0)</f>
        <v>0</v>
      </c>
    </row>
    <row r="194" spans="1:22" x14ac:dyDescent="0.25">
      <c r="A194" s="32">
        <v>46034</v>
      </c>
      <c r="B194" s="30" t="s">
        <v>4</v>
      </c>
      <c r="C194" s="30">
        <v>206</v>
      </c>
      <c r="D194" s="30" t="s">
        <v>595</v>
      </c>
      <c r="E194" s="30" t="s">
        <v>594</v>
      </c>
      <c r="F194" s="30"/>
      <c r="G194" s="30" t="s">
        <v>593</v>
      </c>
      <c r="H194" s="30">
        <v>3204477576</v>
      </c>
      <c r="I194" s="30">
        <v>80</v>
      </c>
      <c r="J194" s="30">
        <v>160</v>
      </c>
      <c r="K194" s="30">
        <v>2400</v>
      </c>
      <c r="L194" s="30">
        <v>30</v>
      </c>
      <c r="M194" s="30">
        <v>15</v>
      </c>
      <c r="N194" s="30">
        <v>46049</v>
      </c>
      <c r="O194" s="30">
        <v>206</v>
      </c>
      <c r="P194" s="30">
        <v>44750</v>
      </c>
      <c r="Q194" s="30">
        <v>2400</v>
      </c>
      <c r="R194" s="30">
        <v>107400</v>
      </c>
      <c r="S194" s="30" t="s">
        <v>592</v>
      </c>
      <c r="T194" s="30" t="s">
        <v>591</v>
      </c>
      <c r="U194">
        <f>IFERROR(VLOOKUP(C194,Hoja4!$D$4:$E$273,2,FALSE),0)</f>
        <v>0</v>
      </c>
      <c r="V194">
        <f>IFERROR(VLOOKUP(C194,Hoja4!$A$4:$B$273,2,FALSE),0)</f>
        <v>0</v>
      </c>
    </row>
    <row r="195" spans="1:22" x14ac:dyDescent="0.25">
      <c r="A195" s="33">
        <v>46062</v>
      </c>
      <c r="B195" s="31" t="s">
        <v>63</v>
      </c>
      <c r="C195" s="31">
        <v>207</v>
      </c>
      <c r="D195" s="31" t="s">
        <v>590</v>
      </c>
      <c r="E195" s="31" t="s">
        <v>590</v>
      </c>
      <c r="F195" s="31"/>
      <c r="G195" s="31" t="s">
        <v>589</v>
      </c>
      <c r="H195" s="31">
        <v>3123176445</v>
      </c>
      <c r="I195" s="31">
        <v>140</v>
      </c>
      <c r="J195" s="31">
        <v>420</v>
      </c>
      <c r="K195" s="31">
        <v>4200</v>
      </c>
      <c r="L195" s="31">
        <v>30</v>
      </c>
      <c r="M195" s="31">
        <v>10</v>
      </c>
      <c r="N195" s="31">
        <v>46072</v>
      </c>
      <c r="O195" s="31">
        <v>207</v>
      </c>
      <c r="P195" s="31">
        <v>25000</v>
      </c>
      <c r="Q195" s="31">
        <v>4200</v>
      </c>
      <c r="R195" s="31">
        <v>105000</v>
      </c>
      <c r="S195" s="31" t="s">
        <v>588</v>
      </c>
      <c r="T195" s="31" t="s">
        <v>587</v>
      </c>
      <c r="U195">
        <f>IFERROR(VLOOKUP(C195,Hoja4!$D$4:$E$273,2,FALSE),0)</f>
        <v>0</v>
      </c>
      <c r="V195">
        <f>IFERROR(VLOOKUP(C195,Hoja4!$A$4:$B$273,2,FALSE),0)</f>
        <v>105000</v>
      </c>
    </row>
    <row r="196" spans="1:22" x14ac:dyDescent="0.25">
      <c r="A196" s="32">
        <v>46069</v>
      </c>
      <c r="B196" s="30" t="s">
        <v>63</v>
      </c>
      <c r="C196" s="30">
        <v>208</v>
      </c>
      <c r="D196" s="30" t="s">
        <v>586</v>
      </c>
      <c r="E196" s="30" t="s">
        <v>586</v>
      </c>
      <c r="F196" s="30"/>
      <c r="G196" s="30" t="s">
        <v>585</v>
      </c>
      <c r="H196" s="30">
        <v>3194584587</v>
      </c>
      <c r="I196" s="30">
        <v>220</v>
      </c>
      <c r="J196" s="30">
        <v>220</v>
      </c>
      <c r="K196" s="30">
        <v>5060</v>
      </c>
      <c r="L196" s="30">
        <v>23</v>
      </c>
      <c r="M196" s="30">
        <v>23</v>
      </c>
      <c r="N196" s="30">
        <v>46092</v>
      </c>
      <c r="O196" s="30">
        <v>208</v>
      </c>
      <c r="P196" s="30">
        <v>25000</v>
      </c>
      <c r="Q196" s="30">
        <v>5060</v>
      </c>
      <c r="R196" s="30">
        <v>126500</v>
      </c>
      <c r="S196" s="30" t="s">
        <v>584</v>
      </c>
      <c r="T196" s="30" t="s">
        <v>583</v>
      </c>
      <c r="U196">
        <f>IFERROR(VLOOKUP(C196,Hoja4!$D$4:$E$273,2,FALSE),0)</f>
        <v>126500</v>
      </c>
      <c r="V196">
        <f>IFERROR(VLOOKUP(C196,Hoja4!$A$4:$B$273,2,FALSE),0)</f>
        <v>0</v>
      </c>
    </row>
    <row r="197" spans="1:22" x14ac:dyDescent="0.25">
      <c r="A197" s="33">
        <v>46055</v>
      </c>
      <c r="B197" s="31" t="s">
        <v>63</v>
      </c>
      <c r="C197" s="31">
        <v>209</v>
      </c>
      <c r="D197" s="31" t="s">
        <v>582</v>
      </c>
      <c r="E197" s="31" t="s">
        <v>582</v>
      </c>
      <c r="F197" s="31"/>
      <c r="G197" s="31" t="s">
        <v>581</v>
      </c>
      <c r="H197" s="31">
        <v>3144789566</v>
      </c>
      <c r="I197" s="31">
        <v>150</v>
      </c>
      <c r="J197" s="31">
        <v>150</v>
      </c>
      <c r="K197" s="31">
        <v>2250</v>
      </c>
      <c r="L197" s="31">
        <v>15</v>
      </c>
      <c r="M197" s="31">
        <v>15</v>
      </c>
      <c r="N197" s="31">
        <v>46070</v>
      </c>
      <c r="O197" s="31">
        <v>209</v>
      </c>
      <c r="P197" s="31">
        <v>42000</v>
      </c>
      <c r="Q197" s="31">
        <v>2250</v>
      </c>
      <c r="R197" s="31">
        <v>94500</v>
      </c>
      <c r="S197" s="31" t="s">
        <v>580</v>
      </c>
      <c r="T197" s="31" t="s">
        <v>579</v>
      </c>
      <c r="U197">
        <f>IFERROR(VLOOKUP(C197,Hoja4!$D$4:$E$273,2,FALSE),0)</f>
        <v>0</v>
      </c>
      <c r="V197">
        <f>IFERROR(VLOOKUP(C197,Hoja4!$A$4:$B$273,2,FALSE),0)</f>
        <v>0</v>
      </c>
    </row>
    <row r="198" spans="1:22" x14ac:dyDescent="0.25">
      <c r="A198" s="32">
        <v>46080</v>
      </c>
      <c r="B198" s="30" t="s">
        <v>63</v>
      </c>
      <c r="C198" s="30">
        <v>210</v>
      </c>
      <c r="D198" s="30" t="s">
        <v>578</v>
      </c>
      <c r="E198" s="30" t="s">
        <v>578</v>
      </c>
      <c r="F198" s="30"/>
      <c r="G198" s="30" t="s">
        <v>577</v>
      </c>
      <c r="H198" s="30">
        <v>3174191530</v>
      </c>
      <c r="I198" s="30">
        <v>145</v>
      </c>
      <c r="J198" s="30">
        <v>145</v>
      </c>
      <c r="K198" s="30">
        <v>1015</v>
      </c>
      <c r="L198" s="30">
        <v>7</v>
      </c>
      <c r="M198" s="30">
        <v>7</v>
      </c>
      <c r="N198" s="30">
        <v>46087</v>
      </c>
      <c r="O198" s="30">
        <v>210</v>
      </c>
      <c r="P198" s="30">
        <v>40000</v>
      </c>
      <c r="Q198" s="30">
        <v>1015</v>
      </c>
      <c r="R198" s="30">
        <v>40600</v>
      </c>
      <c r="S198" s="30" t="s">
        <v>576</v>
      </c>
      <c r="T198" s="30" t="s">
        <v>575</v>
      </c>
      <c r="U198">
        <f>IFERROR(VLOOKUP(C198,Hoja4!$D$4:$E$273,2,FALSE),0)</f>
        <v>0</v>
      </c>
      <c r="V198">
        <f>IFERROR(VLOOKUP(C198,Hoja4!$A$4:$B$273,2,FALSE),0)</f>
        <v>0</v>
      </c>
    </row>
    <row r="199" spans="1:22" x14ac:dyDescent="0.25">
      <c r="A199" s="33">
        <v>46066</v>
      </c>
      <c r="B199" s="31" t="s">
        <v>63</v>
      </c>
      <c r="C199" s="31">
        <v>211</v>
      </c>
      <c r="D199" s="31" t="s">
        <v>574</v>
      </c>
      <c r="E199" s="31" t="s">
        <v>574</v>
      </c>
      <c r="F199" s="31"/>
      <c r="G199" s="31" t="s">
        <v>573</v>
      </c>
      <c r="H199" s="31">
        <v>3176712724</v>
      </c>
      <c r="I199" s="31">
        <v>115</v>
      </c>
      <c r="J199" s="31">
        <v>230</v>
      </c>
      <c r="K199" s="31">
        <v>1610</v>
      </c>
      <c r="L199" s="31">
        <v>14</v>
      </c>
      <c r="M199" s="31">
        <v>7</v>
      </c>
      <c r="N199" s="31">
        <v>46073</v>
      </c>
      <c r="O199" s="31">
        <v>211</v>
      </c>
      <c r="P199" s="31">
        <v>40434.782608695648</v>
      </c>
      <c r="Q199" s="31">
        <v>1610</v>
      </c>
      <c r="R199" s="31">
        <v>65100</v>
      </c>
      <c r="S199" s="31" t="s">
        <v>572</v>
      </c>
      <c r="T199" s="31" t="s">
        <v>571</v>
      </c>
      <c r="U199">
        <f>IFERROR(VLOOKUP(C199,Hoja4!$D$4:$E$273,2,FALSE),0)</f>
        <v>0</v>
      </c>
      <c r="V199">
        <f>IFERROR(VLOOKUP(C199,Hoja4!$A$4:$B$273,2,FALSE),0)</f>
        <v>6500</v>
      </c>
    </row>
    <row r="200" spans="1:22" x14ac:dyDescent="0.25">
      <c r="A200" s="32">
        <v>46049</v>
      </c>
      <c r="B200" s="30" t="s">
        <v>4</v>
      </c>
      <c r="C200" s="30">
        <v>212</v>
      </c>
      <c r="D200" s="30" t="s">
        <v>570</v>
      </c>
      <c r="E200" s="30" t="s">
        <v>570</v>
      </c>
      <c r="F200" s="30" t="s">
        <v>52</v>
      </c>
      <c r="G200" s="30" t="s">
        <v>569</v>
      </c>
      <c r="H200" s="30">
        <v>3105587843</v>
      </c>
      <c r="I200" s="30">
        <v>500</v>
      </c>
      <c r="J200" s="30">
        <v>1000</v>
      </c>
      <c r="K200" s="30">
        <v>15000</v>
      </c>
      <c r="L200" s="30">
        <v>30</v>
      </c>
      <c r="M200" s="30">
        <v>15</v>
      </c>
      <c r="N200" s="30">
        <v>46064</v>
      </c>
      <c r="O200" s="30">
        <v>212</v>
      </c>
      <c r="P200" s="30">
        <v>25000</v>
      </c>
      <c r="Q200" s="30">
        <v>15000</v>
      </c>
      <c r="R200" s="30">
        <v>375000</v>
      </c>
      <c r="S200" s="30" t="s">
        <v>568</v>
      </c>
      <c r="T200" s="30" t="s">
        <v>567</v>
      </c>
      <c r="U200">
        <f>IFERROR(VLOOKUP(C200,Hoja4!$D$4:$E$273,2,FALSE),0)</f>
        <v>29000</v>
      </c>
      <c r="V200">
        <f>IFERROR(VLOOKUP(C200,Hoja4!$A$4:$B$273,2,FALSE),0)</f>
        <v>0</v>
      </c>
    </row>
    <row r="201" spans="1:22" x14ac:dyDescent="0.25">
      <c r="A201" s="33">
        <v>46069</v>
      </c>
      <c r="B201" s="31" t="s">
        <v>63</v>
      </c>
      <c r="C201" s="31">
        <v>213</v>
      </c>
      <c r="D201" s="31" t="s">
        <v>566</v>
      </c>
      <c r="E201" s="31" t="s">
        <v>566</v>
      </c>
      <c r="F201" s="31"/>
      <c r="G201" s="31" t="s">
        <v>565</v>
      </c>
      <c r="H201" s="31">
        <v>3108677744</v>
      </c>
      <c r="I201" s="31">
        <v>60</v>
      </c>
      <c r="J201" s="31">
        <v>120</v>
      </c>
      <c r="K201" s="31">
        <v>1800</v>
      </c>
      <c r="L201" s="31">
        <v>30</v>
      </c>
      <c r="M201" s="31">
        <v>15</v>
      </c>
      <c r="N201" s="31">
        <v>46084</v>
      </c>
      <c r="O201" s="31">
        <v>213</v>
      </c>
      <c r="P201" s="31">
        <v>44000</v>
      </c>
      <c r="Q201" s="31">
        <v>1800</v>
      </c>
      <c r="R201" s="31">
        <v>79200</v>
      </c>
      <c r="S201" s="31" t="s">
        <v>564</v>
      </c>
      <c r="T201" s="31" t="s">
        <v>563</v>
      </c>
      <c r="U201">
        <f>IFERROR(VLOOKUP(C201,Hoja4!$D$4:$E$273,2,FALSE),0)</f>
        <v>0</v>
      </c>
      <c r="V201">
        <f>IFERROR(VLOOKUP(C201,Hoja4!$A$4:$B$273,2,FALSE),0)</f>
        <v>1600</v>
      </c>
    </row>
    <row r="202" spans="1:22" x14ac:dyDescent="0.25">
      <c r="A202" s="32">
        <v>46069</v>
      </c>
      <c r="B202" s="30" t="s">
        <v>63</v>
      </c>
      <c r="C202" s="30">
        <v>214</v>
      </c>
      <c r="D202" s="30" t="s">
        <v>562</v>
      </c>
      <c r="E202" s="30" t="s">
        <v>561</v>
      </c>
      <c r="F202" s="30"/>
      <c r="G202" s="30" t="s">
        <v>560</v>
      </c>
      <c r="H202" s="30">
        <v>3208834012</v>
      </c>
      <c r="I202" s="30">
        <v>150</v>
      </c>
      <c r="J202" s="30">
        <v>450</v>
      </c>
      <c r="K202" s="30">
        <v>6750</v>
      </c>
      <c r="L202" s="30">
        <v>45</v>
      </c>
      <c r="M202" s="30">
        <v>15</v>
      </c>
      <c r="N202" s="30">
        <v>46084</v>
      </c>
      <c r="O202" s="30">
        <v>214</v>
      </c>
      <c r="P202" s="30">
        <v>24000</v>
      </c>
      <c r="Q202" s="30">
        <v>6750</v>
      </c>
      <c r="R202" s="30">
        <v>162000</v>
      </c>
      <c r="S202" s="30" t="s">
        <v>559</v>
      </c>
      <c r="T202" s="30" t="s">
        <v>558</v>
      </c>
      <c r="U202">
        <f>IFERROR(VLOOKUP(C202,Hoja4!$D$4:$E$273,2,FALSE),0)</f>
        <v>425000</v>
      </c>
      <c r="V202">
        <f>IFERROR(VLOOKUP(C202,Hoja4!$A$4:$B$273,2,FALSE),0)</f>
        <v>0</v>
      </c>
    </row>
    <row r="203" spans="1:22" x14ac:dyDescent="0.25">
      <c r="A203" s="33">
        <v>46070</v>
      </c>
      <c r="B203" s="31" t="s">
        <v>63</v>
      </c>
      <c r="C203" s="31">
        <v>215</v>
      </c>
      <c r="D203" s="31" t="s">
        <v>557</v>
      </c>
      <c r="E203" s="31" t="s">
        <v>557</v>
      </c>
      <c r="F203" s="31"/>
      <c r="G203" s="31" t="s">
        <v>556</v>
      </c>
      <c r="H203" s="31">
        <v>3133252005</v>
      </c>
      <c r="I203" s="31">
        <v>85</v>
      </c>
      <c r="J203" s="31">
        <v>170</v>
      </c>
      <c r="K203" s="31">
        <v>2550</v>
      </c>
      <c r="L203" s="31">
        <v>30</v>
      </c>
      <c r="M203" s="31">
        <v>15</v>
      </c>
      <c r="N203" s="31">
        <v>46085</v>
      </c>
      <c r="O203" s="31">
        <v>215</v>
      </c>
      <c r="P203" s="31">
        <v>30000</v>
      </c>
      <c r="Q203" s="31">
        <v>2550</v>
      </c>
      <c r="R203" s="31">
        <v>76500</v>
      </c>
      <c r="S203" s="31" t="s">
        <v>555</v>
      </c>
      <c r="T203" s="31" t="s">
        <v>554</v>
      </c>
      <c r="U203">
        <f>IFERROR(VLOOKUP(C203,Hoja4!$D$4:$E$273,2,FALSE),0)</f>
        <v>0</v>
      </c>
      <c r="V203">
        <f>IFERROR(VLOOKUP(C203,Hoja4!$A$4:$B$273,2,FALSE),0)</f>
        <v>0</v>
      </c>
    </row>
    <row r="204" spans="1:22" x14ac:dyDescent="0.25">
      <c r="A204" s="32"/>
      <c r="B204" s="30" t="s">
        <v>208</v>
      </c>
      <c r="C204" s="30">
        <v>216</v>
      </c>
      <c r="D204" s="30" t="s">
        <v>553</v>
      </c>
      <c r="E204" s="30" t="s">
        <v>553</v>
      </c>
      <c r="F204" s="30"/>
      <c r="G204" s="30" t="s">
        <v>552</v>
      </c>
      <c r="H204" s="30">
        <v>3023480211</v>
      </c>
      <c r="I204" s="30">
        <v>330</v>
      </c>
      <c r="J204" s="30">
        <v>330</v>
      </c>
      <c r="K204" s="30">
        <v>4950</v>
      </c>
      <c r="L204" s="30">
        <v>15</v>
      </c>
      <c r="M204" s="30">
        <v>15</v>
      </c>
      <c r="N204" s="30"/>
      <c r="O204" s="30">
        <v>216</v>
      </c>
      <c r="P204" s="30">
        <v>26000</v>
      </c>
      <c r="Q204" s="30">
        <v>4950</v>
      </c>
      <c r="R204" s="30">
        <v>128700</v>
      </c>
      <c r="S204" s="30" t="s">
        <v>551</v>
      </c>
      <c r="T204" s="30" t="s">
        <v>550</v>
      </c>
      <c r="U204">
        <f>IFERROR(VLOOKUP(C204,Hoja4!$D$4:$E$273,2,FALSE),0)</f>
        <v>0</v>
      </c>
      <c r="V204">
        <f>IFERROR(VLOOKUP(C204,Hoja4!$A$4:$B$273,2,FALSE),0)</f>
        <v>0</v>
      </c>
    </row>
    <row r="205" spans="1:22" x14ac:dyDescent="0.25">
      <c r="A205" s="33">
        <v>46071</v>
      </c>
      <c r="B205" s="31" t="s">
        <v>63</v>
      </c>
      <c r="C205" s="31">
        <v>217</v>
      </c>
      <c r="D205" s="31" t="s">
        <v>549</v>
      </c>
      <c r="E205" s="31" t="s">
        <v>549</v>
      </c>
      <c r="F205" s="31"/>
      <c r="G205" s="31" t="s">
        <v>548</v>
      </c>
      <c r="H205" s="31">
        <v>3175162267</v>
      </c>
      <c r="I205" s="31">
        <v>300</v>
      </c>
      <c r="J205" s="31">
        <v>300</v>
      </c>
      <c r="K205" s="31">
        <v>5100</v>
      </c>
      <c r="L205" s="31">
        <v>17</v>
      </c>
      <c r="M205" s="31">
        <v>17</v>
      </c>
      <c r="N205" s="31">
        <v>46088</v>
      </c>
      <c r="O205" s="31">
        <v>217</v>
      </c>
      <c r="P205" s="31">
        <v>25000</v>
      </c>
      <c r="Q205" s="31">
        <v>5100</v>
      </c>
      <c r="R205" s="31">
        <v>127500</v>
      </c>
      <c r="S205" s="31" t="s">
        <v>547</v>
      </c>
      <c r="T205" s="31" t="s">
        <v>546</v>
      </c>
      <c r="U205">
        <f>IFERROR(VLOOKUP(C205,Hoja4!$D$4:$E$273,2,FALSE),0)</f>
        <v>127500</v>
      </c>
      <c r="V205">
        <f>IFERROR(VLOOKUP(C205,Hoja4!$A$4:$B$273,2,FALSE),0)</f>
        <v>0</v>
      </c>
    </row>
    <row r="206" spans="1:22" x14ac:dyDescent="0.25">
      <c r="A206" s="32">
        <v>46056</v>
      </c>
      <c r="B206" s="30" t="s">
        <v>63</v>
      </c>
      <c r="C206" s="30">
        <v>218</v>
      </c>
      <c r="D206" s="30" t="s">
        <v>545</v>
      </c>
      <c r="E206" s="30" t="s">
        <v>544</v>
      </c>
      <c r="F206" s="30"/>
      <c r="G206" s="30" t="s">
        <v>543</v>
      </c>
      <c r="H206" s="30">
        <v>3134097706</v>
      </c>
      <c r="I206" s="30">
        <v>330</v>
      </c>
      <c r="J206" s="30">
        <v>330</v>
      </c>
      <c r="K206" s="30">
        <v>9900</v>
      </c>
      <c r="L206" s="30">
        <v>30</v>
      </c>
      <c r="M206" s="30">
        <v>30</v>
      </c>
      <c r="N206" s="30">
        <v>46086</v>
      </c>
      <c r="O206" s="30">
        <v>218</v>
      </c>
      <c r="P206" s="30">
        <v>33939.393939393936</v>
      </c>
      <c r="Q206" s="30">
        <v>9900</v>
      </c>
      <c r="R206" s="30">
        <v>336000</v>
      </c>
      <c r="S206" s="30" t="s">
        <v>542</v>
      </c>
      <c r="T206" s="30"/>
      <c r="U206">
        <f>IFERROR(VLOOKUP(C206,Hoja4!$D$4:$E$273,2,FALSE),0)</f>
        <v>0</v>
      </c>
      <c r="V206">
        <f>IFERROR(VLOOKUP(C206,Hoja4!$A$4:$B$273,2,FALSE),0)</f>
        <v>0</v>
      </c>
    </row>
    <row r="207" spans="1:22" x14ac:dyDescent="0.25">
      <c r="A207" s="33">
        <v>46066</v>
      </c>
      <c r="B207" s="31" t="s">
        <v>63</v>
      </c>
      <c r="C207" s="31">
        <v>219</v>
      </c>
      <c r="D207" s="31" t="s">
        <v>541</v>
      </c>
      <c r="E207" s="31" t="s">
        <v>541</v>
      </c>
      <c r="F207" s="31"/>
      <c r="G207" s="31" t="s">
        <v>540</v>
      </c>
      <c r="H207" s="31">
        <v>3203728948</v>
      </c>
      <c r="I207" s="31">
        <v>150</v>
      </c>
      <c r="J207" s="31">
        <v>450</v>
      </c>
      <c r="K207" s="31">
        <v>6750</v>
      </c>
      <c r="L207" s="31">
        <v>45</v>
      </c>
      <c r="M207" s="31">
        <v>15</v>
      </c>
      <c r="N207" s="31">
        <v>46081</v>
      </c>
      <c r="O207" s="31">
        <v>219</v>
      </c>
      <c r="P207" s="31">
        <v>29000</v>
      </c>
      <c r="Q207" s="31">
        <v>6750</v>
      </c>
      <c r="R207" s="31">
        <v>195750</v>
      </c>
      <c r="S207" s="31" t="s">
        <v>539</v>
      </c>
      <c r="T207" s="31" t="s">
        <v>538</v>
      </c>
      <c r="U207">
        <f>IFERROR(VLOOKUP(C207,Hoja4!$D$4:$E$273,2,FALSE),0)</f>
        <v>0</v>
      </c>
      <c r="V207">
        <f>IFERROR(VLOOKUP(C207,Hoja4!$A$4:$B$273,2,FALSE),0)</f>
        <v>0</v>
      </c>
    </row>
    <row r="208" spans="1:22" x14ac:dyDescent="0.25">
      <c r="A208" s="32"/>
      <c r="B208" s="30" t="s">
        <v>208</v>
      </c>
      <c r="C208" s="30">
        <v>220</v>
      </c>
      <c r="D208" s="30" t="s">
        <v>537</v>
      </c>
      <c r="E208" s="30" t="s">
        <v>537</v>
      </c>
      <c r="F208" s="30"/>
      <c r="G208" s="30" t="s">
        <v>536</v>
      </c>
      <c r="H208" s="30">
        <v>3025401098</v>
      </c>
      <c r="I208" s="30">
        <v>50</v>
      </c>
      <c r="J208" s="30">
        <v>350</v>
      </c>
      <c r="K208" s="30">
        <v>2450</v>
      </c>
      <c r="L208" s="30">
        <v>49</v>
      </c>
      <c r="M208" s="30">
        <v>7</v>
      </c>
      <c r="N208" s="30"/>
      <c r="O208" s="30">
        <v>220</v>
      </c>
      <c r="P208" s="30">
        <v>53877.551020408166</v>
      </c>
      <c r="Q208" s="30">
        <v>2450</v>
      </c>
      <c r="R208" s="30">
        <v>132000</v>
      </c>
      <c r="S208" s="30" t="s">
        <v>535</v>
      </c>
      <c r="T208" s="30" t="s">
        <v>534</v>
      </c>
      <c r="U208">
        <f>IFERROR(VLOOKUP(C208,Hoja4!$D$4:$E$273,2,FALSE),0)</f>
        <v>0</v>
      </c>
      <c r="V208">
        <f>IFERROR(VLOOKUP(C208,Hoja4!$A$4:$B$273,2,FALSE),0)</f>
        <v>0</v>
      </c>
    </row>
    <row r="209" spans="1:22" x14ac:dyDescent="0.25">
      <c r="A209" s="33">
        <v>46062</v>
      </c>
      <c r="B209" s="31" t="s">
        <v>63</v>
      </c>
      <c r="C209" s="31">
        <v>221</v>
      </c>
      <c r="D209" s="31" t="s">
        <v>533</v>
      </c>
      <c r="E209" s="31" t="s">
        <v>533</v>
      </c>
      <c r="F209" s="31"/>
      <c r="G209" s="31" t="s">
        <v>532</v>
      </c>
      <c r="H209" s="31">
        <v>3102701974</v>
      </c>
      <c r="I209" s="31">
        <v>59</v>
      </c>
      <c r="J209" s="31">
        <v>118</v>
      </c>
      <c r="K209" s="31">
        <v>826</v>
      </c>
      <c r="L209" s="31">
        <v>14</v>
      </c>
      <c r="M209" s="31">
        <v>7</v>
      </c>
      <c r="N209" s="31">
        <v>46069</v>
      </c>
      <c r="O209" s="31">
        <v>221</v>
      </c>
      <c r="P209" s="31">
        <v>50000</v>
      </c>
      <c r="Q209" s="31">
        <v>826</v>
      </c>
      <c r="R209" s="31">
        <v>41300</v>
      </c>
      <c r="S209" s="31" t="s">
        <v>531</v>
      </c>
      <c r="T209" s="31" t="s">
        <v>530</v>
      </c>
      <c r="U209">
        <f>IFERROR(VLOOKUP(C209,Hoja4!$D$4:$E$273,2,FALSE),0)</f>
        <v>0</v>
      </c>
      <c r="V209">
        <f>IFERROR(VLOOKUP(C209,Hoja4!$A$4:$B$273,2,FALSE),0)</f>
        <v>0</v>
      </c>
    </row>
    <row r="210" spans="1:22" x14ac:dyDescent="0.25">
      <c r="A210" s="32">
        <v>46059</v>
      </c>
      <c r="B210" s="30" t="s">
        <v>63</v>
      </c>
      <c r="C210" s="30">
        <v>222</v>
      </c>
      <c r="D210" s="30" t="s">
        <v>529</v>
      </c>
      <c r="E210" s="30" t="s">
        <v>528</v>
      </c>
      <c r="F210" s="30"/>
      <c r="G210" s="30" t="s">
        <v>527</v>
      </c>
      <c r="H210" s="30">
        <v>3102323184</v>
      </c>
      <c r="I210" s="30">
        <v>130</v>
      </c>
      <c r="J210" s="30">
        <v>260</v>
      </c>
      <c r="K210" s="30">
        <v>3900</v>
      </c>
      <c r="L210" s="30">
        <v>30</v>
      </c>
      <c r="M210" s="30">
        <v>15</v>
      </c>
      <c r="N210" s="30">
        <v>46074</v>
      </c>
      <c r="O210" s="30">
        <v>222</v>
      </c>
      <c r="P210" s="30">
        <v>39000</v>
      </c>
      <c r="Q210" s="30">
        <v>3900</v>
      </c>
      <c r="R210" s="30">
        <v>152100</v>
      </c>
      <c r="S210" s="30" t="s">
        <v>526</v>
      </c>
      <c r="T210" s="30" t="s">
        <v>525</v>
      </c>
      <c r="U210">
        <f>IFERROR(VLOOKUP(C210,Hoja4!$D$4:$E$273,2,FALSE),0)</f>
        <v>0</v>
      </c>
      <c r="V210">
        <f>IFERROR(VLOOKUP(C210,Hoja4!$A$4:$B$273,2,FALSE),0)</f>
        <v>152100</v>
      </c>
    </row>
    <row r="211" spans="1:22" x14ac:dyDescent="0.25">
      <c r="A211" s="33">
        <v>46056</v>
      </c>
      <c r="B211" s="31" t="s">
        <v>63</v>
      </c>
      <c r="C211" s="31">
        <v>223</v>
      </c>
      <c r="D211" s="31" t="s">
        <v>524</v>
      </c>
      <c r="E211" s="31" t="s">
        <v>524</v>
      </c>
      <c r="F211" s="31"/>
      <c r="G211" s="31" t="s">
        <v>523</v>
      </c>
      <c r="H211" s="31">
        <v>3143474850</v>
      </c>
      <c r="I211" s="31">
        <v>34</v>
      </c>
      <c r="J211" s="31">
        <v>68</v>
      </c>
      <c r="K211" s="31">
        <v>1020</v>
      </c>
      <c r="L211" s="31">
        <v>30</v>
      </c>
      <c r="M211" s="31">
        <v>15</v>
      </c>
      <c r="N211" s="31">
        <v>46071</v>
      </c>
      <c r="O211" s="31">
        <v>223</v>
      </c>
      <c r="P211" s="31">
        <v>85000</v>
      </c>
      <c r="Q211" s="31">
        <v>1020</v>
      </c>
      <c r="R211" s="31">
        <v>86700</v>
      </c>
      <c r="S211" s="31" t="s">
        <v>522</v>
      </c>
      <c r="T211" s="31" t="s">
        <v>521</v>
      </c>
      <c r="U211">
        <f>IFERROR(VLOOKUP(C211,Hoja4!$D$4:$E$273,2,FALSE),0)</f>
        <v>0</v>
      </c>
      <c r="V211">
        <f>IFERROR(VLOOKUP(C211,Hoja4!$A$4:$B$273,2,FALSE),0)</f>
        <v>0</v>
      </c>
    </row>
    <row r="212" spans="1:22" x14ac:dyDescent="0.25">
      <c r="A212" s="32"/>
      <c r="B212" s="30" t="s">
        <v>208</v>
      </c>
      <c r="C212" s="30">
        <v>224</v>
      </c>
      <c r="D212" s="30" t="s">
        <v>520</v>
      </c>
      <c r="E212" s="30" t="s">
        <v>520</v>
      </c>
      <c r="F212" s="30"/>
      <c r="G212" s="30" t="s">
        <v>519</v>
      </c>
      <c r="H212" s="30">
        <v>3152351111</v>
      </c>
      <c r="I212" s="30">
        <v>65</v>
      </c>
      <c r="J212" s="30">
        <v>103</v>
      </c>
      <c r="K212" s="30">
        <v>721</v>
      </c>
      <c r="L212" s="30">
        <v>11.092307692307692</v>
      </c>
      <c r="M212" s="30">
        <v>7</v>
      </c>
      <c r="N212" s="30"/>
      <c r="O212" s="30">
        <v>224</v>
      </c>
      <c r="P212" s="30">
        <v>13869.625520110956</v>
      </c>
      <c r="Q212" s="30">
        <v>721</v>
      </c>
      <c r="R212" s="30">
        <v>10000</v>
      </c>
      <c r="S212" s="30" t="s">
        <v>518</v>
      </c>
      <c r="T212" s="30"/>
      <c r="U212">
        <f>IFERROR(VLOOKUP(C212,Hoja4!$D$4:$E$273,2,FALSE),0)</f>
        <v>0</v>
      </c>
      <c r="V212">
        <f>IFERROR(VLOOKUP(C212,Hoja4!$A$4:$B$273,2,FALSE),0)</f>
        <v>0</v>
      </c>
    </row>
    <row r="213" spans="1:22" x14ac:dyDescent="0.25">
      <c r="A213" s="33">
        <v>46065</v>
      </c>
      <c r="B213" s="31" t="s">
        <v>63</v>
      </c>
      <c r="C213" s="31">
        <v>225</v>
      </c>
      <c r="D213" s="31" t="s">
        <v>517</v>
      </c>
      <c r="E213" s="31" t="s">
        <v>517</v>
      </c>
      <c r="F213" s="31"/>
      <c r="G213" s="31" t="s">
        <v>516</v>
      </c>
      <c r="H213" s="31">
        <v>3183725754</v>
      </c>
      <c r="I213" s="31">
        <v>270</v>
      </c>
      <c r="J213" s="31">
        <v>270</v>
      </c>
      <c r="K213" s="31">
        <v>4050</v>
      </c>
      <c r="L213" s="31">
        <v>15</v>
      </c>
      <c r="M213" s="31">
        <v>15</v>
      </c>
      <c r="N213" s="31">
        <v>46080</v>
      </c>
      <c r="O213" s="31">
        <v>225</v>
      </c>
      <c r="P213" s="31">
        <v>25000</v>
      </c>
      <c r="Q213" s="31">
        <v>4050</v>
      </c>
      <c r="R213" s="31">
        <v>101250</v>
      </c>
      <c r="S213" s="31" t="s">
        <v>515</v>
      </c>
      <c r="T213" s="31" t="s">
        <v>514</v>
      </c>
      <c r="U213">
        <f>IFERROR(VLOOKUP(C213,Hoja4!$D$4:$E$273,2,FALSE),0)</f>
        <v>0</v>
      </c>
      <c r="V213">
        <f>IFERROR(VLOOKUP(C213,Hoja4!$A$4:$B$273,2,FALSE),0)</f>
        <v>0</v>
      </c>
    </row>
    <row r="214" spans="1:22" x14ac:dyDescent="0.25">
      <c r="A214" s="32">
        <v>46066</v>
      </c>
      <c r="B214" s="30" t="s">
        <v>63</v>
      </c>
      <c r="C214" s="30">
        <v>226</v>
      </c>
      <c r="D214" s="30" t="s">
        <v>513</v>
      </c>
      <c r="E214" s="30" t="s">
        <v>513</v>
      </c>
      <c r="F214" s="30"/>
      <c r="G214" s="30" t="s">
        <v>512</v>
      </c>
      <c r="H214" s="30">
        <v>3227436015</v>
      </c>
      <c r="I214" s="30">
        <v>200</v>
      </c>
      <c r="J214" s="30">
        <v>600</v>
      </c>
      <c r="K214" s="30">
        <v>6200</v>
      </c>
      <c r="L214" s="30">
        <v>31</v>
      </c>
      <c r="M214" s="30">
        <v>10.333333333333334</v>
      </c>
      <c r="N214" s="30">
        <v>46076.333333333336</v>
      </c>
      <c r="O214" s="30">
        <v>226</v>
      </c>
      <c r="P214" s="30">
        <v>25000</v>
      </c>
      <c r="Q214" s="30">
        <v>6200</v>
      </c>
      <c r="R214" s="30">
        <v>155000</v>
      </c>
      <c r="S214" s="30" t="s">
        <v>511</v>
      </c>
      <c r="T214" s="30" t="s">
        <v>510</v>
      </c>
      <c r="U214">
        <f>IFERROR(VLOOKUP(C214,Hoja4!$D$4:$E$273,2,FALSE),0)</f>
        <v>0</v>
      </c>
      <c r="V214">
        <f>IFERROR(VLOOKUP(C214,Hoja4!$A$4:$B$273,2,FALSE),0)</f>
        <v>305000</v>
      </c>
    </row>
    <row r="215" spans="1:22" x14ac:dyDescent="0.25">
      <c r="A215" s="33">
        <v>46048</v>
      </c>
      <c r="B215" s="31" t="s">
        <v>4</v>
      </c>
      <c r="C215" s="31">
        <v>227</v>
      </c>
      <c r="D215" s="31" t="s">
        <v>509</v>
      </c>
      <c r="E215" s="31" t="s">
        <v>509</v>
      </c>
      <c r="F215" s="31"/>
      <c r="G215" s="31" t="s">
        <v>508</v>
      </c>
      <c r="H215" s="31">
        <v>3115580933</v>
      </c>
      <c r="I215" s="31">
        <v>500</v>
      </c>
      <c r="J215" s="31">
        <v>1000</v>
      </c>
      <c r="K215" s="31">
        <v>500</v>
      </c>
      <c r="L215" s="31">
        <v>1</v>
      </c>
      <c r="M215" s="31">
        <v>0.5</v>
      </c>
      <c r="N215" s="31">
        <v>46048.5</v>
      </c>
      <c r="O215" s="31">
        <v>227</v>
      </c>
      <c r="P215" s="31">
        <v>90000</v>
      </c>
      <c r="Q215" s="31">
        <v>500</v>
      </c>
      <c r="R215" s="31">
        <v>45000</v>
      </c>
      <c r="S215" s="31" t="s">
        <v>507</v>
      </c>
      <c r="T215" s="31" t="s">
        <v>506</v>
      </c>
      <c r="U215">
        <f>IFERROR(VLOOKUP(C215,Hoja4!$D$4:$E$273,2,FALSE),0)</f>
        <v>0</v>
      </c>
      <c r="V215">
        <f>IFERROR(VLOOKUP(C215,Hoja4!$A$4:$B$273,2,FALSE),0)</f>
        <v>0</v>
      </c>
    </row>
    <row r="216" spans="1:22" x14ac:dyDescent="0.25">
      <c r="A216" s="32">
        <v>46062</v>
      </c>
      <c r="B216" s="30" t="s">
        <v>63</v>
      </c>
      <c r="C216" s="30">
        <v>228</v>
      </c>
      <c r="D216" s="30" t="s">
        <v>505</v>
      </c>
      <c r="E216" s="30" t="s">
        <v>505</v>
      </c>
      <c r="F216" s="30"/>
      <c r="G216" s="30" t="s">
        <v>504</v>
      </c>
      <c r="H216" s="30">
        <v>3123538879</v>
      </c>
      <c r="I216" s="30">
        <v>250</v>
      </c>
      <c r="J216" s="30">
        <v>750</v>
      </c>
      <c r="K216" s="30">
        <v>11250</v>
      </c>
      <c r="L216" s="30">
        <v>45</v>
      </c>
      <c r="M216" s="30">
        <v>15</v>
      </c>
      <c r="N216" s="30">
        <v>46077</v>
      </c>
      <c r="O216" s="30">
        <v>228</v>
      </c>
      <c r="P216" s="30">
        <v>25000</v>
      </c>
      <c r="Q216" s="30">
        <v>11250</v>
      </c>
      <c r="R216" s="30">
        <v>281250</v>
      </c>
      <c r="S216" s="30" t="s">
        <v>503</v>
      </c>
      <c r="T216" s="30" t="s">
        <v>502</v>
      </c>
      <c r="U216">
        <f>IFERROR(VLOOKUP(C216,Hoja4!$D$4:$E$273,2,FALSE),0)</f>
        <v>0</v>
      </c>
      <c r="V216">
        <f>IFERROR(VLOOKUP(C216,Hoja4!$A$4:$B$273,2,FALSE),0)</f>
        <v>0</v>
      </c>
    </row>
    <row r="217" spans="1:22" x14ac:dyDescent="0.25">
      <c r="A217" s="33">
        <v>46060</v>
      </c>
      <c r="B217" s="31" t="s">
        <v>63</v>
      </c>
      <c r="C217" s="31">
        <v>229</v>
      </c>
      <c r="D217" s="31" t="s">
        <v>501</v>
      </c>
      <c r="E217" s="31" t="s">
        <v>501</v>
      </c>
      <c r="F217" s="31"/>
      <c r="G217" s="31" t="s">
        <v>500</v>
      </c>
      <c r="H217" s="31">
        <v>3233952054</v>
      </c>
      <c r="I217" s="31">
        <v>67</v>
      </c>
      <c r="J217" s="31">
        <v>134</v>
      </c>
      <c r="K217" s="31">
        <v>2010</v>
      </c>
      <c r="L217" s="31">
        <v>30</v>
      </c>
      <c r="M217" s="31">
        <v>15</v>
      </c>
      <c r="N217" s="31">
        <v>46075</v>
      </c>
      <c r="O217" s="31">
        <v>229</v>
      </c>
      <c r="P217" s="31">
        <v>40000</v>
      </c>
      <c r="Q217" s="31">
        <v>2010</v>
      </c>
      <c r="R217" s="31">
        <v>80400</v>
      </c>
      <c r="S217" s="31" t="s">
        <v>499</v>
      </c>
      <c r="T217" s="31" t="s">
        <v>498</v>
      </c>
      <c r="U217">
        <f>IFERROR(VLOOKUP(C217,Hoja4!$D$4:$E$273,2,FALSE),0)</f>
        <v>0</v>
      </c>
      <c r="V217">
        <f>IFERROR(VLOOKUP(C217,Hoja4!$A$4:$B$273,2,FALSE),0)</f>
        <v>0</v>
      </c>
    </row>
    <row r="218" spans="1:22" x14ac:dyDescent="0.25">
      <c r="A218" s="32"/>
      <c r="B218" s="30" t="s">
        <v>208</v>
      </c>
      <c r="C218" s="30">
        <v>230</v>
      </c>
      <c r="D218" s="30" t="s">
        <v>497</v>
      </c>
      <c r="E218" s="30" t="s">
        <v>496</v>
      </c>
      <c r="F218" s="30"/>
      <c r="G218" s="30" t="s">
        <v>495</v>
      </c>
      <c r="H218" s="30">
        <v>3174184318</v>
      </c>
      <c r="I218" s="30">
        <v>196</v>
      </c>
      <c r="J218" s="30">
        <v>590</v>
      </c>
      <c r="K218" s="30">
        <v>4130</v>
      </c>
      <c r="L218" s="30">
        <v>21.071428571428573</v>
      </c>
      <c r="M218" s="30">
        <v>7</v>
      </c>
      <c r="N218" s="30"/>
      <c r="O218" s="30">
        <v>230</v>
      </c>
      <c r="P218" s="30">
        <v>2421.3075060532688</v>
      </c>
      <c r="Q218" s="30">
        <v>4130</v>
      </c>
      <c r="R218" s="30">
        <v>10000</v>
      </c>
      <c r="S218" s="30" t="s">
        <v>494</v>
      </c>
      <c r="T218" s="30"/>
      <c r="U218">
        <f>IFERROR(VLOOKUP(C218,Hoja4!$D$4:$E$273,2,FALSE),0)</f>
        <v>0</v>
      </c>
      <c r="V218">
        <f>IFERROR(VLOOKUP(C218,Hoja4!$A$4:$B$273,2,FALSE),0)</f>
        <v>0</v>
      </c>
    </row>
    <row r="219" spans="1:22" x14ac:dyDescent="0.25">
      <c r="A219" s="33">
        <v>46065</v>
      </c>
      <c r="B219" s="31" t="s">
        <v>63</v>
      </c>
      <c r="C219" s="31">
        <v>231</v>
      </c>
      <c r="D219" s="31" t="s">
        <v>493</v>
      </c>
      <c r="E219" s="31" t="s">
        <v>493</v>
      </c>
      <c r="F219" s="31"/>
      <c r="G219" s="31" t="s">
        <v>492</v>
      </c>
      <c r="H219" s="31">
        <v>3123223532</v>
      </c>
      <c r="I219" s="31">
        <v>35</v>
      </c>
      <c r="J219" s="31">
        <v>70</v>
      </c>
      <c r="K219" s="31">
        <v>1050</v>
      </c>
      <c r="L219" s="31">
        <v>30</v>
      </c>
      <c r="M219" s="31">
        <v>15</v>
      </c>
      <c r="N219" s="31">
        <v>46080</v>
      </c>
      <c r="O219" s="31">
        <v>231</v>
      </c>
      <c r="P219" s="31">
        <v>41904.761904761901</v>
      </c>
      <c r="Q219" s="31">
        <v>1050</v>
      </c>
      <c r="R219" s="31">
        <v>44000</v>
      </c>
      <c r="S219" s="31" t="s">
        <v>491</v>
      </c>
      <c r="T219" s="31" t="s">
        <v>273</v>
      </c>
      <c r="U219">
        <f>IFERROR(VLOOKUP(C219,Hoja4!$D$4:$E$273,2,FALSE),0)</f>
        <v>0</v>
      </c>
      <c r="V219">
        <f>IFERROR(VLOOKUP(C219,Hoja4!$A$4:$B$273,2,FALSE),0)</f>
        <v>0</v>
      </c>
    </row>
    <row r="220" spans="1:22" x14ac:dyDescent="0.25">
      <c r="A220" s="32"/>
      <c r="B220" s="30" t="s">
        <v>208</v>
      </c>
      <c r="C220" s="30">
        <v>232</v>
      </c>
      <c r="D220" s="30" t="s">
        <v>490</v>
      </c>
      <c r="E220" s="30" t="s">
        <v>490</v>
      </c>
      <c r="F220" s="30"/>
      <c r="G220" s="30" t="s">
        <v>489</v>
      </c>
      <c r="H220" s="30">
        <v>3212180434</v>
      </c>
      <c r="I220" s="30">
        <v>90</v>
      </c>
      <c r="J220" s="30">
        <v>180</v>
      </c>
      <c r="K220" s="30">
        <v>2700</v>
      </c>
      <c r="L220" s="30">
        <v>30</v>
      </c>
      <c r="M220" s="30">
        <v>15</v>
      </c>
      <c r="N220" s="30"/>
      <c r="O220" s="30">
        <v>232</v>
      </c>
      <c r="P220" s="30">
        <v>38222.222222222219</v>
      </c>
      <c r="Q220" s="30">
        <v>2700</v>
      </c>
      <c r="R220" s="30">
        <v>103200</v>
      </c>
      <c r="S220" s="30" t="s">
        <v>488</v>
      </c>
      <c r="T220" s="30" t="s">
        <v>487</v>
      </c>
      <c r="U220">
        <f>IFERROR(VLOOKUP(C220,Hoja4!$D$4:$E$273,2,FALSE),0)</f>
        <v>0</v>
      </c>
      <c r="V220">
        <f>IFERROR(VLOOKUP(C220,Hoja4!$A$4:$B$273,2,FALSE),0)</f>
        <v>0</v>
      </c>
    </row>
    <row r="221" spans="1:22" x14ac:dyDescent="0.25">
      <c r="A221" s="33"/>
      <c r="B221" s="31" t="s">
        <v>208</v>
      </c>
      <c r="C221" s="31">
        <v>233</v>
      </c>
      <c r="D221" s="31" t="s">
        <v>486</v>
      </c>
      <c r="E221" s="31" t="s">
        <v>486</v>
      </c>
      <c r="F221" s="31"/>
      <c r="G221" s="31" t="s">
        <v>485</v>
      </c>
      <c r="H221" s="31">
        <v>3005563556</v>
      </c>
      <c r="I221" s="31">
        <v>65</v>
      </c>
      <c r="J221" s="31">
        <v>130</v>
      </c>
      <c r="K221" s="31">
        <v>1950</v>
      </c>
      <c r="L221" s="31">
        <v>30</v>
      </c>
      <c r="M221" s="31">
        <v>15</v>
      </c>
      <c r="N221" s="31"/>
      <c r="O221" s="31">
        <v>233</v>
      </c>
      <c r="P221" s="31">
        <v>41230.769230769234</v>
      </c>
      <c r="Q221" s="31">
        <v>1950</v>
      </c>
      <c r="R221" s="31">
        <v>80400</v>
      </c>
      <c r="S221" s="31" t="s">
        <v>484</v>
      </c>
      <c r="T221" s="31"/>
      <c r="U221">
        <f>IFERROR(VLOOKUP(C221,Hoja4!$D$4:$E$273,2,FALSE),0)</f>
        <v>0</v>
      </c>
      <c r="V221">
        <f>IFERROR(VLOOKUP(C221,Hoja4!$A$4:$B$273,2,FALSE),0)</f>
        <v>0</v>
      </c>
    </row>
    <row r="222" spans="1:22" x14ac:dyDescent="0.25">
      <c r="A222" s="32">
        <v>46073</v>
      </c>
      <c r="B222" s="30" t="s">
        <v>63</v>
      </c>
      <c r="C222" s="30">
        <v>234</v>
      </c>
      <c r="D222" s="30" t="s">
        <v>483</v>
      </c>
      <c r="E222" s="30" t="s">
        <v>483</v>
      </c>
      <c r="F222" s="30"/>
      <c r="G222" s="30" t="s">
        <v>482</v>
      </c>
      <c r="H222" s="30">
        <v>3208454868</v>
      </c>
      <c r="I222" s="30">
        <v>320</v>
      </c>
      <c r="J222" s="30">
        <v>320</v>
      </c>
      <c r="K222" s="30">
        <v>4800</v>
      </c>
      <c r="L222" s="30">
        <v>15</v>
      </c>
      <c r="M222" s="30">
        <v>15</v>
      </c>
      <c r="N222" s="30">
        <v>46088</v>
      </c>
      <c r="O222" s="30">
        <v>234</v>
      </c>
      <c r="P222" s="30">
        <v>30000</v>
      </c>
      <c r="Q222" s="30">
        <v>4800</v>
      </c>
      <c r="R222" s="30">
        <v>144000</v>
      </c>
      <c r="S222" s="30" t="s">
        <v>481</v>
      </c>
      <c r="T222" s="30" t="s">
        <v>480</v>
      </c>
      <c r="U222">
        <f>IFERROR(VLOOKUP(C222,Hoja4!$D$4:$E$273,2,FALSE),0)</f>
        <v>144000</v>
      </c>
      <c r="V222">
        <f>IFERROR(VLOOKUP(C222,Hoja4!$A$4:$B$273,2,FALSE),0)</f>
        <v>0</v>
      </c>
    </row>
    <row r="223" spans="1:22" x14ac:dyDescent="0.25">
      <c r="A223" s="33"/>
      <c r="B223" s="31" t="s">
        <v>208</v>
      </c>
      <c r="C223" s="31">
        <v>236</v>
      </c>
      <c r="D223" s="31" t="s">
        <v>479</v>
      </c>
      <c r="E223" s="31" t="s">
        <v>479</v>
      </c>
      <c r="F223" s="31"/>
      <c r="G223" s="31" t="s">
        <v>478</v>
      </c>
      <c r="H223" s="31">
        <v>3134800075</v>
      </c>
      <c r="I223" s="31">
        <v>110</v>
      </c>
      <c r="J223" s="31">
        <v>220</v>
      </c>
      <c r="K223" s="31">
        <v>1540</v>
      </c>
      <c r="L223" s="31">
        <v>14</v>
      </c>
      <c r="M223" s="31">
        <v>7</v>
      </c>
      <c r="N223" s="31"/>
      <c r="O223" s="31">
        <v>236</v>
      </c>
      <c r="P223" s="31">
        <v>40519.480519480509</v>
      </c>
      <c r="Q223" s="31">
        <v>1540</v>
      </c>
      <c r="R223" s="31">
        <v>62400</v>
      </c>
      <c r="S223" s="31" t="s">
        <v>477</v>
      </c>
      <c r="T223" s="31" t="s">
        <v>476</v>
      </c>
      <c r="U223">
        <f>IFERROR(VLOOKUP(C223,Hoja4!$D$4:$E$273,2,FALSE),0)</f>
        <v>0</v>
      </c>
      <c r="V223">
        <f>IFERROR(VLOOKUP(C223,Hoja4!$A$4:$B$273,2,FALSE),0)</f>
        <v>0</v>
      </c>
    </row>
    <row r="224" spans="1:22" x14ac:dyDescent="0.25">
      <c r="A224" s="32"/>
      <c r="B224" s="30" t="s">
        <v>208</v>
      </c>
      <c r="C224" s="30">
        <v>237</v>
      </c>
      <c r="D224" s="30" t="s">
        <v>475</v>
      </c>
      <c r="E224" s="30" t="s">
        <v>475</v>
      </c>
      <c r="F224" s="30"/>
      <c r="G224" s="30" t="s">
        <v>474</v>
      </c>
      <c r="H224" s="30">
        <v>3138772977</v>
      </c>
      <c r="I224" s="30">
        <v>80</v>
      </c>
      <c r="J224" s="30">
        <v>160</v>
      </c>
      <c r="K224" s="30">
        <v>1120</v>
      </c>
      <c r="L224" s="30">
        <v>14</v>
      </c>
      <c r="M224" s="30">
        <v>7</v>
      </c>
      <c r="N224" s="30"/>
      <c r="O224" s="30">
        <v>237</v>
      </c>
      <c r="P224" s="30">
        <v>36428.571428571428</v>
      </c>
      <c r="Q224" s="30">
        <v>1120</v>
      </c>
      <c r="R224" s="30">
        <v>40800</v>
      </c>
      <c r="S224" s="30" t="s">
        <v>473</v>
      </c>
      <c r="T224" s="30" t="s">
        <v>472</v>
      </c>
      <c r="U224">
        <f>IFERROR(VLOOKUP(C224,Hoja4!$D$4:$E$273,2,FALSE),0)</f>
        <v>0</v>
      </c>
      <c r="V224">
        <f>IFERROR(VLOOKUP(C224,Hoja4!$A$4:$B$273,2,FALSE),0)</f>
        <v>0</v>
      </c>
    </row>
    <row r="225" spans="1:22" x14ac:dyDescent="0.25">
      <c r="A225" s="33">
        <v>46071</v>
      </c>
      <c r="B225" s="31" t="s">
        <v>63</v>
      </c>
      <c r="C225" s="31">
        <v>238</v>
      </c>
      <c r="D225" s="31" t="s">
        <v>471</v>
      </c>
      <c r="E225" s="31" t="s">
        <v>471</v>
      </c>
      <c r="F225" s="31"/>
      <c r="G225" s="31" t="s">
        <v>470</v>
      </c>
      <c r="H225" s="31">
        <v>3173755513</v>
      </c>
      <c r="I225" s="31">
        <v>300</v>
      </c>
      <c r="J225" s="31">
        <v>300</v>
      </c>
      <c r="K225" s="31">
        <v>5100</v>
      </c>
      <c r="L225" s="31">
        <v>17</v>
      </c>
      <c r="M225" s="31">
        <v>17</v>
      </c>
      <c r="N225" s="31">
        <v>46088</v>
      </c>
      <c r="O225" s="31">
        <v>238</v>
      </c>
      <c r="P225" s="31">
        <v>26000</v>
      </c>
      <c r="Q225" s="31">
        <v>5100</v>
      </c>
      <c r="R225" s="31">
        <v>132600</v>
      </c>
      <c r="S225" s="31" t="s">
        <v>469</v>
      </c>
      <c r="T225" s="31" t="s">
        <v>220</v>
      </c>
      <c r="U225">
        <f>IFERROR(VLOOKUP(C225,Hoja4!$D$4:$E$273,2,FALSE),0)</f>
        <v>125100</v>
      </c>
      <c r="V225">
        <f>IFERROR(VLOOKUP(C225,Hoja4!$A$4:$B$273,2,FALSE),0)</f>
        <v>0</v>
      </c>
    </row>
    <row r="226" spans="1:22" x14ac:dyDescent="0.25">
      <c r="A226" s="32">
        <v>46066</v>
      </c>
      <c r="B226" s="30" t="s">
        <v>63</v>
      </c>
      <c r="C226" s="30">
        <v>239</v>
      </c>
      <c r="D226" s="30" t="s">
        <v>468</v>
      </c>
      <c r="E226" s="30" t="s">
        <v>468</v>
      </c>
      <c r="F226" s="30"/>
      <c r="G226" s="30" t="s">
        <v>467</v>
      </c>
      <c r="H226" s="30">
        <v>3057202444</v>
      </c>
      <c r="I226" s="30">
        <v>230</v>
      </c>
      <c r="J226" s="30">
        <v>230</v>
      </c>
      <c r="K226" s="30">
        <v>3450</v>
      </c>
      <c r="L226" s="30">
        <v>15</v>
      </c>
      <c r="M226" s="30">
        <v>15</v>
      </c>
      <c r="N226" s="30">
        <v>46081</v>
      </c>
      <c r="O226" s="30">
        <v>239</v>
      </c>
      <c r="P226" s="30">
        <v>13043.478260869564</v>
      </c>
      <c r="Q226" s="30">
        <v>3450</v>
      </c>
      <c r="R226" s="30">
        <v>45000</v>
      </c>
      <c r="S226" s="30" t="s">
        <v>466</v>
      </c>
      <c r="T226" s="30" t="s">
        <v>465</v>
      </c>
      <c r="U226">
        <f>IFERROR(VLOOKUP(C226,Hoja4!$D$4:$E$273,2,FALSE),0)</f>
        <v>45000</v>
      </c>
      <c r="V226">
        <f>IFERROR(VLOOKUP(C226,Hoja4!$A$4:$B$273,2,FALSE),0)</f>
        <v>0</v>
      </c>
    </row>
    <row r="227" spans="1:22" x14ac:dyDescent="0.25">
      <c r="A227" s="33">
        <v>46071</v>
      </c>
      <c r="B227" s="31" t="s">
        <v>63</v>
      </c>
      <c r="C227" s="31">
        <v>240</v>
      </c>
      <c r="D227" s="31" t="s">
        <v>464</v>
      </c>
      <c r="E227" s="31" t="s">
        <v>464</v>
      </c>
      <c r="F227" s="31"/>
      <c r="G227" s="31" t="s">
        <v>463</v>
      </c>
      <c r="H227" s="31">
        <v>3144581629</v>
      </c>
      <c r="I227" s="31">
        <v>74</v>
      </c>
      <c r="J227" s="31">
        <v>220</v>
      </c>
      <c r="K227" s="31">
        <v>3300</v>
      </c>
      <c r="L227" s="31">
        <v>44.594594594594597</v>
      </c>
      <c r="M227" s="31">
        <v>15</v>
      </c>
      <c r="N227" s="31">
        <v>46086</v>
      </c>
      <c r="O227" s="31">
        <v>240</v>
      </c>
      <c r="P227" s="31">
        <v>40000</v>
      </c>
      <c r="Q227" s="31">
        <v>3300</v>
      </c>
      <c r="R227" s="31">
        <v>132000</v>
      </c>
      <c r="S227" s="31" t="s">
        <v>462</v>
      </c>
      <c r="T227" s="31" t="s">
        <v>461</v>
      </c>
      <c r="U227">
        <f>IFERROR(VLOOKUP(C227,Hoja4!$D$4:$E$273,2,FALSE),0)</f>
        <v>2400</v>
      </c>
      <c r="V227">
        <f>IFERROR(VLOOKUP(C227,Hoja4!$A$4:$B$273,2,FALSE),0)</f>
        <v>0</v>
      </c>
    </row>
    <row r="228" spans="1:22" x14ac:dyDescent="0.25">
      <c r="A228" s="32">
        <v>46065</v>
      </c>
      <c r="B228" s="30" t="s">
        <v>63</v>
      </c>
      <c r="C228" s="30">
        <v>241</v>
      </c>
      <c r="D228" s="30" t="s">
        <v>460</v>
      </c>
      <c r="E228" s="30" t="s">
        <v>460</v>
      </c>
      <c r="F228" s="30"/>
      <c r="G228" s="30" t="s">
        <v>459</v>
      </c>
      <c r="H228" s="30">
        <v>3212496807</v>
      </c>
      <c r="I228" s="30">
        <v>300</v>
      </c>
      <c r="J228" s="30">
        <v>600</v>
      </c>
      <c r="K228" s="30">
        <v>9000</v>
      </c>
      <c r="L228" s="30">
        <v>30</v>
      </c>
      <c r="M228" s="30">
        <v>15</v>
      </c>
      <c r="N228" s="30">
        <v>46080</v>
      </c>
      <c r="O228" s="30">
        <v>241</v>
      </c>
      <c r="P228" s="30">
        <v>28000</v>
      </c>
      <c r="Q228" s="30">
        <v>9000</v>
      </c>
      <c r="R228" s="30">
        <v>252000</v>
      </c>
      <c r="S228" s="30" t="s">
        <v>458</v>
      </c>
      <c r="T228" s="30" t="s">
        <v>457</v>
      </c>
      <c r="U228">
        <f>IFERROR(VLOOKUP(C228,Hoja4!$D$4:$E$273,2,FALSE),0)</f>
        <v>0</v>
      </c>
      <c r="V228">
        <f>IFERROR(VLOOKUP(C228,Hoja4!$A$4:$B$273,2,FALSE),0)</f>
        <v>252000</v>
      </c>
    </row>
    <row r="229" spans="1:22" x14ac:dyDescent="0.25">
      <c r="A229" s="33">
        <v>46066</v>
      </c>
      <c r="B229" s="31" t="s">
        <v>63</v>
      </c>
      <c r="C229" s="31">
        <v>242</v>
      </c>
      <c r="D229" s="31" t="s">
        <v>456</v>
      </c>
      <c r="E229" s="31" t="s">
        <v>456</v>
      </c>
      <c r="F229" s="31"/>
      <c r="G229" s="31" t="s">
        <v>455</v>
      </c>
      <c r="H229" s="31">
        <v>3157198061</v>
      </c>
      <c r="I229" s="31">
        <v>200</v>
      </c>
      <c r="J229" s="31">
        <v>200</v>
      </c>
      <c r="K229" s="31">
        <v>3000</v>
      </c>
      <c r="L229" s="31">
        <v>15</v>
      </c>
      <c r="M229" s="31">
        <v>15</v>
      </c>
      <c r="N229" s="31">
        <v>46081</v>
      </c>
      <c r="O229" s="31">
        <v>242</v>
      </c>
      <c r="P229" s="31">
        <v>32000</v>
      </c>
      <c r="Q229" s="31">
        <v>3000</v>
      </c>
      <c r="R229" s="31">
        <v>96000</v>
      </c>
      <c r="S229" s="31" t="s">
        <v>454</v>
      </c>
      <c r="T229" s="31" t="s">
        <v>453</v>
      </c>
      <c r="U229">
        <f>IFERROR(VLOOKUP(C229,Hoja4!$D$4:$E$273,2,FALSE),0)</f>
        <v>0</v>
      </c>
      <c r="V229">
        <f>IFERROR(VLOOKUP(C229,Hoja4!$A$4:$B$273,2,FALSE),0)</f>
        <v>0</v>
      </c>
    </row>
    <row r="230" spans="1:22" x14ac:dyDescent="0.25">
      <c r="A230" s="32">
        <v>46062</v>
      </c>
      <c r="B230" s="30" t="s">
        <v>63</v>
      </c>
      <c r="C230" s="30">
        <v>243</v>
      </c>
      <c r="D230" s="30" t="s">
        <v>452</v>
      </c>
      <c r="E230" s="30" t="s">
        <v>452</v>
      </c>
      <c r="F230" s="30"/>
      <c r="G230" s="30" t="s">
        <v>451</v>
      </c>
      <c r="H230" s="30">
        <v>3187283298</v>
      </c>
      <c r="I230" s="30">
        <v>70</v>
      </c>
      <c r="J230" s="30">
        <v>210</v>
      </c>
      <c r="K230" s="30">
        <v>3150</v>
      </c>
      <c r="L230" s="30">
        <v>45</v>
      </c>
      <c r="M230" s="30">
        <v>15</v>
      </c>
      <c r="N230" s="30">
        <v>46077</v>
      </c>
      <c r="O230" s="30">
        <v>243</v>
      </c>
      <c r="P230" s="30">
        <v>42000</v>
      </c>
      <c r="Q230" s="30">
        <v>3150</v>
      </c>
      <c r="R230" s="30">
        <v>132300</v>
      </c>
      <c r="S230" s="30" t="s">
        <v>450</v>
      </c>
      <c r="T230" s="30"/>
      <c r="U230">
        <f>IFERROR(VLOOKUP(C230,Hoja4!$D$4:$E$273,2,FALSE),0)</f>
        <v>0</v>
      </c>
      <c r="V230">
        <f>IFERROR(VLOOKUP(C230,Hoja4!$A$4:$B$273,2,FALSE),0)</f>
        <v>0</v>
      </c>
    </row>
    <row r="231" spans="1:22" x14ac:dyDescent="0.25">
      <c r="A231" s="33">
        <v>46066</v>
      </c>
      <c r="B231" s="31" t="s">
        <v>63</v>
      </c>
      <c r="C231" s="31">
        <v>244</v>
      </c>
      <c r="D231" s="31" t="s">
        <v>449</v>
      </c>
      <c r="E231" s="31" t="s">
        <v>449</v>
      </c>
      <c r="F231" s="31"/>
      <c r="G231" s="31" t="s">
        <v>448</v>
      </c>
      <c r="H231" s="31">
        <v>3057630517</v>
      </c>
      <c r="I231" s="31">
        <v>150</v>
      </c>
      <c r="J231" s="31">
        <v>300</v>
      </c>
      <c r="K231" s="31">
        <v>4500</v>
      </c>
      <c r="L231" s="31">
        <v>30</v>
      </c>
      <c r="M231" s="31">
        <v>15</v>
      </c>
      <c r="N231" s="31">
        <v>46081</v>
      </c>
      <c r="O231" s="31">
        <v>244</v>
      </c>
      <c r="P231" s="31">
        <v>40000</v>
      </c>
      <c r="Q231" s="31">
        <v>4500</v>
      </c>
      <c r="R231" s="31">
        <v>180000</v>
      </c>
      <c r="S231" s="31" t="s">
        <v>447</v>
      </c>
      <c r="T231" s="31" t="s">
        <v>446</v>
      </c>
      <c r="U231">
        <f>IFERROR(VLOOKUP(C231,Hoja4!$D$4:$E$273,2,FALSE),0)</f>
        <v>2000</v>
      </c>
      <c r="V231">
        <f>IFERROR(VLOOKUP(C231,Hoja4!$A$4:$B$273,2,FALSE),0)</f>
        <v>0</v>
      </c>
    </row>
    <row r="232" spans="1:22" x14ac:dyDescent="0.25">
      <c r="A232" s="32">
        <v>46071</v>
      </c>
      <c r="B232" s="30" t="s">
        <v>63</v>
      </c>
      <c r="C232" s="30">
        <v>245</v>
      </c>
      <c r="D232" s="30" t="s">
        <v>445</v>
      </c>
      <c r="E232" s="30" t="s">
        <v>444</v>
      </c>
      <c r="F232" s="30"/>
      <c r="G232" s="30" t="s">
        <v>443</v>
      </c>
      <c r="H232" s="30">
        <v>3222549449</v>
      </c>
      <c r="I232" s="30">
        <v>120</v>
      </c>
      <c r="J232" s="30">
        <v>240</v>
      </c>
      <c r="K232" s="30">
        <v>3840</v>
      </c>
      <c r="L232" s="30">
        <v>32</v>
      </c>
      <c r="M232" s="30">
        <v>16</v>
      </c>
      <c r="N232" s="30">
        <v>46087</v>
      </c>
      <c r="O232" s="30">
        <v>245</v>
      </c>
      <c r="P232" s="30">
        <v>15000</v>
      </c>
      <c r="Q232" s="30">
        <v>3840</v>
      </c>
      <c r="R232" s="30">
        <v>57600</v>
      </c>
      <c r="S232" s="30" t="s">
        <v>442</v>
      </c>
      <c r="T232" s="30"/>
      <c r="U232">
        <f>IFERROR(VLOOKUP(C232,Hoja4!$D$4:$E$273,2,FALSE),0)</f>
        <v>72000</v>
      </c>
      <c r="V232">
        <f>IFERROR(VLOOKUP(C232,Hoja4!$A$4:$B$273,2,FALSE),0)</f>
        <v>0</v>
      </c>
    </row>
    <row r="233" spans="1:22" x14ac:dyDescent="0.25">
      <c r="A233" s="33">
        <v>46041</v>
      </c>
      <c r="B233" s="31" t="s">
        <v>4</v>
      </c>
      <c r="C233" s="31">
        <v>246</v>
      </c>
      <c r="D233" s="31" t="s">
        <v>441</v>
      </c>
      <c r="E233" s="31" t="s">
        <v>440</v>
      </c>
      <c r="F233" s="31"/>
      <c r="G233" s="31" t="s">
        <v>439</v>
      </c>
      <c r="H233" s="31">
        <v>3125973000</v>
      </c>
      <c r="I233" s="31">
        <v>60</v>
      </c>
      <c r="J233" s="31">
        <v>180</v>
      </c>
      <c r="K233" s="31">
        <v>1260</v>
      </c>
      <c r="L233" s="31">
        <v>21</v>
      </c>
      <c r="M233" s="31">
        <v>7</v>
      </c>
      <c r="N233" s="31">
        <v>46048</v>
      </c>
      <c r="O233" s="31">
        <v>246</v>
      </c>
      <c r="P233" s="31">
        <v>45714.285714285717</v>
      </c>
      <c r="Q233" s="31">
        <v>1260</v>
      </c>
      <c r="R233" s="31">
        <v>57600</v>
      </c>
      <c r="S233" s="31" t="s">
        <v>438</v>
      </c>
      <c r="T233" s="31" t="s">
        <v>437</v>
      </c>
      <c r="U233">
        <f>IFERROR(VLOOKUP(C233,Hoja4!$D$4:$E$273,2,FALSE),0)</f>
        <v>0</v>
      </c>
      <c r="V233">
        <f>IFERROR(VLOOKUP(C233,Hoja4!$A$4:$B$273,2,FALSE),0)</f>
        <v>0</v>
      </c>
    </row>
    <row r="234" spans="1:22" x14ac:dyDescent="0.25">
      <c r="A234" s="32">
        <v>46063</v>
      </c>
      <c r="B234" s="30" t="s">
        <v>63</v>
      </c>
      <c r="C234" s="30">
        <v>247</v>
      </c>
      <c r="D234" s="30" t="s">
        <v>436</v>
      </c>
      <c r="E234" s="30" t="s">
        <v>436</v>
      </c>
      <c r="F234" s="30"/>
      <c r="G234" s="30" t="s">
        <v>435</v>
      </c>
      <c r="H234" s="30">
        <v>3208339212</v>
      </c>
      <c r="I234" s="30">
        <v>60</v>
      </c>
      <c r="J234" s="30">
        <v>180</v>
      </c>
      <c r="K234" s="30">
        <v>1260</v>
      </c>
      <c r="L234" s="30">
        <v>21</v>
      </c>
      <c r="M234" s="30">
        <v>7</v>
      </c>
      <c r="N234" s="30">
        <v>46070</v>
      </c>
      <c r="O234" s="30">
        <v>247</v>
      </c>
      <c r="P234" s="30">
        <v>45714.285714285717</v>
      </c>
      <c r="Q234" s="30">
        <v>1260</v>
      </c>
      <c r="R234" s="30">
        <v>57600</v>
      </c>
      <c r="S234" s="30" t="s">
        <v>434</v>
      </c>
      <c r="T234" s="30" t="s">
        <v>433</v>
      </c>
      <c r="U234">
        <f>IFERROR(VLOOKUP(C234,Hoja4!$D$4:$E$273,2,FALSE),0)</f>
        <v>0</v>
      </c>
      <c r="V234">
        <f>IFERROR(VLOOKUP(C234,Hoja4!$A$4:$B$273,2,FALSE),0)</f>
        <v>0</v>
      </c>
    </row>
    <row r="235" spans="1:22" x14ac:dyDescent="0.25">
      <c r="A235" s="33"/>
      <c r="B235" s="31" t="s">
        <v>208</v>
      </c>
      <c r="C235" s="31">
        <v>248</v>
      </c>
      <c r="D235" s="31" t="s">
        <v>432</v>
      </c>
      <c r="E235" s="31" t="s">
        <v>432</v>
      </c>
      <c r="F235" s="31"/>
      <c r="G235" s="31" t="s">
        <v>431</v>
      </c>
      <c r="H235" s="31">
        <v>3118511812</v>
      </c>
      <c r="I235" s="31">
        <v>200</v>
      </c>
      <c r="J235" s="31">
        <v>400</v>
      </c>
      <c r="K235" s="31">
        <v>6000</v>
      </c>
      <c r="L235" s="31">
        <v>30</v>
      </c>
      <c r="M235" s="31">
        <v>15</v>
      </c>
      <c r="N235" s="31"/>
      <c r="O235" s="31">
        <v>248</v>
      </c>
      <c r="P235" s="31">
        <v>13000</v>
      </c>
      <c r="Q235" s="31">
        <v>6000</v>
      </c>
      <c r="R235" s="31">
        <v>78000</v>
      </c>
      <c r="S235" s="31" t="s">
        <v>50</v>
      </c>
      <c r="T235" s="31"/>
      <c r="U235">
        <f>IFERROR(VLOOKUP(C235,Hoja4!$D$4:$E$273,2,FALSE),0)</f>
        <v>0</v>
      </c>
      <c r="V235">
        <f>IFERROR(VLOOKUP(C235,Hoja4!$A$4:$B$273,2,FALSE),0)</f>
        <v>0</v>
      </c>
    </row>
    <row r="236" spans="1:22" x14ac:dyDescent="0.25">
      <c r="A236" s="32">
        <v>46052</v>
      </c>
      <c r="B236" s="30" t="s">
        <v>4</v>
      </c>
      <c r="C236" s="30">
        <v>249</v>
      </c>
      <c r="D236" s="30" t="s">
        <v>430</v>
      </c>
      <c r="E236" s="30" t="s">
        <v>430</v>
      </c>
      <c r="F236" s="30"/>
      <c r="G236" s="30" t="s">
        <v>429</v>
      </c>
      <c r="H236" s="30">
        <v>3224175609</v>
      </c>
      <c r="I236" s="30">
        <v>50</v>
      </c>
      <c r="J236" s="30">
        <v>100</v>
      </c>
      <c r="K236" s="30">
        <v>1500</v>
      </c>
      <c r="L236" s="30">
        <v>30</v>
      </c>
      <c r="M236" s="30">
        <v>15</v>
      </c>
      <c r="N236" s="30">
        <v>46067</v>
      </c>
      <c r="O236" s="30">
        <v>249</v>
      </c>
      <c r="P236" s="30">
        <v>53600</v>
      </c>
      <c r="Q236" s="30">
        <v>1500</v>
      </c>
      <c r="R236" s="30">
        <v>80400</v>
      </c>
      <c r="S236" s="30" t="s">
        <v>428</v>
      </c>
      <c r="T236" s="30" t="s">
        <v>427</v>
      </c>
      <c r="U236">
        <f>IFERROR(VLOOKUP(C236,Hoja4!$D$4:$E$273,2,FALSE),0)</f>
        <v>40200</v>
      </c>
      <c r="V236">
        <f>IFERROR(VLOOKUP(C236,Hoja4!$A$4:$B$273,2,FALSE),0)</f>
        <v>0</v>
      </c>
    </row>
    <row r="237" spans="1:22" x14ac:dyDescent="0.25">
      <c r="A237" s="33">
        <v>46072</v>
      </c>
      <c r="B237" s="31" t="s">
        <v>63</v>
      </c>
      <c r="C237" s="31">
        <v>250</v>
      </c>
      <c r="D237" s="31" t="s">
        <v>426</v>
      </c>
      <c r="E237" s="31" t="s">
        <v>426</v>
      </c>
      <c r="F237" s="31"/>
      <c r="G237" s="31" t="s">
        <v>425</v>
      </c>
      <c r="H237" s="31">
        <v>3167173907</v>
      </c>
      <c r="I237" s="31">
        <v>100</v>
      </c>
      <c r="J237" s="31">
        <v>200</v>
      </c>
      <c r="K237" s="31">
        <v>2000</v>
      </c>
      <c r="L237" s="31">
        <v>20</v>
      </c>
      <c r="M237" s="31">
        <v>10</v>
      </c>
      <c r="N237" s="31">
        <v>46082</v>
      </c>
      <c r="O237" s="31">
        <v>250</v>
      </c>
      <c r="P237" s="31">
        <v>39000</v>
      </c>
      <c r="Q237" s="31">
        <v>2000</v>
      </c>
      <c r="R237" s="31">
        <v>78000</v>
      </c>
      <c r="S237" s="31" t="s">
        <v>424</v>
      </c>
      <c r="T237" s="31" t="s">
        <v>423</v>
      </c>
      <c r="U237">
        <f>IFERROR(VLOOKUP(C237,Hoja4!$D$4:$E$273,2,FALSE),0)</f>
        <v>640000</v>
      </c>
      <c r="V237">
        <f>IFERROR(VLOOKUP(C237,Hoja4!$A$4:$B$273,2,FALSE),0)</f>
        <v>0</v>
      </c>
    </row>
    <row r="238" spans="1:22" x14ac:dyDescent="0.25">
      <c r="A238" s="32">
        <v>46071</v>
      </c>
      <c r="B238" s="30" t="s">
        <v>63</v>
      </c>
      <c r="C238" s="30">
        <v>251</v>
      </c>
      <c r="D238" s="30" t="s">
        <v>422</v>
      </c>
      <c r="E238" s="30" t="s">
        <v>422</v>
      </c>
      <c r="F238" s="30"/>
      <c r="G238" s="30" t="s">
        <v>421</v>
      </c>
      <c r="H238" s="30">
        <v>3134308182</v>
      </c>
      <c r="I238" s="30">
        <v>124</v>
      </c>
      <c r="J238" s="30">
        <v>124</v>
      </c>
      <c r="K238" s="30">
        <v>1860</v>
      </c>
      <c r="L238" s="30">
        <v>15</v>
      </c>
      <c r="M238" s="30">
        <v>15</v>
      </c>
      <c r="N238" s="30">
        <v>46086</v>
      </c>
      <c r="O238" s="30">
        <v>251</v>
      </c>
      <c r="P238" s="30">
        <v>38000</v>
      </c>
      <c r="Q238" s="30">
        <v>1860</v>
      </c>
      <c r="R238" s="30">
        <v>70680</v>
      </c>
      <c r="S238" s="30" t="s">
        <v>420</v>
      </c>
      <c r="T238" s="30" t="s">
        <v>419</v>
      </c>
      <c r="U238">
        <f>IFERROR(VLOOKUP(C238,Hoja4!$D$4:$E$273,2,FALSE),0)</f>
        <v>161880</v>
      </c>
      <c r="V238">
        <f>IFERROR(VLOOKUP(C238,Hoja4!$A$4:$B$273,2,FALSE),0)</f>
        <v>0</v>
      </c>
    </row>
    <row r="239" spans="1:22" x14ac:dyDescent="0.25">
      <c r="A239" s="33">
        <v>46037</v>
      </c>
      <c r="B239" s="31" t="s">
        <v>4</v>
      </c>
      <c r="C239" s="31">
        <v>252</v>
      </c>
      <c r="D239" s="31" t="s">
        <v>418</v>
      </c>
      <c r="E239" s="31" t="s">
        <v>418</v>
      </c>
      <c r="F239" s="31"/>
      <c r="G239" s="31" t="s">
        <v>417</v>
      </c>
      <c r="H239" s="31">
        <v>3103093707</v>
      </c>
      <c r="I239" s="31">
        <v>235</v>
      </c>
      <c r="J239" s="31">
        <v>470</v>
      </c>
      <c r="K239" s="31">
        <v>7050</v>
      </c>
      <c r="L239" s="31">
        <v>30</v>
      </c>
      <c r="M239" s="31">
        <v>15</v>
      </c>
      <c r="N239" s="31">
        <v>46052</v>
      </c>
      <c r="O239" s="31">
        <v>252</v>
      </c>
      <c r="P239" s="31">
        <v>25000</v>
      </c>
      <c r="Q239" s="31">
        <v>7050</v>
      </c>
      <c r="R239" s="31">
        <v>176250</v>
      </c>
      <c r="S239" s="31" t="s">
        <v>416</v>
      </c>
      <c r="T239" s="31" t="s">
        <v>220</v>
      </c>
      <c r="U239">
        <f>IFERROR(VLOOKUP(C239,Hoja4!$D$4:$E$273,2,FALSE),0)</f>
        <v>0</v>
      </c>
      <c r="V239">
        <f>IFERROR(VLOOKUP(C239,Hoja4!$A$4:$B$273,2,FALSE),0)</f>
        <v>0</v>
      </c>
    </row>
    <row r="240" spans="1:22" x14ac:dyDescent="0.25">
      <c r="A240" s="32"/>
      <c r="B240" s="30" t="s">
        <v>208</v>
      </c>
      <c r="C240" s="30">
        <v>253</v>
      </c>
      <c r="D240" s="30" t="s">
        <v>415</v>
      </c>
      <c r="E240" s="30" t="s">
        <v>415</v>
      </c>
      <c r="F240" s="30"/>
      <c r="G240" s="30" t="s">
        <v>414</v>
      </c>
      <c r="H240" s="30">
        <v>3124021670</v>
      </c>
      <c r="I240" s="30">
        <v>75</v>
      </c>
      <c r="J240" s="30">
        <v>150</v>
      </c>
      <c r="K240" s="30">
        <v>1050</v>
      </c>
      <c r="L240" s="30">
        <v>14</v>
      </c>
      <c r="M240" s="30">
        <v>7</v>
      </c>
      <c r="N240" s="30"/>
      <c r="O240" s="30">
        <v>253</v>
      </c>
      <c r="P240" s="30">
        <v>9523.8095238095229</v>
      </c>
      <c r="Q240" s="30">
        <v>1050</v>
      </c>
      <c r="R240" s="30">
        <v>10000</v>
      </c>
      <c r="S240" s="30" t="s">
        <v>413</v>
      </c>
      <c r="T240" s="30"/>
      <c r="U240">
        <f>IFERROR(VLOOKUP(C240,Hoja4!$D$4:$E$273,2,FALSE),0)</f>
        <v>0</v>
      </c>
      <c r="V240">
        <f>IFERROR(VLOOKUP(C240,Hoja4!$A$4:$B$273,2,FALSE),0)</f>
        <v>0</v>
      </c>
    </row>
    <row r="241" spans="1:22" x14ac:dyDescent="0.25">
      <c r="A241" s="33"/>
      <c r="B241" s="31" t="s">
        <v>208</v>
      </c>
      <c r="C241" s="31">
        <v>254</v>
      </c>
      <c r="D241" s="31" t="s">
        <v>412</v>
      </c>
      <c r="E241" s="31" t="s">
        <v>412</v>
      </c>
      <c r="F241" s="31"/>
      <c r="G241" s="31" t="s">
        <v>411</v>
      </c>
      <c r="H241" s="31">
        <v>3144250722</v>
      </c>
      <c r="I241" s="31">
        <v>65</v>
      </c>
      <c r="J241" s="31">
        <v>130</v>
      </c>
      <c r="K241" s="31">
        <v>1950</v>
      </c>
      <c r="L241" s="31">
        <v>30</v>
      </c>
      <c r="M241" s="31">
        <v>15</v>
      </c>
      <c r="N241" s="31"/>
      <c r="O241" s="31">
        <v>254</v>
      </c>
      <c r="P241" s="31">
        <v>41230.769230769234</v>
      </c>
      <c r="Q241" s="31">
        <v>1950</v>
      </c>
      <c r="R241" s="31">
        <v>80400</v>
      </c>
      <c r="S241" s="31" t="s">
        <v>410</v>
      </c>
      <c r="T241" s="31"/>
      <c r="U241">
        <f>IFERROR(VLOOKUP(C241,Hoja4!$D$4:$E$273,2,FALSE),0)</f>
        <v>0</v>
      </c>
      <c r="V241">
        <f>IFERROR(VLOOKUP(C241,Hoja4!$A$4:$B$273,2,FALSE),0)</f>
        <v>0</v>
      </c>
    </row>
    <row r="242" spans="1:22" x14ac:dyDescent="0.25">
      <c r="A242" s="32">
        <v>0</v>
      </c>
      <c r="B242" s="30" t="s">
        <v>4</v>
      </c>
      <c r="C242" s="30">
        <v>255</v>
      </c>
      <c r="D242" s="30" t="s">
        <v>409</v>
      </c>
      <c r="E242" s="30" t="s">
        <v>408</v>
      </c>
      <c r="F242" s="30"/>
      <c r="G242" s="30" t="s">
        <v>26</v>
      </c>
      <c r="H242" s="30"/>
      <c r="I242" s="30">
        <v>0</v>
      </c>
      <c r="J242" s="30">
        <v>0</v>
      </c>
      <c r="K242" s="30">
        <v>0</v>
      </c>
      <c r="L242" s="30"/>
      <c r="M242" s="30"/>
      <c r="N242" s="30"/>
      <c r="O242" s="30">
        <v>255</v>
      </c>
      <c r="P242" s="30"/>
      <c r="Q242" s="30">
        <v>0</v>
      </c>
      <c r="R242" s="30">
        <v>0</v>
      </c>
      <c r="S242" s="30"/>
      <c r="T242" s="30"/>
      <c r="U242">
        <f>IFERROR(VLOOKUP(C242,Hoja4!$D$4:$E$273,2,FALSE),0)</f>
        <v>0</v>
      </c>
      <c r="V242">
        <f>IFERROR(VLOOKUP(C242,Hoja4!$A$4:$B$273,2,FALSE),0)</f>
        <v>0</v>
      </c>
    </row>
    <row r="243" spans="1:22" x14ac:dyDescent="0.25">
      <c r="A243" s="33">
        <v>46070</v>
      </c>
      <c r="B243" s="31" t="s">
        <v>63</v>
      </c>
      <c r="C243" s="31">
        <v>256</v>
      </c>
      <c r="D243" s="31" t="s">
        <v>407</v>
      </c>
      <c r="E243" s="31" t="s">
        <v>407</v>
      </c>
      <c r="F243" s="31"/>
      <c r="G243" s="31" t="s">
        <v>406</v>
      </c>
      <c r="H243" s="31">
        <v>3208294365</v>
      </c>
      <c r="I243" s="31">
        <v>180</v>
      </c>
      <c r="J243" s="31">
        <v>540</v>
      </c>
      <c r="K243" s="31">
        <v>8100</v>
      </c>
      <c r="L243" s="31">
        <v>45</v>
      </c>
      <c r="M243" s="31">
        <v>15</v>
      </c>
      <c r="N243" s="31">
        <v>46085</v>
      </c>
      <c r="O243" s="31">
        <v>256</v>
      </c>
      <c r="P243" s="31">
        <v>27000</v>
      </c>
      <c r="Q243" s="31">
        <v>8100</v>
      </c>
      <c r="R243" s="31">
        <v>218700</v>
      </c>
      <c r="S243" s="31" t="s">
        <v>405</v>
      </c>
      <c r="T243" s="31" t="s">
        <v>404</v>
      </c>
      <c r="U243">
        <f>IFERROR(VLOOKUP(C243,Hoja4!$D$4:$E$273,2,FALSE),0)</f>
        <v>218700</v>
      </c>
      <c r="V243">
        <f>IFERROR(VLOOKUP(C243,Hoja4!$A$4:$B$273,2,FALSE),0)</f>
        <v>0</v>
      </c>
    </row>
    <row r="244" spans="1:22" x14ac:dyDescent="0.25">
      <c r="A244" s="32">
        <v>46064</v>
      </c>
      <c r="B244" s="30" t="s">
        <v>63</v>
      </c>
      <c r="C244" s="30">
        <v>257</v>
      </c>
      <c r="D244" s="30" t="s">
        <v>403</v>
      </c>
      <c r="E244" s="30" t="s">
        <v>403</v>
      </c>
      <c r="F244" s="30"/>
      <c r="G244" s="30" t="s">
        <v>402</v>
      </c>
      <c r="H244" s="30">
        <v>3134939137</v>
      </c>
      <c r="I244" s="30">
        <v>110</v>
      </c>
      <c r="J244" s="30">
        <v>220</v>
      </c>
      <c r="K244" s="30">
        <v>3300</v>
      </c>
      <c r="L244" s="30">
        <v>30</v>
      </c>
      <c r="M244" s="30">
        <v>15</v>
      </c>
      <c r="N244" s="30">
        <v>46079</v>
      </c>
      <c r="O244" s="30">
        <v>257</v>
      </c>
      <c r="P244" s="30">
        <v>41515.151515151512</v>
      </c>
      <c r="Q244" s="30">
        <v>3300</v>
      </c>
      <c r="R244" s="30">
        <v>137000</v>
      </c>
      <c r="S244" s="30" t="s">
        <v>401</v>
      </c>
      <c r="T244" s="30" t="s">
        <v>400</v>
      </c>
      <c r="U244">
        <f>IFERROR(VLOOKUP(C244,Hoja4!$D$4:$E$273,2,FALSE),0)</f>
        <v>0</v>
      </c>
      <c r="V244">
        <f>IFERROR(VLOOKUP(C244,Hoja4!$A$4:$B$273,2,FALSE),0)</f>
        <v>0</v>
      </c>
    </row>
    <row r="245" spans="1:22" x14ac:dyDescent="0.25">
      <c r="A245" s="33"/>
      <c r="B245" s="31" t="s">
        <v>208</v>
      </c>
      <c r="C245" s="31">
        <v>258</v>
      </c>
      <c r="D245" s="31" t="s">
        <v>399</v>
      </c>
      <c r="E245" s="31" t="s">
        <v>399</v>
      </c>
      <c r="F245" s="31"/>
      <c r="G245" s="31" t="s">
        <v>398</v>
      </c>
      <c r="H245" s="31">
        <v>3125952260</v>
      </c>
      <c r="I245" s="31">
        <v>50</v>
      </c>
      <c r="J245" s="31">
        <v>100</v>
      </c>
      <c r="K245" s="31">
        <v>700</v>
      </c>
      <c r="L245" s="31">
        <v>14</v>
      </c>
      <c r="M245" s="31">
        <v>7</v>
      </c>
      <c r="N245" s="31"/>
      <c r="O245" s="31">
        <v>258</v>
      </c>
      <c r="P245" s="31">
        <v>14285.714285714286</v>
      </c>
      <c r="Q245" s="31">
        <v>700</v>
      </c>
      <c r="R245" s="31">
        <v>10000</v>
      </c>
      <c r="S245" s="31" t="s">
        <v>397</v>
      </c>
      <c r="T245" s="31"/>
      <c r="U245">
        <f>IFERROR(VLOOKUP(C245,Hoja4!$D$4:$E$273,2,FALSE),0)</f>
        <v>0</v>
      </c>
      <c r="V245">
        <f>IFERROR(VLOOKUP(C245,Hoja4!$A$4:$B$273,2,FALSE),0)</f>
        <v>0</v>
      </c>
    </row>
    <row r="246" spans="1:22" x14ac:dyDescent="0.25">
      <c r="A246" s="32"/>
      <c r="B246" s="30" t="s">
        <v>208</v>
      </c>
      <c r="C246" s="30">
        <v>259</v>
      </c>
      <c r="D246" s="30" t="s">
        <v>396</v>
      </c>
      <c r="E246" s="30" t="s">
        <v>395</v>
      </c>
      <c r="F246" s="30"/>
      <c r="G246" s="30" t="s">
        <v>394</v>
      </c>
      <c r="H246" s="30">
        <v>3015802694</v>
      </c>
      <c r="I246" s="30">
        <v>85</v>
      </c>
      <c r="J246" s="30">
        <v>170</v>
      </c>
      <c r="K246" s="30">
        <v>1190</v>
      </c>
      <c r="L246" s="30">
        <v>14</v>
      </c>
      <c r="M246" s="30">
        <v>7</v>
      </c>
      <c r="N246" s="30"/>
      <c r="O246" s="30">
        <v>259</v>
      </c>
      <c r="P246" s="30">
        <v>82184.873949579836</v>
      </c>
      <c r="Q246" s="30">
        <v>1190</v>
      </c>
      <c r="R246" s="30">
        <v>97800</v>
      </c>
      <c r="S246" s="30" t="s">
        <v>393</v>
      </c>
      <c r="T246" s="30"/>
      <c r="U246">
        <f>IFERROR(VLOOKUP(C246,Hoja4!$D$4:$E$273,2,FALSE),0)</f>
        <v>0</v>
      </c>
      <c r="V246">
        <f>IFERROR(VLOOKUP(C246,Hoja4!$A$4:$B$273,2,FALSE),0)</f>
        <v>0</v>
      </c>
    </row>
    <row r="247" spans="1:22" x14ac:dyDescent="0.25">
      <c r="A247" s="33">
        <v>46062</v>
      </c>
      <c r="B247" s="31" t="s">
        <v>63</v>
      </c>
      <c r="C247" s="31">
        <v>260</v>
      </c>
      <c r="D247" s="31" t="s">
        <v>392</v>
      </c>
      <c r="E247" s="31" t="s">
        <v>391</v>
      </c>
      <c r="F247" s="31"/>
      <c r="G247" s="31" t="s">
        <v>390</v>
      </c>
      <c r="H247" s="31">
        <v>3144130865</v>
      </c>
      <c r="I247" s="31">
        <v>135</v>
      </c>
      <c r="J247" s="31">
        <v>270</v>
      </c>
      <c r="K247" s="31">
        <v>4050</v>
      </c>
      <c r="L247" s="31">
        <v>30</v>
      </c>
      <c r="M247" s="31">
        <v>15</v>
      </c>
      <c r="N247" s="31">
        <v>46077</v>
      </c>
      <c r="O247" s="31">
        <v>260</v>
      </c>
      <c r="P247" s="31">
        <v>33481.481481481482</v>
      </c>
      <c r="Q247" s="31">
        <v>4050</v>
      </c>
      <c r="R247" s="31">
        <v>135600</v>
      </c>
      <c r="S247" s="31" t="s">
        <v>389</v>
      </c>
      <c r="T247" s="31" t="s">
        <v>273</v>
      </c>
      <c r="U247">
        <f>IFERROR(VLOOKUP(C247,Hoja4!$D$4:$E$273,2,FALSE),0)</f>
        <v>0</v>
      </c>
      <c r="V247">
        <f>IFERROR(VLOOKUP(C247,Hoja4!$A$4:$B$273,2,FALSE),0)</f>
        <v>0</v>
      </c>
    </row>
    <row r="248" spans="1:22" x14ac:dyDescent="0.25">
      <c r="A248" s="32">
        <v>46063</v>
      </c>
      <c r="B248" s="30" t="s">
        <v>63</v>
      </c>
      <c r="C248" s="30">
        <v>261</v>
      </c>
      <c r="D248" s="30" t="s">
        <v>388</v>
      </c>
      <c r="E248" s="30" t="s">
        <v>388</v>
      </c>
      <c r="F248" s="30"/>
      <c r="G248" s="30" t="s">
        <v>387</v>
      </c>
      <c r="H248" s="30">
        <v>3208119637</v>
      </c>
      <c r="I248" s="30">
        <v>200</v>
      </c>
      <c r="J248" s="30">
        <v>400</v>
      </c>
      <c r="K248" s="30">
        <v>6000</v>
      </c>
      <c r="L248" s="30">
        <v>30</v>
      </c>
      <c r="M248" s="30">
        <v>15</v>
      </c>
      <c r="N248" s="30">
        <v>46078</v>
      </c>
      <c r="O248" s="30">
        <v>261</v>
      </c>
      <c r="P248" s="30">
        <v>37000</v>
      </c>
      <c r="Q248" s="30">
        <v>6000</v>
      </c>
      <c r="R248" s="30">
        <v>222000</v>
      </c>
      <c r="S248" s="30" t="s">
        <v>386</v>
      </c>
      <c r="T248" s="30" t="s">
        <v>385</v>
      </c>
      <c r="U248">
        <f>IFERROR(VLOOKUP(C248,Hoja4!$D$4:$E$273,2,FALSE),0)</f>
        <v>0</v>
      </c>
      <c r="V248">
        <f>IFERROR(VLOOKUP(C248,Hoja4!$A$4:$B$273,2,FALSE),0)</f>
        <v>0</v>
      </c>
    </row>
    <row r="249" spans="1:22" x14ac:dyDescent="0.25">
      <c r="A249" s="33">
        <v>46063</v>
      </c>
      <c r="B249" s="31" t="s">
        <v>63</v>
      </c>
      <c r="C249" s="31">
        <v>262</v>
      </c>
      <c r="D249" s="31" t="s">
        <v>384</v>
      </c>
      <c r="E249" s="31" t="s">
        <v>384</v>
      </c>
      <c r="F249" s="31"/>
      <c r="G249" s="31" t="s">
        <v>383</v>
      </c>
      <c r="H249" s="31">
        <v>3202548747</v>
      </c>
      <c r="I249" s="31">
        <v>316</v>
      </c>
      <c r="J249" s="31">
        <v>950</v>
      </c>
      <c r="K249" s="31">
        <v>14250</v>
      </c>
      <c r="L249" s="31">
        <v>45.094936708860757</v>
      </c>
      <c r="M249" s="31">
        <v>15</v>
      </c>
      <c r="N249" s="31">
        <v>46078</v>
      </c>
      <c r="O249" s="31">
        <v>262</v>
      </c>
      <c r="P249" s="31">
        <v>27109.704641350218</v>
      </c>
      <c r="Q249" s="31">
        <v>14220</v>
      </c>
      <c r="R249" s="31">
        <v>385500</v>
      </c>
      <c r="S249" s="31" t="s">
        <v>382</v>
      </c>
      <c r="T249" s="31"/>
      <c r="U249">
        <f>IFERROR(VLOOKUP(C249,Hoja4!$D$4:$E$273,2,FALSE),0)</f>
        <v>0</v>
      </c>
      <c r="V249">
        <f>IFERROR(VLOOKUP(C249,Hoja4!$A$4:$B$273,2,FALSE),0)</f>
        <v>0</v>
      </c>
    </row>
    <row r="250" spans="1:22" x14ac:dyDescent="0.25">
      <c r="A250" s="32">
        <v>46065</v>
      </c>
      <c r="B250" s="30" t="s">
        <v>63</v>
      </c>
      <c r="C250" s="30">
        <v>263</v>
      </c>
      <c r="D250" s="30" t="s">
        <v>381</v>
      </c>
      <c r="E250" s="30" t="s">
        <v>381</v>
      </c>
      <c r="F250" s="30"/>
      <c r="G250" s="30" t="s">
        <v>380</v>
      </c>
      <c r="H250" s="30">
        <v>3204698185</v>
      </c>
      <c r="I250" s="30">
        <v>70</v>
      </c>
      <c r="J250" s="30">
        <v>70</v>
      </c>
      <c r="K250" s="30">
        <v>1050</v>
      </c>
      <c r="L250" s="30">
        <v>15</v>
      </c>
      <c r="M250" s="30">
        <v>15</v>
      </c>
      <c r="N250" s="30">
        <v>46080</v>
      </c>
      <c r="O250" s="30">
        <v>263</v>
      </c>
      <c r="P250" s="30">
        <v>41000</v>
      </c>
      <c r="Q250" s="30">
        <v>1050</v>
      </c>
      <c r="R250" s="30">
        <v>43050</v>
      </c>
      <c r="S250" s="30" t="s">
        <v>379</v>
      </c>
      <c r="T250" s="30" t="s">
        <v>378</v>
      </c>
      <c r="U250">
        <f>IFERROR(VLOOKUP(C250,Hoja4!$D$4:$E$273,2,FALSE),0)</f>
        <v>0</v>
      </c>
      <c r="V250">
        <f>IFERROR(VLOOKUP(C250,Hoja4!$A$4:$B$273,2,FALSE),0)</f>
        <v>900</v>
      </c>
    </row>
    <row r="251" spans="1:22" x14ac:dyDescent="0.25">
      <c r="A251" s="33">
        <v>46071</v>
      </c>
      <c r="B251" s="31" t="s">
        <v>63</v>
      </c>
      <c r="C251" s="31">
        <v>264</v>
      </c>
      <c r="D251" s="31" t="s">
        <v>377</v>
      </c>
      <c r="E251" s="31" t="s">
        <v>377</v>
      </c>
      <c r="F251" s="31"/>
      <c r="G251" s="31" t="s">
        <v>376</v>
      </c>
      <c r="H251" s="31">
        <v>3193187152</v>
      </c>
      <c r="I251" s="31">
        <v>170</v>
      </c>
      <c r="J251" s="31">
        <v>170</v>
      </c>
      <c r="K251" s="31">
        <v>2550</v>
      </c>
      <c r="L251" s="31">
        <v>15</v>
      </c>
      <c r="M251" s="31">
        <v>15</v>
      </c>
      <c r="N251" s="31">
        <v>46086</v>
      </c>
      <c r="O251" s="31">
        <v>264</v>
      </c>
      <c r="P251" s="31">
        <v>42000</v>
      </c>
      <c r="Q251" s="31">
        <v>2550</v>
      </c>
      <c r="R251" s="31">
        <v>107100</v>
      </c>
      <c r="S251" s="31" t="s">
        <v>375</v>
      </c>
      <c r="T251" s="31" t="s">
        <v>374</v>
      </c>
      <c r="U251">
        <f>IFERROR(VLOOKUP(C251,Hoja4!$D$4:$E$273,2,FALSE),0)</f>
        <v>107100</v>
      </c>
      <c r="V251">
        <f>IFERROR(VLOOKUP(C251,Hoja4!$A$4:$B$273,2,FALSE),0)</f>
        <v>0</v>
      </c>
    </row>
    <row r="252" spans="1:22" x14ac:dyDescent="0.25">
      <c r="A252" s="32"/>
      <c r="B252" s="30" t="s">
        <v>208</v>
      </c>
      <c r="C252" s="30">
        <v>265</v>
      </c>
      <c r="D252" s="30" t="s">
        <v>373</v>
      </c>
      <c r="E252" s="30" t="s">
        <v>373</v>
      </c>
      <c r="F252" s="30"/>
      <c r="G252" s="30" t="s">
        <v>372</v>
      </c>
      <c r="H252" s="30">
        <v>3124871923</v>
      </c>
      <c r="I252" s="30">
        <v>34</v>
      </c>
      <c r="J252" s="30">
        <v>102</v>
      </c>
      <c r="K252" s="30">
        <v>1530</v>
      </c>
      <c r="L252" s="30">
        <v>45</v>
      </c>
      <c r="M252" s="30">
        <v>15</v>
      </c>
      <c r="N252" s="30"/>
      <c r="O252" s="30">
        <v>265</v>
      </c>
      <c r="P252" s="30">
        <v>42810.457516339869</v>
      </c>
      <c r="Q252" s="30">
        <v>1530</v>
      </c>
      <c r="R252" s="30">
        <v>65500</v>
      </c>
      <c r="S252" s="30" t="s">
        <v>371</v>
      </c>
      <c r="T252" s="30" t="s">
        <v>370</v>
      </c>
      <c r="U252">
        <f>IFERROR(VLOOKUP(C252,Hoja4!$D$4:$E$273,2,FALSE),0)</f>
        <v>0</v>
      </c>
      <c r="V252">
        <f>IFERROR(VLOOKUP(C252,Hoja4!$A$4:$B$273,2,FALSE),0)</f>
        <v>0</v>
      </c>
    </row>
    <row r="253" spans="1:22" x14ac:dyDescent="0.25">
      <c r="A253" s="33"/>
      <c r="B253" s="31" t="s">
        <v>208</v>
      </c>
      <c r="C253" s="31">
        <v>266</v>
      </c>
      <c r="D253" s="31" t="s">
        <v>369</v>
      </c>
      <c r="E253" s="31" t="s">
        <v>369</v>
      </c>
      <c r="F253" s="31" t="s">
        <v>368</v>
      </c>
      <c r="G253" s="31" t="s">
        <v>367</v>
      </c>
      <c r="H253" s="31">
        <v>3143420660</v>
      </c>
      <c r="I253" s="31">
        <v>100</v>
      </c>
      <c r="J253" s="31">
        <v>200</v>
      </c>
      <c r="K253" s="31">
        <v>3000</v>
      </c>
      <c r="L253" s="31">
        <v>30</v>
      </c>
      <c r="M253" s="31">
        <v>15</v>
      </c>
      <c r="N253" s="31"/>
      <c r="O253" s="31">
        <v>266</v>
      </c>
      <c r="P253" s="31">
        <v>38000</v>
      </c>
      <c r="Q253" s="31">
        <v>3000</v>
      </c>
      <c r="R253" s="31">
        <v>114000</v>
      </c>
      <c r="S253" s="31" t="s">
        <v>366</v>
      </c>
      <c r="T253" s="31"/>
      <c r="U253">
        <f>IFERROR(VLOOKUP(C253,Hoja4!$D$4:$E$273,2,FALSE),0)</f>
        <v>0</v>
      </c>
      <c r="V253">
        <f>IFERROR(VLOOKUP(C253,Hoja4!$A$4:$B$273,2,FALSE),0)</f>
        <v>0</v>
      </c>
    </row>
    <row r="254" spans="1:22" x14ac:dyDescent="0.25">
      <c r="A254" s="32"/>
      <c r="B254" s="30" t="s">
        <v>208</v>
      </c>
      <c r="C254" s="30">
        <v>267</v>
      </c>
      <c r="D254" s="30" t="s">
        <v>365</v>
      </c>
      <c r="E254" s="30" t="s">
        <v>364</v>
      </c>
      <c r="F254" s="30"/>
      <c r="G254" s="30" t="s">
        <v>363</v>
      </c>
      <c r="H254" s="30">
        <v>3027081180</v>
      </c>
      <c r="I254" s="30">
        <v>180</v>
      </c>
      <c r="J254" s="30">
        <v>180</v>
      </c>
      <c r="K254" s="30">
        <v>1260</v>
      </c>
      <c r="L254" s="30">
        <v>7</v>
      </c>
      <c r="M254" s="30">
        <v>7</v>
      </c>
      <c r="N254" s="30"/>
      <c r="O254" s="30">
        <v>267</v>
      </c>
      <c r="P254" s="30">
        <v>7936.5079365079364</v>
      </c>
      <c r="Q254" s="30">
        <v>1260</v>
      </c>
      <c r="R254" s="30">
        <v>10000</v>
      </c>
      <c r="S254" s="30" t="s">
        <v>362</v>
      </c>
      <c r="T254" s="30"/>
      <c r="U254">
        <f>IFERROR(VLOOKUP(C254,Hoja4!$D$4:$E$273,2,FALSE),0)</f>
        <v>0</v>
      </c>
      <c r="V254">
        <f>IFERROR(VLOOKUP(C254,Hoja4!$A$4:$B$273,2,FALSE),0)</f>
        <v>0</v>
      </c>
    </row>
    <row r="255" spans="1:22" x14ac:dyDescent="0.25">
      <c r="A255" s="33">
        <v>46071</v>
      </c>
      <c r="B255" s="31" t="s">
        <v>63</v>
      </c>
      <c r="C255" s="31">
        <v>268</v>
      </c>
      <c r="D255" s="31" t="s">
        <v>361</v>
      </c>
      <c r="E255" s="31" t="s">
        <v>361</v>
      </c>
      <c r="F255" s="31"/>
      <c r="G255" s="31" t="s">
        <v>360</v>
      </c>
      <c r="H255" s="31">
        <v>3002776351</v>
      </c>
      <c r="I255" s="31">
        <v>180</v>
      </c>
      <c r="J255" s="31">
        <v>360</v>
      </c>
      <c r="K255" s="31">
        <v>5400</v>
      </c>
      <c r="L255" s="31">
        <v>30</v>
      </c>
      <c r="M255" s="31">
        <v>15</v>
      </c>
      <c r="N255" s="31">
        <v>46086</v>
      </c>
      <c r="O255" s="31">
        <v>268</v>
      </c>
      <c r="P255" s="31">
        <v>25000</v>
      </c>
      <c r="Q255" s="31">
        <v>5400</v>
      </c>
      <c r="R255" s="31">
        <v>135000</v>
      </c>
      <c r="S255" s="31" t="s">
        <v>359</v>
      </c>
      <c r="T255" s="31" t="s">
        <v>358</v>
      </c>
      <c r="U255">
        <f>IFERROR(VLOOKUP(C255,Hoja4!$D$4:$E$273,2,FALSE),0)</f>
        <v>134300</v>
      </c>
      <c r="V255">
        <f>IFERROR(VLOOKUP(C255,Hoja4!$A$4:$B$273,2,FALSE),0)</f>
        <v>0</v>
      </c>
    </row>
    <row r="256" spans="1:22" x14ac:dyDescent="0.25">
      <c r="A256" s="32">
        <v>46055</v>
      </c>
      <c r="B256" s="30" t="s">
        <v>63</v>
      </c>
      <c r="C256" s="30">
        <v>269</v>
      </c>
      <c r="D256" s="30" t="s">
        <v>357</v>
      </c>
      <c r="E256" s="30" t="s">
        <v>357</v>
      </c>
      <c r="F256" s="30"/>
      <c r="G256" s="30" t="s">
        <v>356</v>
      </c>
      <c r="H256" s="30">
        <v>3123733590</v>
      </c>
      <c r="I256" s="30">
        <v>200</v>
      </c>
      <c r="J256" s="30">
        <v>200</v>
      </c>
      <c r="K256" s="30">
        <v>3000</v>
      </c>
      <c r="L256" s="30">
        <v>15</v>
      </c>
      <c r="M256" s="30">
        <v>15</v>
      </c>
      <c r="N256" s="30">
        <v>46070</v>
      </c>
      <c r="O256" s="30">
        <v>269</v>
      </c>
      <c r="P256" s="30">
        <v>33500</v>
      </c>
      <c r="Q256" s="30">
        <v>3000</v>
      </c>
      <c r="R256" s="30">
        <v>100500</v>
      </c>
      <c r="S256" s="30" t="s">
        <v>355</v>
      </c>
      <c r="T256" s="30" t="s">
        <v>354</v>
      </c>
      <c r="U256">
        <f>IFERROR(VLOOKUP(C256,Hoja4!$D$4:$E$273,2,FALSE),0)</f>
        <v>0</v>
      </c>
      <c r="V256">
        <f>IFERROR(VLOOKUP(C256,Hoja4!$A$4:$B$273,2,FALSE),0)</f>
        <v>75000</v>
      </c>
    </row>
    <row r="257" spans="1:22" x14ac:dyDescent="0.25">
      <c r="A257" s="33"/>
      <c r="B257" s="31" t="s">
        <v>208</v>
      </c>
      <c r="C257" s="31">
        <v>270</v>
      </c>
      <c r="D257" s="31" t="s">
        <v>353</v>
      </c>
      <c r="E257" s="31" t="s">
        <v>353</v>
      </c>
      <c r="F257" s="31"/>
      <c r="G257" s="31" t="s">
        <v>352</v>
      </c>
      <c r="H257" s="31">
        <v>3202342573</v>
      </c>
      <c r="I257" s="31">
        <v>115</v>
      </c>
      <c r="J257" s="31">
        <v>230</v>
      </c>
      <c r="K257" s="31">
        <v>1610</v>
      </c>
      <c r="L257" s="31">
        <v>14</v>
      </c>
      <c r="M257" s="31">
        <v>7</v>
      </c>
      <c r="N257" s="31"/>
      <c r="O257" s="31">
        <v>270</v>
      </c>
      <c r="P257" s="31">
        <v>36149.068322981366</v>
      </c>
      <c r="Q257" s="31">
        <v>1610</v>
      </c>
      <c r="R257" s="31">
        <v>58200</v>
      </c>
      <c r="S257" s="31" t="s">
        <v>351</v>
      </c>
      <c r="T257" s="31" t="s">
        <v>350</v>
      </c>
      <c r="U257">
        <f>IFERROR(VLOOKUP(C257,Hoja4!$D$4:$E$273,2,FALSE),0)</f>
        <v>0</v>
      </c>
      <c r="V257">
        <f>IFERROR(VLOOKUP(C257,Hoja4!$A$4:$B$273,2,FALSE),0)</f>
        <v>0</v>
      </c>
    </row>
    <row r="258" spans="1:22" x14ac:dyDescent="0.25">
      <c r="A258" s="32">
        <v>46059</v>
      </c>
      <c r="B258" s="30" t="s">
        <v>63</v>
      </c>
      <c r="C258" s="30">
        <v>271</v>
      </c>
      <c r="D258" s="30" t="s">
        <v>349</v>
      </c>
      <c r="E258" s="30" t="s">
        <v>349</v>
      </c>
      <c r="F258" s="30"/>
      <c r="G258" s="30" t="s">
        <v>348</v>
      </c>
      <c r="H258" s="30">
        <v>3124298893</v>
      </c>
      <c r="I258" s="30">
        <v>150</v>
      </c>
      <c r="J258" s="30">
        <v>450</v>
      </c>
      <c r="K258" s="30">
        <v>6750</v>
      </c>
      <c r="L258" s="30">
        <v>45</v>
      </c>
      <c r="M258" s="30">
        <v>15</v>
      </c>
      <c r="N258" s="30">
        <v>46074</v>
      </c>
      <c r="O258" s="30">
        <v>271</v>
      </c>
      <c r="P258" s="30">
        <v>30000</v>
      </c>
      <c r="Q258" s="30">
        <v>6750</v>
      </c>
      <c r="R258" s="30">
        <v>202500</v>
      </c>
      <c r="S258" s="30" t="s">
        <v>347</v>
      </c>
      <c r="T258" s="30" t="s">
        <v>346</v>
      </c>
      <c r="U258">
        <f>IFERROR(VLOOKUP(C258,Hoja4!$D$4:$E$273,2,FALSE),0)</f>
        <v>0</v>
      </c>
      <c r="V258">
        <f>IFERROR(VLOOKUP(C258,Hoja4!$A$4:$B$273,2,FALSE),0)</f>
        <v>0</v>
      </c>
    </row>
    <row r="259" spans="1:22" x14ac:dyDescent="0.25">
      <c r="A259" s="33"/>
      <c r="B259" s="31" t="s">
        <v>208</v>
      </c>
      <c r="C259" s="31">
        <v>272</v>
      </c>
      <c r="D259" s="31" t="s">
        <v>345</v>
      </c>
      <c r="E259" s="31" t="s">
        <v>345</v>
      </c>
      <c r="F259" s="31"/>
      <c r="G259" s="31" t="s">
        <v>344</v>
      </c>
      <c r="H259" s="31">
        <v>3103055919</v>
      </c>
      <c r="I259" s="31">
        <v>150</v>
      </c>
      <c r="J259" s="31">
        <v>300</v>
      </c>
      <c r="K259" s="31">
        <v>4500</v>
      </c>
      <c r="L259" s="31">
        <v>30</v>
      </c>
      <c r="M259" s="31">
        <v>15</v>
      </c>
      <c r="N259" s="31"/>
      <c r="O259" s="31">
        <v>272</v>
      </c>
      <c r="P259" s="31">
        <v>26000</v>
      </c>
      <c r="Q259" s="31">
        <v>4500</v>
      </c>
      <c r="R259" s="31">
        <v>117000</v>
      </c>
      <c r="S259" s="31" t="s">
        <v>343</v>
      </c>
      <c r="T259" s="31" t="s">
        <v>342</v>
      </c>
      <c r="U259">
        <f>IFERROR(VLOOKUP(C259,Hoja4!$D$4:$E$273,2,FALSE),0)</f>
        <v>0</v>
      </c>
      <c r="V259">
        <f>IFERROR(VLOOKUP(C259,Hoja4!$A$4:$B$273,2,FALSE),0)</f>
        <v>0</v>
      </c>
    </row>
    <row r="260" spans="1:22" x14ac:dyDescent="0.25">
      <c r="A260" s="32">
        <v>46066</v>
      </c>
      <c r="B260" s="30" t="s">
        <v>63</v>
      </c>
      <c r="C260" s="30">
        <v>273</v>
      </c>
      <c r="D260" s="30" t="s">
        <v>341</v>
      </c>
      <c r="E260" s="30" t="s">
        <v>341</v>
      </c>
      <c r="F260" s="30"/>
      <c r="G260" s="30" t="s">
        <v>340</v>
      </c>
      <c r="H260" s="30">
        <v>3218940510</v>
      </c>
      <c r="I260" s="30">
        <v>120</v>
      </c>
      <c r="J260" s="30">
        <v>240</v>
      </c>
      <c r="K260" s="30">
        <v>1680</v>
      </c>
      <c r="L260" s="30">
        <v>14</v>
      </c>
      <c r="M260" s="30">
        <v>7</v>
      </c>
      <c r="N260" s="30">
        <v>46073</v>
      </c>
      <c r="O260" s="30">
        <v>273</v>
      </c>
      <c r="P260" s="30">
        <v>41964.285714285717</v>
      </c>
      <c r="Q260" s="30">
        <v>1680</v>
      </c>
      <c r="R260" s="30">
        <v>70500</v>
      </c>
      <c r="S260" s="30" t="s">
        <v>339</v>
      </c>
      <c r="T260" s="30" t="s">
        <v>338</v>
      </c>
      <c r="U260">
        <f>IFERROR(VLOOKUP(C260,Hoja4!$D$4:$E$273,2,FALSE),0)</f>
        <v>70380</v>
      </c>
      <c r="V260">
        <f>IFERROR(VLOOKUP(C260,Hoja4!$A$4:$B$273,2,FALSE),0)</f>
        <v>0</v>
      </c>
    </row>
    <row r="261" spans="1:22" x14ac:dyDescent="0.25">
      <c r="A261" s="33"/>
      <c r="B261" s="31" t="s">
        <v>208</v>
      </c>
      <c r="C261" s="31">
        <v>274</v>
      </c>
      <c r="D261" s="31" t="s">
        <v>337</v>
      </c>
      <c r="E261" s="31" t="s">
        <v>336</v>
      </c>
      <c r="F261" s="31"/>
      <c r="G261" s="31" t="s">
        <v>335</v>
      </c>
      <c r="H261" s="31">
        <v>3183876221</v>
      </c>
      <c r="I261" s="31">
        <v>160</v>
      </c>
      <c r="J261" s="31">
        <v>320</v>
      </c>
      <c r="K261" s="31">
        <v>2240</v>
      </c>
      <c r="L261" s="31">
        <v>14</v>
      </c>
      <c r="M261" s="31">
        <v>7</v>
      </c>
      <c r="N261" s="31"/>
      <c r="O261" s="31">
        <v>274</v>
      </c>
      <c r="P261" s="31">
        <v>39910.714285714283</v>
      </c>
      <c r="Q261" s="31">
        <v>2240</v>
      </c>
      <c r="R261" s="31">
        <v>89400</v>
      </c>
      <c r="S261" s="31" t="s">
        <v>334</v>
      </c>
      <c r="T261" s="31" t="s">
        <v>333</v>
      </c>
      <c r="U261">
        <f>IFERROR(VLOOKUP(C261,Hoja4!$D$4:$E$273,2,FALSE),0)</f>
        <v>0</v>
      </c>
      <c r="V261">
        <f>IFERROR(VLOOKUP(C261,Hoja4!$A$4:$B$273,2,FALSE),0)</f>
        <v>0</v>
      </c>
    </row>
    <row r="262" spans="1:22" x14ac:dyDescent="0.25">
      <c r="A262" s="32">
        <v>46069</v>
      </c>
      <c r="B262" s="30" t="s">
        <v>63</v>
      </c>
      <c r="C262" s="30">
        <v>275</v>
      </c>
      <c r="D262" s="30" t="s">
        <v>332</v>
      </c>
      <c r="E262" s="30" t="s">
        <v>331</v>
      </c>
      <c r="F262" s="30"/>
      <c r="G262" s="30" t="s">
        <v>330</v>
      </c>
      <c r="H262" s="30">
        <v>3165294356</v>
      </c>
      <c r="I262" s="30">
        <v>153</v>
      </c>
      <c r="J262" s="30">
        <v>459</v>
      </c>
      <c r="K262" s="30">
        <v>6885</v>
      </c>
      <c r="L262" s="30">
        <v>45</v>
      </c>
      <c r="M262" s="30">
        <v>15</v>
      </c>
      <c r="N262" s="30">
        <v>46084</v>
      </c>
      <c r="O262" s="30">
        <v>275</v>
      </c>
      <c r="P262" s="30">
        <v>28000</v>
      </c>
      <c r="Q262" s="30">
        <v>6885</v>
      </c>
      <c r="R262" s="30">
        <v>192780</v>
      </c>
      <c r="S262" s="30" t="s">
        <v>329</v>
      </c>
      <c r="T262" s="30" t="s">
        <v>328</v>
      </c>
      <c r="U262">
        <f>IFERROR(VLOOKUP(C262,Hoja4!$D$4:$E$273,2,FALSE),0)</f>
        <v>192780</v>
      </c>
      <c r="V262">
        <f>IFERROR(VLOOKUP(C262,Hoja4!$A$4:$B$273,2,FALSE),0)</f>
        <v>0</v>
      </c>
    </row>
    <row r="263" spans="1:22" x14ac:dyDescent="0.25">
      <c r="A263" s="33">
        <v>46065</v>
      </c>
      <c r="B263" s="31" t="s">
        <v>63</v>
      </c>
      <c r="C263" s="31">
        <v>276</v>
      </c>
      <c r="D263" s="31" t="s">
        <v>327</v>
      </c>
      <c r="E263" s="31" t="s">
        <v>327</v>
      </c>
      <c r="F263" s="31"/>
      <c r="G263" s="31" t="s">
        <v>326</v>
      </c>
      <c r="H263" s="31">
        <v>3046129451</v>
      </c>
      <c r="I263" s="31">
        <v>160</v>
      </c>
      <c r="J263" s="31">
        <v>360</v>
      </c>
      <c r="K263" s="31">
        <v>4800</v>
      </c>
      <c r="L263" s="31">
        <v>30</v>
      </c>
      <c r="M263" s="31">
        <v>13.333333333333334</v>
      </c>
      <c r="N263" s="31">
        <v>46078.333333333336</v>
      </c>
      <c r="O263" s="31">
        <v>276</v>
      </c>
      <c r="P263" s="31">
        <v>30000</v>
      </c>
      <c r="Q263" s="31">
        <v>4800</v>
      </c>
      <c r="R263" s="31">
        <v>144000</v>
      </c>
      <c r="S263" s="31" t="s">
        <v>325</v>
      </c>
      <c r="T263" s="31" t="s">
        <v>324</v>
      </c>
      <c r="U263">
        <f>IFERROR(VLOOKUP(C263,Hoja4!$D$4:$E$273,2,FALSE),0)</f>
        <v>0</v>
      </c>
      <c r="V263">
        <f>IFERROR(VLOOKUP(C263,Hoja4!$A$4:$B$273,2,FALSE),0)</f>
        <v>0</v>
      </c>
    </row>
    <row r="264" spans="1:22" x14ac:dyDescent="0.25">
      <c r="A264" s="32"/>
      <c r="B264" s="30" t="s">
        <v>208</v>
      </c>
      <c r="C264" s="30">
        <v>277</v>
      </c>
      <c r="D264" s="30" t="s">
        <v>323</v>
      </c>
      <c r="E264" s="30" t="s">
        <v>323</v>
      </c>
      <c r="F264" s="30"/>
      <c r="G264" s="30" t="s">
        <v>322</v>
      </c>
      <c r="H264" s="30">
        <v>3177155156</v>
      </c>
      <c r="I264" s="30">
        <v>170</v>
      </c>
      <c r="J264" s="30">
        <v>340</v>
      </c>
      <c r="K264" s="30">
        <v>5100</v>
      </c>
      <c r="L264" s="30">
        <v>30</v>
      </c>
      <c r="M264" s="30">
        <v>15</v>
      </c>
      <c r="N264" s="30"/>
      <c r="O264" s="30">
        <v>277</v>
      </c>
      <c r="P264" s="30">
        <v>23000</v>
      </c>
      <c r="Q264" s="30">
        <v>5100</v>
      </c>
      <c r="R264" s="30">
        <v>117300</v>
      </c>
      <c r="S264" s="30" t="s">
        <v>321</v>
      </c>
      <c r="T264" s="30" t="s">
        <v>320</v>
      </c>
      <c r="U264">
        <f>IFERROR(VLOOKUP(C264,Hoja4!$D$4:$E$273,2,FALSE),0)</f>
        <v>0</v>
      </c>
      <c r="V264">
        <f>IFERROR(VLOOKUP(C264,Hoja4!$A$4:$B$273,2,FALSE),0)</f>
        <v>0</v>
      </c>
    </row>
    <row r="265" spans="1:22" x14ac:dyDescent="0.25">
      <c r="A265" s="33">
        <v>46065</v>
      </c>
      <c r="B265" s="31" t="s">
        <v>63</v>
      </c>
      <c r="C265" s="31">
        <v>278</v>
      </c>
      <c r="D265" s="31" t="s">
        <v>319</v>
      </c>
      <c r="E265" s="31" t="s">
        <v>318</v>
      </c>
      <c r="F265" s="31"/>
      <c r="G265" s="31" t="s">
        <v>317</v>
      </c>
      <c r="H265" s="31">
        <v>3118863583</v>
      </c>
      <c r="I265" s="31">
        <v>150</v>
      </c>
      <c r="J265" s="31">
        <v>300</v>
      </c>
      <c r="K265" s="31">
        <v>1050</v>
      </c>
      <c r="L265" s="31">
        <v>7</v>
      </c>
      <c r="M265" s="31">
        <v>3.5</v>
      </c>
      <c r="N265" s="31">
        <v>46068.5</v>
      </c>
      <c r="O265" s="31">
        <v>278</v>
      </c>
      <c r="P265" s="31">
        <v>22000</v>
      </c>
      <c r="Q265" s="31">
        <v>1050</v>
      </c>
      <c r="R265" s="31">
        <v>23100</v>
      </c>
      <c r="S265" s="31" t="s">
        <v>316</v>
      </c>
      <c r="T265" s="31" t="s">
        <v>315</v>
      </c>
      <c r="U265">
        <f>IFERROR(VLOOKUP(C265,Hoja4!$D$4:$E$273,2,FALSE),0)</f>
        <v>544000</v>
      </c>
      <c r="V265">
        <f>IFERROR(VLOOKUP(C265,Hoja4!$A$4:$B$273,2,FALSE),0)</f>
        <v>0</v>
      </c>
    </row>
    <row r="266" spans="1:22" x14ac:dyDescent="0.25">
      <c r="A266" s="32">
        <v>46065</v>
      </c>
      <c r="B266" s="30" t="s">
        <v>63</v>
      </c>
      <c r="C266" s="30">
        <v>279</v>
      </c>
      <c r="D266" s="30" t="s">
        <v>314</v>
      </c>
      <c r="E266" s="30" t="s">
        <v>314</v>
      </c>
      <c r="F266" s="30" t="s">
        <v>313</v>
      </c>
      <c r="G266" s="30" t="s">
        <v>312</v>
      </c>
      <c r="H266" s="30">
        <v>3017910738</v>
      </c>
      <c r="I266" s="30">
        <v>190</v>
      </c>
      <c r="J266" s="30">
        <v>190</v>
      </c>
      <c r="K266" s="30">
        <v>2850</v>
      </c>
      <c r="L266" s="30">
        <v>15</v>
      </c>
      <c r="M266" s="30">
        <v>15</v>
      </c>
      <c r="N266" s="30">
        <v>46080</v>
      </c>
      <c r="O266" s="30">
        <v>279</v>
      </c>
      <c r="P266" s="30">
        <v>40000</v>
      </c>
      <c r="Q266" s="30">
        <v>2850</v>
      </c>
      <c r="R266" s="30">
        <v>114000</v>
      </c>
      <c r="S266" s="30" t="s">
        <v>311</v>
      </c>
      <c r="T266" s="30" t="s">
        <v>310</v>
      </c>
      <c r="U266">
        <f>IFERROR(VLOOKUP(C266,Hoja4!$D$4:$E$273,2,FALSE),0)</f>
        <v>195000</v>
      </c>
      <c r="V266">
        <f>IFERROR(VLOOKUP(C266,Hoja4!$A$4:$B$273,2,FALSE),0)</f>
        <v>0</v>
      </c>
    </row>
    <row r="267" spans="1:22" x14ac:dyDescent="0.25">
      <c r="A267" s="33"/>
      <c r="B267" s="31" t="s">
        <v>208</v>
      </c>
      <c r="C267" s="31">
        <v>280</v>
      </c>
      <c r="D267" s="31" t="s">
        <v>309</v>
      </c>
      <c r="E267" s="31" t="s">
        <v>309</v>
      </c>
      <c r="F267" s="31"/>
      <c r="G267" s="31" t="s">
        <v>308</v>
      </c>
      <c r="H267" s="31">
        <v>3219257704</v>
      </c>
      <c r="I267" s="31">
        <v>35</v>
      </c>
      <c r="J267" s="31">
        <v>70</v>
      </c>
      <c r="K267" s="31">
        <v>1050</v>
      </c>
      <c r="L267" s="31">
        <v>30</v>
      </c>
      <c r="M267" s="31">
        <v>15</v>
      </c>
      <c r="N267" s="31"/>
      <c r="O267" s="31">
        <v>280</v>
      </c>
      <c r="P267" s="31">
        <v>56333.333333333336</v>
      </c>
      <c r="Q267" s="31">
        <v>1050</v>
      </c>
      <c r="R267" s="31">
        <v>59150</v>
      </c>
      <c r="S267" s="31" t="s">
        <v>307</v>
      </c>
      <c r="T267" s="31" t="s">
        <v>306</v>
      </c>
      <c r="U267">
        <f>IFERROR(VLOOKUP(C267,Hoja4!$D$4:$E$273,2,FALSE),0)</f>
        <v>0</v>
      </c>
      <c r="V267">
        <f>IFERROR(VLOOKUP(C267,Hoja4!$A$4:$B$273,2,FALSE),0)</f>
        <v>0</v>
      </c>
    </row>
    <row r="268" spans="1:22" x14ac:dyDescent="0.25">
      <c r="A268" s="32"/>
      <c r="B268" s="30" t="s">
        <v>208</v>
      </c>
      <c r="C268" s="30">
        <v>281</v>
      </c>
      <c r="D268" s="30" t="s">
        <v>305</v>
      </c>
      <c r="E268" s="30" t="s">
        <v>305</v>
      </c>
      <c r="F268" s="30"/>
      <c r="G268" s="30" t="s">
        <v>304</v>
      </c>
      <c r="H268" s="30">
        <v>3172207542</v>
      </c>
      <c r="I268" s="30">
        <v>165</v>
      </c>
      <c r="J268" s="30">
        <v>330</v>
      </c>
      <c r="K268" s="30">
        <v>2310</v>
      </c>
      <c r="L268" s="30">
        <v>14</v>
      </c>
      <c r="M268" s="30">
        <v>7</v>
      </c>
      <c r="N268" s="30"/>
      <c r="O268" s="30">
        <v>281</v>
      </c>
      <c r="P268" s="30">
        <v>79696.969696969696</v>
      </c>
      <c r="Q268" s="30">
        <v>2310</v>
      </c>
      <c r="R268" s="30">
        <v>184100</v>
      </c>
      <c r="S268" s="30" t="s">
        <v>303</v>
      </c>
      <c r="T268" s="30" t="s">
        <v>302</v>
      </c>
      <c r="U268">
        <f>IFERROR(VLOOKUP(C268,Hoja4!$D$4:$E$273,2,FALSE),0)</f>
        <v>0</v>
      </c>
      <c r="V268">
        <f>IFERROR(VLOOKUP(C268,Hoja4!$A$4:$B$273,2,FALSE),0)</f>
        <v>0</v>
      </c>
    </row>
    <row r="269" spans="1:22" x14ac:dyDescent="0.25">
      <c r="A269" s="33"/>
      <c r="B269" s="31" t="s">
        <v>208</v>
      </c>
      <c r="C269" s="31">
        <v>282</v>
      </c>
      <c r="D269" s="31" t="s">
        <v>301</v>
      </c>
      <c r="E269" s="31" t="s">
        <v>301</v>
      </c>
      <c r="F269" s="31"/>
      <c r="G269" s="31" t="s">
        <v>300</v>
      </c>
      <c r="H269" s="31">
        <v>3152164681</v>
      </c>
      <c r="I269" s="31">
        <v>120</v>
      </c>
      <c r="J269" s="31">
        <v>360</v>
      </c>
      <c r="K269" s="31">
        <v>2520</v>
      </c>
      <c r="L269" s="31">
        <v>21</v>
      </c>
      <c r="M269" s="31">
        <v>7</v>
      </c>
      <c r="N269" s="31"/>
      <c r="O269" s="31">
        <v>282</v>
      </c>
      <c r="P269" s="31">
        <v>3968.2539682539682</v>
      </c>
      <c r="Q269" s="31">
        <v>2520</v>
      </c>
      <c r="R269" s="31">
        <v>10000</v>
      </c>
      <c r="S269" s="31" t="s">
        <v>299</v>
      </c>
      <c r="T269" s="31"/>
      <c r="U269">
        <f>IFERROR(VLOOKUP(C269,Hoja4!$D$4:$E$273,2,FALSE),0)</f>
        <v>0</v>
      </c>
      <c r="V269">
        <f>IFERROR(VLOOKUP(C269,Hoja4!$A$4:$B$273,2,FALSE),0)</f>
        <v>0</v>
      </c>
    </row>
    <row r="270" spans="1:22" x14ac:dyDescent="0.25">
      <c r="A270" s="32">
        <v>46043</v>
      </c>
      <c r="B270" s="30" t="s">
        <v>4</v>
      </c>
      <c r="C270" s="30">
        <v>283</v>
      </c>
      <c r="D270" s="30" t="s">
        <v>298</v>
      </c>
      <c r="E270" s="30" t="s">
        <v>298</v>
      </c>
      <c r="F270" s="30"/>
      <c r="G270" s="30" t="s">
        <v>297</v>
      </c>
      <c r="H270" s="30">
        <v>3122570708</v>
      </c>
      <c r="I270" s="30">
        <v>240</v>
      </c>
      <c r="J270" s="30">
        <v>240</v>
      </c>
      <c r="K270" s="30">
        <v>7200</v>
      </c>
      <c r="L270" s="30">
        <v>30</v>
      </c>
      <c r="M270" s="30">
        <v>30</v>
      </c>
      <c r="N270" s="30">
        <v>46073</v>
      </c>
      <c r="O270" s="30">
        <v>283</v>
      </c>
      <c r="P270" s="30">
        <v>32777.777777777781</v>
      </c>
      <c r="Q270" s="30">
        <v>7200</v>
      </c>
      <c r="R270" s="30">
        <v>236000</v>
      </c>
      <c r="S270" s="30" t="s">
        <v>296</v>
      </c>
      <c r="T270" s="30" t="s">
        <v>295</v>
      </c>
      <c r="U270">
        <f>IFERROR(VLOOKUP(C270,Hoja4!$D$4:$E$273,2,FALSE),0)</f>
        <v>0</v>
      </c>
      <c r="V270">
        <f>IFERROR(VLOOKUP(C270,Hoja4!$A$4:$B$273,2,FALSE),0)</f>
        <v>0</v>
      </c>
    </row>
    <row r="271" spans="1:22" x14ac:dyDescent="0.25">
      <c r="A271" s="33">
        <v>46065</v>
      </c>
      <c r="B271" s="31" t="s">
        <v>63</v>
      </c>
      <c r="C271" s="31">
        <v>284</v>
      </c>
      <c r="D271" s="31" t="s">
        <v>294</v>
      </c>
      <c r="E271" s="31" t="s">
        <v>294</v>
      </c>
      <c r="F271" s="31"/>
      <c r="G271" s="31" t="s">
        <v>293</v>
      </c>
      <c r="H271" s="31">
        <v>3023735213</v>
      </c>
      <c r="I271" s="31">
        <v>240</v>
      </c>
      <c r="J271" s="31">
        <v>240</v>
      </c>
      <c r="K271" s="31">
        <v>7200</v>
      </c>
      <c r="L271" s="31">
        <v>30</v>
      </c>
      <c r="M271" s="31">
        <v>30</v>
      </c>
      <c r="N271" s="31">
        <v>46095</v>
      </c>
      <c r="O271" s="31">
        <v>284</v>
      </c>
      <c r="P271" s="31">
        <v>31000</v>
      </c>
      <c r="Q271" s="31">
        <v>7200</v>
      </c>
      <c r="R271" s="31">
        <v>223200</v>
      </c>
      <c r="S271" s="31" t="s">
        <v>292</v>
      </c>
      <c r="T271" s="31" t="s">
        <v>291</v>
      </c>
      <c r="U271">
        <f>IFERROR(VLOOKUP(C271,Hoja4!$D$4:$E$273,2,FALSE),0)</f>
        <v>223200</v>
      </c>
      <c r="V271">
        <f>IFERROR(VLOOKUP(C271,Hoja4!$A$4:$B$273,2,FALSE),0)</f>
        <v>0</v>
      </c>
    </row>
    <row r="272" spans="1:22" x14ac:dyDescent="0.25">
      <c r="A272" s="32">
        <v>46064</v>
      </c>
      <c r="B272" s="30" t="s">
        <v>63</v>
      </c>
      <c r="C272" s="30">
        <v>285</v>
      </c>
      <c r="D272" s="30" t="s">
        <v>290</v>
      </c>
      <c r="E272" s="30" t="s">
        <v>290</v>
      </c>
      <c r="F272" s="30"/>
      <c r="G272" s="30" t="s">
        <v>289</v>
      </c>
      <c r="H272" s="30">
        <v>3112877626</v>
      </c>
      <c r="I272" s="30">
        <v>244</v>
      </c>
      <c r="J272" s="30">
        <v>732</v>
      </c>
      <c r="K272" s="30">
        <v>5124</v>
      </c>
      <c r="L272" s="30">
        <v>21</v>
      </c>
      <c r="M272" s="30">
        <v>7</v>
      </c>
      <c r="N272" s="30">
        <v>46071</v>
      </c>
      <c r="O272" s="30">
        <v>285</v>
      </c>
      <c r="P272" s="30">
        <v>22000</v>
      </c>
      <c r="Q272" s="30">
        <v>5124</v>
      </c>
      <c r="R272" s="30">
        <v>112728</v>
      </c>
      <c r="S272" s="30" t="s">
        <v>288</v>
      </c>
      <c r="T272" s="30"/>
      <c r="U272">
        <f>IFERROR(VLOOKUP(C272,Hoja4!$D$4:$E$273,2,FALSE),0)</f>
        <v>0</v>
      </c>
      <c r="V272">
        <f>IFERROR(VLOOKUP(C272,Hoja4!$A$4:$B$273,2,FALSE),0)</f>
        <v>0</v>
      </c>
    </row>
    <row r="273" spans="1:22" x14ac:dyDescent="0.25">
      <c r="A273" s="33">
        <v>0</v>
      </c>
      <c r="B273" s="31" t="s">
        <v>4</v>
      </c>
      <c r="C273" s="31">
        <v>286</v>
      </c>
      <c r="D273" s="31" t="s">
        <v>287</v>
      </c>
      <c r="E273" s="31" t="s">
        <v>286</v>
      </c>
      <c r="F273" s="31"/>
      <c r="G273" s="31" t="s">
        <v>26</v>
      </c>
      <c r="H273" s="31"/>
      <c r="I273" s="31">
        <v>0</v>
      </c>
      <c r="J273" s="31">
        <v>0</v>
      </c>
      <c r="K273" s="31">
        <v>0</v>
      </c>
      <c r="L273" s="31"/>
      <c r="M273" s="31"/>
      <c r="N273" s="31"/>
      <c r="O273" s="31">
        <v>286</v>
      </c>
      <c r="P273" s="31"/>
      <c r="Q273" s="31">
        <v>0</v>
      </c>
      <c r="R273" s="31">
        <v>0</v>
      </c>
      <c r="S273" s="31"/>
      <c r="T273" s="31"/>
      <c r="U273">
        <f>IFERROR(VLOOKUP(C273,Hoja4!$D$4:$E$273,2,FALSE),0)</f>
        <v>0</v>
      </c>
      <c r="V273">
        <f>IFERROR(VLOOKUP(C273,Hoja4!$A$4:$B$273,2,FALSE),0)</f>
        <v>0</v>
      </c>
    </row>
    <row r="274" spans="1:22" x14ac:dyDescent="0.25">
      <c r="A274" s="32">
        <v>46059</v>
      </c>
      <c r="B274" s="30" t="s">
        <v>63</v>
      </c>
      <c r="C274" s="30">
        <v>287</v>
      </c>
      <c r="D274" s="30" t="s">
        <v>285</v>
      </c>
      <c r="E274" s="30" t="s">
        <v>285</v>
      </c>
      <c r="F274" s="30"/>
      <c r="G274" s="30" t="s">
        <v>284</v>
      </c>
      <c r="H274" s="30">
        <v>3114997643</v>
      </c>
      <c r="I274" s="30">
        <v>150</v>
      </c>
      <c r="J274" s="30">
        <v>150</v>
      </c>
      <c r="K274" s="30">
        <v>2250</v>
      </c>
      <c r="L274" s="30">
        <v>15</v>
      </c>
      <c r="M274" s="30">
        <v>15</v>
      </c>
      <c r="N274" s="30">
        <v>46074</v>
      </c>
      <c r="O274" s="30">
        <v>287</v>
      </c>
      <c r="P274" s="30">
        <v>16888.888888888891</v>
      </c>
      <c r="Q274" s="30">
        <v>2250</v>
      </c>
      <c r="R274" s="30">
        <v>38000</v>
      </c>
      <c r="S274" s="30" t="s">
        <v>283</v>
      </c>
      <c r="T274" s="30" t="s">
        <v>282</v>
      </c>
      <c r="U274">
        <f>IFERROR(VLOOKUP(C274,Hoja4!$D$4:$E$273,2,FALSE),0)</f>
        <v>0</v>
      </c>
      <c r="V274">
        <f>IFERROR(VLOOKUP(C274,Hoja4!$A$4:$B$273,2,FALSE),0)</f>
        <v>0</v>
      </c>
    </row>
    <row r="275" spans="1:22" x14ac:dyDescent="0.25">
      <c r="A275" s="33">
        <v>46071</v>
      </c>
      <c r="B275" s="31" t="s">
        <v>63</v>
      </c>
      <c r="C275" s="31">
        <v>288</v>
      </c>
      <c r="D275" s="31" t="s">
        <v>281</v>
      </c>
      <c r="E275" s="31" t="s">
        <v>281</v>
      </c>
      <c r="F275" s="31"/>
      <c r="G275" s="31" t="s">
        <v>280</v>
      </c>
      <c r="H275" s="31" t="s">
        <v>279</v>
      </c>
      <c r="I275" s="31">
        <v>250</v>
      </c>
      <c r="J275" s="31">
        <v>250</v>
      </c>
      <c r="K275" s="31">
        <v>3750</v>
      </c>
      <c r="L275" s="31">
        <v>15</v>
      </c>
      <c r="M275" s="31">
        <v>15</v>
      </c>
      <c r="N275" s="31">
        <v>46086</v>
      </c>
      <c r="O275" s="31">
        <v>288</v>
      </c>
      <c r="P275" s="31">
        <v>24000</v>
      </c>
      <c r="Q275" s="31">
        <v>3750</v>
      </c>
      <c r="R275" s="31">
        <v>90000</v>
      </c>
      <c r="S275" s="31" t="s">
        <v>278</v>
      </c>
      <c r="T275" s="31" t="s">
        <v>277</v>
      </c>
      <c r="U275">
        <f>IFERROR(VLOOKUP(C275,Hoja4!$D$4:$E$273,2,FALSE),0)</f>
        <v>270000</v>
      </c>
      <c r="V275">
        <f>IFERROR(VLOOKUP(C275,Hoja4!$A$4:$B$273,2,FALSE),0)</f>
        <v>0</v>
      </c>
    </row>
    <row r="276" spans="1:22" x14ac:dyDescent="0.25">
      <c r="A276" s="32">
        <v>46065</v>
      </c>
      <c r="B276" s="30" t="s">
        <v>63</v>
      </c>
      <c r="C276" s="30">
        <v>289</v>
      </c>
      <c r="D276" s="30" t="s">
        <v>276</v>
      </c>
      <c r="E276" s="30" t="s">
        <v>276</v>
      </c>
      <c r="F276" s="30"/>
      <c r="G276" s="30" t="s">
        <v>275</v>
      </c>
      <c r="H276" s="30">
        <v>3012055862</v>
      </c>
      <c r="I276" s="30">
        <v>190</v>
      </c>
      <c r="J276" s="30">
        <v>380</v>
      </c>
      <c r="K276" s="30">
        <v>5700</v>
      </c>
      <c r="L276" s="30">
        <v>30</v>
      </c>
      <c r="M276" s="30">
        <v>15</v>
      </c>
      <c r="N276" s="30">
        <v>46080</v>
      </c>
      <c r="O276" s="30">
        <v>289</v>
      </c>
      <c r="P276" s="30">
        <v>22000</v>
      </c>
      <c r="Q276" s="30">
        <v>5700</v>
      </c>
      <c r="R276" s="30">
        <v>125400</v>
      </c>
      <c r="S276" s="30" t="s">
        <v>274</v>
      </c>
      <c r="T276" s="30" t="s">
        <v>273</v>
      </c>
      <c r="U276">
        <f>IFERROR(VLOOKUP(C276,Hoja4!$D$4:$E$273,2,FALSE),0)</f>
        <v>0</v>
      </c>
      <c r="V276">
        <f>IFERROR(VLOOKUP(C276,Hoja4!$A$4:$B$273,2,FALSE),0)</f>
        <v>0</v>
      </c>
    </row>
    <row r="277" spans="1:22" x14ac:dyDescent="0.25">
      <c r="A277" s="33">
        <v>46083</v>
      </c>
      <c r="B277" s="31" t="s">
        <v>272</v>
      </c>
      <c r="C277" s="31">
        <v>290</v>
      </c>
      <c r="D277" s="31" t="s">
        <v>271</v>
      </c>
      <c r="E277" s="31" t="s">
        <v>271</v>
      </c>
      <c r="F277" s="31"/>
      <c r="G277" s="31" t="s">
        <v>270</v>
      </c>
      <c r="H277" s="31">
        <v>3017139465</v>
      </c>
      <c r="I277" s="31">
        <v>130</v>
      </c>
      <c r="J277" s="31">
        <v>260</v>
      </c>
      <c r="K277" s="31">
        <v>3900</v>
      </c>
      <c r="L277" s="31">
        <v>30</v>
      </c>
      <c r="M277" s="31">
        <v>15</v>
      </c>
      <c r="N277" s="31">
        <v>46098</v>
      </c>
      <c r="O277" s="31">
        <v>290</v>
      </c>
      <c r="P277" s="31">
        <v>29692.307692307695</v>
      </c>
      <c r="Q277" s="31">
        <v>3900</v>
      </c>
      <c r="R277" s="31">
        <v>115800</v>
      </c>
      <c r="S277" s="31" t="s">
        <v>269</v>
      </c>
      <c r="T277" s="31" t="s">
        <v>268</v>
      </c>
      <c r="U277">
        <f>IFERROR(VLOOKUP(C277,Hoja4!$D$4:$E$273,2,FALSE),0)</f>
        <v>82600</v>
      </c>
      <c r="V277">
        <f>IFERROR(VLOOKUP(C277,Hoja4!$A$4:$B$273,2,FALSE),0)</f>
        <v>0</v>
      </c>
    </row>
    <row r="278" spans="1:22" x14ac:dyDescent="0.25">
      <c r="A278" s="32">
        <v>46069</v>
      </c>
      <c r="B278" s="30" t="s">
        <v>63</v>
      </c>
      <c r="C278" s="30">
        <v>291</v>
      </c>
      <c r="D278" s="30" t="s">
        <v>267</v>
      </c>
      <c r="E278" s="30" t="s">
        <v>267</v>
      </c>
      <c r="F278" s="30"/>
      <c r="G278" s="30" t="s">
        <v>266</v>
      </c>
      <c r="H278" s="30">
        <v>3112675200</v>
      </c>
      <c r="I278" s="30">
        <v>200</v>
      </c>
      <c r="J278" s="30">
        <v>600</v>
      </c>
      <c r="K278" s="30">
        <v>5000</v>
      </c>
      <c r="L278" s="30">
        <v>25</v>
      </c>
      <c r="M278" s="30">
        <v>8.3333333333333339</v>
      </c>
      <c r="N278" s="30">
        <v>46077.333333333336</v>
      </c>
      <c r="O278" s="30">
        <v>291</v>
      </c>
      <c r="P278" s="30">
        <v>25000</v>
      </c>
      <c r="Q278" s="30">
        <v>5000</v>
      </c>
      <c r="R278" s="30">
        <v>125000</v>
      </c>
      <c r="S278" s="30" t="s">
        <v>265</v>
      </c>
      <c r="T278" s="30" t="s">
        <v>264</v>
      </c>
      <c r="U278">
        <f>IFERROR(VLOOKUP(C278,Hoja4!$D$4:$E$273,2,FALSE),0)</f>
        <v>0</v>
      </c>
      <c r="V278">
        <f>IFERROR(VLOOKUP(C278,Hoja4!$A$4:$B$273,2,FALSE),0)</f>
        <v>0</v>
      </c>
    </row>
    <row r="279" spans="1:22" x14ac:dyDescent="0.25">
      <c r="A279" s="33">
        <v>46069</v>
      </c>
      <c r="B279" s="31" t="s">
        <v>63</v>
      </c>
      <c r="C279" s="31">
        <v>292</v>
      </c>
      <c r="D279" s="31" t="s">
        <v>263</v>
      </c>
      <c r="E279" s="31" t="s">
        <v>263</v>
      </c>
      <c r="F279" s="31"/>
      <c r="G279" s="31" t="s">
        <v>262</v>
      </c>
      <c r="H279" s="31">
        <v>3003480265</v>
      </c>
      <c r="I279" s="31">
        <v>195</v>
      </c>
      <c r="J279" s="31">
        <v>390</v>
      </c>
      <c r="K279" s="31">
        <v>5850</v>
      </c>
      <c r="L279" s="31">
        <v>30</v>
      </c>
      <c r="M279" s="31">
        <v>15</v>
      </c>
      <c r="N279" s="31">
        <v>46084</v>
      </c>
      <c r="O279" s="31">
        <v>292</v>
      </c>
      <c r="P279" s="31">
        <v>29000</v>
      </c>
      <c r="Q279" s="31">
        <v>5850</v>
      </c>
      <c r="R279" s="31">
        <v>169650</v>
      </c>
      <c r="S279" s="31" t="s">
        <v>261</v>
      </c>
      <c r="T279" s="31" t="s">
        <v>260</v>
      </c>
      <c r="U279">
        <f>IFERROR(VLOOKUP(C279,Hoja4!$D$4:$E$273,2,FALSE),0)</f>
        <v>0</v>
      </c>
      <c r="V279">
        <f>IFERROR(VLOOKUP(C279,Hoja4!$A$4:$B$273,2,FALSE),0)</f>
        <v>0</v>
      </c>
    </row>
    <row r="280" spans="1:22" x14ac:dyDescent="0.25">
      <c r="A280" s="32"/>
      <c r="B280" s="30" t="s">
        <v>208</v>
      </c>
      <c r="C280" s="30">
        <v>293</v>
      </c>
      <c r="D280" s="30" t="s">
        <v>259</v>
      </c>
      <c r="E280" s="30" t="s">
        <v>259</v>
      </c>
      <c r="F280" s="30"/>
      <c r="G280" s="30" t="s">
        <v>258</v>
      </c>
      <c r="H280" s="30">
        <v>3104882843</v>
      </c>
      <c r="I280" s="30">
        <v>90</v>
      </c>
      <c r="J280" s="30">
        <v>180</v>
      </c>
      <c r="K280" s="30">
        <v>1260</v>
      </c>
      <c r="L280" s="30">
        <v>14</v>
      </c>
      <c r="M280" s="30">
        <v>7</v>
      </c>
      <c r="N280" s="30"/>
      <c r="O280" s="30">
        <v>293</v>
      </c>
      <c r="P280" s="30">
        <v>101746.03174603176</v>
      </c>
      <c r="Q280" s="30">
        <v>1260</v>
      </c>
      <c r="R280" s="30">
        <v>128200</v>
      </c>
      <c r="S280" s="30" t="s">
        <v>257</v>
      </c>
      <c r="T280" s="30" t="s">
        <v>256</v>
      </c>
      <c r="U280">
        <f>IFERROR(VLOOKUP(C280,Hoja4!$D$4:$E$273,2,FALSE),0)</f>
        <v>0</v>
      </c>
      <c r="V280">
        <f>IFERROR(VLOOKUP(C280,Hoja4!$A$4:$B$273,2,FALSE),0)</f>
        <v>0</v>
      </c>
    </row>
    <row r="281" spans="1:22" x14ac:dyDescent="0.25">
      <c r="A281" s="33">
        <v>46058</v>
      </c>
      <c r="B281" s="31" t="s">
        <v>63</v>
      </c>
      <c r="C281" s="31">
        <v>294</v>
      </c>
      <c r="D281" s="31" t="s">
        <v>255</v>
      </c>
      <c r="E281" s="31" t="s">
        <v>254</v>
      </c>
      <c r="F281" s="31"/>
      <c r="G281" s="31" t="s">
        <v>253</v>
      </c>
      <c r="H281" s="31">
        <v>3195742640</v>
      </c>
      <c r="I281" s="31">
        <v>130</v>
      </c>
      <c r="J281" s="31">
        <v>260</v>
      </c>
      <c r="K281" s="31">
        <v>7800</v>
      </c>
      <c r="L281" s="31">
        <v>60</v>
      </c>
      <c r="M281" s="31">
        <v>30</v>
      </c>
      <c r="N281" s="31">
        <v>46088</v>
      </c>
      <c r="O281" s="31">
        <v>294</v>
      </c>
      <c r="P281" s="31">
        <v>39000</v>
      </c>
      <c r="Q281" s="31">
        <v>7800</v>
      </c>
      <c r="R281" s="31">
        <v>304200</v>
      </c>
      <c r="S281" s="31" t="s">
        <v>252</v>
      </c>
      <c r="T281" s="31" t="s">
        <v>251</v>
      </c>
      <c r="U281">
        <f>IFERROR(VLOOKUP(C281,Hoja4!$D$4:$E$273,2,FALSE),0)</f>
        <v>0</v>
      </c>
      <c r="V281">
        <f>IFERROR(VLOOKUP(C281,Hoja4!$A$4:$B$273,2,FALSE),0)</f>
        <v>0</v>
      </c>
    </row>
    <row r="282" spans="1:22" x14ac:dyDescent="0.25">
      <c r="A282" s="32"/>
      <c r="B282" s="30" t="s">
        <v>208</v>
      </c>
      <c r="C282" s="30">
        <v>295</v>
      </c>
      <c r="D282" s="30" t="s">
        <v>250</v>
      </c>
      <c r="E282" s="30" t="s">
        <v>250</v>
      </c>
      <c r="F282" s="30"/>
      <c r="G282" s="30" t="s">
        <v>249</v>
      </c>
      <c r="H282" s="30">
        <v>3138501160</v>
      </c>
      <c r="I282" s="30">
        <v>45</v>
      </c>
      <c r="J282" s="30">
        <v>90</v>
      </c>
      <c r="K282" s="30">
        <v>1350</v>
      </c>
      <c r="L282" s="30">
        <v>30</v>
      </c>
      <c r="M282" s="30">
        <v>15</v>
      </c>
      <c r="N282" s="30"/>
      <c r="O282" s="30">
        <v>295</v>
      </c>
      <c r="P282" s="30">
        <v>55037.037037037036</v>
      </c>
      <c r="Q282" s="30">
        <v>1350</v>
      </c>
      <c r="R282" s="30">
        <v>74300</v>
      </c>
      <c r="S282" s="30" t="s">
        <v>248</v>
      </c>
      <c r="T282" s="30" t="s">
        <v>247</v>
      </c>
      <c r="U282">
        <f>IFERROR(VLOOKUP(C282,Hoja4!$D$4:$E$273,2,FALSE),0)</f>
        <v>0</v>
      </c>
      <c r="V282">
        <f>IFERROR(VLOOKUP(C282,Hoja4!$A$4:$B$273,2,FALSE),0)</f>
        <v>0</v>
      </c>
    </row>
    <row r="283" spans="1:22" x14ac:dyDescent="0.25">
      <c r="A283" s="33">
        <v>46055</v>
      </c>
      <c r="B283" s="31" t="s">
        <v>63</v>
      </c>
      <c r="C283" s="31">
        <v>296</v>
      </c>
      <c r="D283" s="31" t="s">
        <v>246</v>
      </c>
      <c r="E283" s="31" t="s">
        <v>245</v>
      </c>
      <c r="F283" s="31"/>
      <c r="G283" s="31" t="s">
        <v>244</v>
      </c>
      <c r="H283" s="31">
        <v>3115912750</v>
      </c>
      <c r="I283" s="31">
        <v>40</v>
      </c>
      <c r="J283" s="31">
        <v>80</v>
      </c>
      <c r="K283" s="31">
        <v>1200</v>
      </c>
      <c r="L283" s="31">
        <v>30</v>
      </c>
      <c r="M283" s="31">
        <v>15</v>
      </c>
      <c r="N283" s="31">
        <v>46070</v>
      </c>
      <c r="O283" s="31">
        <v>296</v>
      </c>
      <c r="P283" s="31">
        <v>56250</v>
      </c>
      <c r="Q283" s="31">
        <v>1200</v>
      </c>
      <c r="R283" s="31">
        <v>67500</v>
      </c>
      <c r="S283" s="31" t="s">
        <v>243</v>
      </c>
      <c r="T283" s="31" t="s">
        <v>242</v>
      </c>
      <c r="U283">
        <f>IFERROR(VLOOKUP(C283,Hoja4!$D$4:$E$273,2,FALSE),0)</f>
        <v>0</v>
      </c>
      <c r="V283">
        <f>IFERROR(VLOOKUP(C283,Hoja4!$A$4:$B$273,2,FALSE),0)</f>
        <v>0</v>
      </c>
    </row>
    <row r="284" spans="1:22" x14ac:dyDescent="0.25">
      <c r="A284" s="32">
        <v>46063</v>
      </c>
      <c r="B284" s="30" t="s">
        <v>63</v>
      </c>
      <c r="C284" s="30">
        <v>297</v>
      </c>
      <c r="D284" s="30" t="s">
        <v>241</v>
      </c>
      <c r="E284" s="30" t="s">
        <v>241</v>
      </c>
      <c r="F284" s="30"/>
      <c r="G284" s="30" t="s">
        <v>240</v>
      </c>
      <c r="H284" s="30">
        <v>3012354331</v>
      </c>
      <c r="I284" s="30">
        <v>150</v>
      </c>
      <c r="J284" s="30">
        <v>450</v>
      </c>
      <c r="K284" s="30">
        <v>6750</v>
      </c>
      <c r="L284" s="30">
        <v>45</v>
      </c>
      <c r="M284" s="30">
        <v>15</v>
      </c>
      <c r="N284" s="30">
        <v>46078</v>
      </c>
      <c r="O284" s="30">
        <v>297</v>
      </c>
      <c r="P284" s="30">
        <v>25000</v>
      </c>
      <c r="Q284" s="30">
        <v>6750</v>
      </c>
      <c r="R284" s="30">
        <v>168750</v>
      </c>
      <c r="S284" s="30" t="s">
        <v>239</v>
      </c>
      <c r="T284" s="30" t="s">
        <v>238</v>
      </c>
      <c r="U284">
        <f>IFERROR(VLOOKUP(C284,Hoja4!$D$4:$E$273,2,FALSE),0)</f>
        <v>0</v>
      </c>
      <c r="V284">
        <f>IFERROR(VLOOKUP(C284,Hoja4!$A$4:$B$273,2,FALSE),0)</f>
        <v>206000</v>
      </c>
    </row>
    <row r="285" spans="1:22" x14ac:dyDescent="0.25">
      <c r="A285" s="33"/>
      <c r="B285" s="31" t="s">
        <v>208</v>
      </c>
      <c r="C285" s="31">
        <v>298</v>
      </c>
      <c r="D285" s="31" t="s">
        <v>237</v>
      </c>
      <c r="E285" s="31" t="s">
        <v>237</v>
      </c>
      <c r="F285" s="31"/>
      <c r="G285" s="31" t="s">
        <v>236</v>
      </c>
      <c r="H285" s="31">
        <v>3118418305</v>
      </c>
      <c r="I285" s="31">
        <v>75</v>
      </c>
      <c r="J285" s="31">
        <v>150</v>
      </c>
      <c r="K285" s="31">
        <v>1500</v>
      </c>
      <c r="L285" s="31">
        <v>20</v>
      </c>
      <c r="M285" s="31">
        <v>10</v>
      </c>
      <c r="N285" s="31"/>
      <c r="O285" s="31">
        <v>298</v>
      </c>
      <c r="P285" s="31">
        <v>55900</v>
      </c>
      <c r="Q285" s="31">
        <v>1500</v>
      </c>
      <c r="R285" s="31">
        <v>83850</v>
      </c>
      <c r="S285" s="31" t="s">
        <v>235</v>
      </c>
      <c r="T285" s="31"/>
      <c r="U285">
        <f>IFERROR(VLOOKUP(C285,Hoja4!$D$4:$E$273,2,FALSE),0)</f>
        <v>0</v>
      </c>
      <c r="V285">
        <f>IFERROR(VLOOKUP(C285,Hoja4!$A$4:$B$273,2,FALSE),0)</f>
        <v>0</v>
      </c>
    </row>
    <row r="286" spans="1:22" x14ac:dyDescent="0.25">
      <c r="A286" s="32">
        <v>46071</v>
      </c>
      <c r="B286" s="30" t="s">
        <v>63</v>
      </c>
      <c r="C286" s="30">
        <v>299</v>
      </c>
      <c r="D286" s="30" t="s">
        <v>234</v>
      </c>
      <c r="E286" s="30" t="s">
        <v>234</v>
      </c>
      <c r="F286" s="30"/>
      <c r="G286" s="30" t="s">
        <v>233</v>
      </c>
      <c r="H286" s="30">
        <v>3156008463</v>
      </c>
      <c r="I286" s="30">
        <v>200</v>
      </c>
      <c r="J286" s="30">
        <v>400</v>
      </c>
      <c r="K286" s="30">
        <v>6000</v>
      </c>
      <c r="L286" s="30">
        <v>30</v>
      </c>
      <c r="M286" s="30">
        <v>15</v>
      </c>
      <c r="N286" s="30">
        <v>46086</v>
      </c>
      <c r="O286" s="30">
        <v>299</v>
      </c>
      <c r="P286" s="30">
        <v>25000</v>
      </c>
      <c r="Q286" s="30">
        <v>6000</v>
      </c>
      <c r="R286" s="30">
        <v>150000</v>
      </c>
      <c r="S286" s="30" t="s">
        <v>232</v>
      </c>
      <c r="T286" s="30"/>
      <c r="U286">
        <f>IFERROR(VLOOKUP(C286,Hoja4!$D$4:$E$273,2,FALSE),0)</f>
        <v>166000</v>
      </c>
      <c r="V286">
        <f>IFERROR(VLOOKUP(C286,Hoja4!$A$4:$B$273,2,FALSE),0)</f>
        <v>0</v>
      </c>
    </row>
    <row r="287" spans="1:22" x14ac:dyDescent="0.25">
      <c r="A287" s="33">
        <v>46069</v>
      </c>
      <c r="B287" s="31" t="s">
        <v>63</v>
      </c>
      <c r="C287" s="31">
        <v>300</v>
      </c>
      <c r="D287" s="31" t="s">
        <v>231</v>
      </c>
      <c r="E287" s="31" t="s">
        <v>231</v>
      </c>
      <c r="F287" s="31"/>
      <c r="G287" s="31" t="s">
        <v>230</v>
      </c>
      <c r="H287" s="31">
        <v>3162393410</v>
      </c>
      <c r="I287" s="31">
        <v>50</v>
      </c>
      <c r="J287" s="31">
        <v>150</v>
      </c>
      <c r="K287" s="31">
        <v>2250</v>
      </c>
      <c r="L287" s="31">
        <v>45</v>
      </c>
      <c r="M287" s="31">
        <v>15</v>
      </c>
      <c r="N287" s="31">
        <v>46084</v>
      </c>
      <c r="O287" s="31">
        <v>300</v>
      </c>
      <c r="P287" s="31">
        <v>36866.666666666664</v>
      </c>
      <c r="Q287" s="31">
        <v>2250</v>
      </c>
      <c r="R287" s="31">
        <v>82950</v>
      </c>
      <c r="S287" s="31" t="s">
        <v>229</v>
      </c>
      <c r="T287" s="31" t="s">
        <v>228</v>
      </c>
      <c r="U287">
        <f>IFERROR(VLOOKUP(C287,Hoja4!$D$4:$E$273,2,FALSE),0)</f>
        <v>0</v>
      </c>
      <c r="V287">
        <f>IFERROR(VLOOKUP(C287,Hoja4!$A$4:$B$273,2,FALSE),0)</f>
        <v>0</v>
      </c>
    </row>
    <row r="288" spans="1:22" x14ac:dyDescent="0.25">
      <c r="A288" s="32">
        <v>46052</v>
      </c>
      <c r="B288" s="30" t="s">
        <v>4</v>
      </c>
      <c r="C288" s="30">
        <v>301</v>
      </c>
      <c r="D288" s="30" t="s">
        <v>227</v>
      </c>
      <c r="E288" s="30" t="s">
        <v>227</v>
      </c>
      <c r="F288" s="30"/>
      <c r="G288" s="30" t="s">
        <v>226</v>
      </c>
      <c r="H288" s="30">
        <v>3176485204</v>
      </c>
      <c r="I288" s="30">
        <v>230</v>
      </c>
      <c r="J288" s="30">
        <v>230</v>
      </c>
      <c r="K288" s="30">
        <v>6900</v>
      </c>
      <c r="L288" s="30">
        <v>30</v>
      </c>
      <c r="M288" s="30">
        <v>30</v>
      </c>
      <c r="N288" s="30">
        <v>46082</v>
      </c>
      <c r="O288" s="30">
        <v>301</v>
      </c>
      <c r="P288" s="30">
        <v>36434.782608695648</v>
      </c>
      <c r="Q288" s="30">
        <v>6900</v>
      </c>
      <c r="R288" s="30">
        <v>251400</v>
      </c>
      <c r="S288" s="30" t="s">
        <v>225</v>
      </c>
      <c r="T288" s="30" t="s">
        <v>224</v>
      </c>
      <c r="U288">
        <f>IFERROR(VLOOKUP(C288,Hoja4!$D$4:$E$273,2,FALSE),0)</f>
        <v>0</v>
      </c>
      <c r="V288">
        <f>IFERROR(VLOOKUP(C288,Hoja4!$A$4:$B$273,2,FALSE),0)</f>
        <v>0</v>
      </c>
    </row>
    <row r="289" spans="1:22" x14ac:dyDescent="0.25">
      <c r="A289" s="33">
        <v>46066</v>
      </c>
      <c r="B289" s="31" t="s">
        <v>63</v>
      </c>
      <c r="C289" s="31">
        <v>302</v>
      </c>
      <c r="D289" s="31" t="s">
        <v>223</v>
      </c>
      <c r="E289" s="31" t="s">
        <v>223</v>
      </c>
      <c r="F289" s="31"/>
      <c r="G289" s="31" t="s">
        <v>222</v>
      </c>
      <c r="H289" s="31">
        <v>3214527779</v>
      </c>
      <c r="I289" s="31">
        <v>250</v>
      </c>
      <c r="J289" s="31">
        <v>250</v>
      </c>
      <c r="K289" s="31">
        <v>7500</v>
      </c>
      <c r="L289" s="31">
        <v>30</v>
      </c>
      <c r="M289" s="31">
        <v>30</v>
      </c>
      <c r="N289" s="31">
        <v>46096</v>
      </c>
      <c r="O289" s="31">
        <v>302</v>
      </c>
      <c r="P289" s="31">
        <v>27600</v>
      </c>
      <c r="Q289" s="31">
        <v>7500</v>
      </c>
      <c r="R289" s="31">
        <v>207000</v>
      </c>
      <c r="S289" s="31" t="s">
        <v>221</v>
      </c>
      <c r="T289" s="31" t="s">
        <v>220</v>
      </c>
      <c r="U289">
        <f>IFERROR(VLOOKUP(C289,Hoja4!$D$4:$E$273,2,FALSE),0)</f>
        <v>3000</v>
      </c>
      <c r="V289">
        <f>IFERROR(VLOOKUP(C289,Hoja4!$A$4:$B$273,2,FALSE),0)</f>
        <v>0</v>
      </c>
    </row>
    <row r="290" spans="1:22" x14ac:dyDescent="0.25">
      <c r="A290" s="32"/>
      <c r="B290" s="30" t="s">
        <v>208</v>
      </c>
      <c r="C290" s="30">
        <v>303</v>
      </c>
      <c r="D290" s="30" t="s">
        <v>219</v>
      </c>
      <c r="E290" s="30" t="s">
        <v>219</v>
      </c>
      <c r="F290" s="30"/>
      <c r="G290" s="30" t="s">
        <v>218</v>
      </c>
      <c r="H290" s="30">
        <v>3017419790</v>
      </c>
      <c r="I290" s="30">
        <v>120</v>
      </c>
      <c r="J290" s="30">
        <v>240</v>
      </c>
      <c r="K290" s="30">
        <v>3600</v>
      </c>
      <c r="L290" s="30">
        <v>30</v>
      </c>
      <c r="M290" s="30">
        <v>15</v>
      </c>
      <c r="N290" s="30"/>
      <c r="O290" s="30">
        <v>303</v>
      </c>
      <c r="P290" s="30">
        <v>37500</v>
      </c>
      <c r="Q290" s="30">
        <v>3600</v>
      </c>
      <c r="R290" s="30">
        <v>135000</v>
      </c>
      <c r="S290" s="30" t="s">
        <v>217</v>
      </c>
      <c r="T290" s="30" t="s">
        <v>216</v>
      </c>
      <c r="U290">
        <f>IFERROR(VLOOKUP(C290,Hoja4!$D$4:$E$273,2,FALSE),0)</f>
        <v>0</v>
      </c>
      <c r="V290">
        <f>IFERROR(VLOOKUP(C290,Hoja4!$A$4:$B$273,2,FALSE),0)</f>
        <v>0</v>
      </c>
    </row>
    <row r="291" spans="1:22" x14ac:dyDescent="0.25">
      <c r="A291" s="33">
        <v>0</v>
      </c>
      <c r="B291" s="31" t="s">
        <v>4</v>
      </c>
      <c r="C291" s="31">
        <v>304</v>
      </c>
      <c r="D291" s="31" t="s">
        <v>215</v>
      </c>
      <c r="E291" s="31" t="s">
        <v>215</v>
      </c>
      <c r="F291" s="31"/>
      <c r="G291" s="31" t="s">
        <v>26</v>
      </c>
      <c r="H291" s="31"/>
      <c r="I291" s="31">
        <v>0</v>
      </c>
      <c r="J291" s="31">
        <v>0</v>
      </c>
      <c r="K291" s="31">
        <v>0</v>
      </c>
      <c r="L291" s="31">
        <v>0</v>
      </c>
      <c r="M291" s="31">
        <v>0</v>
      </c>
      <c r="N291" s="31">
        <v>0</v>
      </c>
      <c r="O291" s="31">
        <v>304</v>
      </c>
      <c r="P291" s="31">
        <v>0</v>
      </c>
      <c r="Q291" s="31">
        <v>0</v>
      </c>
      <c r="R291" s="31"/>
      <c r="S291" s="31"/>
      <c r="T291" s="31" t="s">
        <v>214</v>
      </c>
      <c r="U291">
        <f>IFERROR(VLOOKUP(C291,Hoja4!$D$4:$E$273,2,FALSE),0)</f>
        <v>0</v>
      </c>
      <c r="V291">
        <f>IFERROR(VLOOKUP(C291,Hoja4!$A$4:$B$273,2,FALSE),0)</f>
        <v>0</v>
      </c>
    </row>
    <row r="292" spans="1:22" x14ac:dyDescent="0.25">
      <c r="A292" s="32">
        <v>46059</v>
      </c>
      <c r="B292" s="30" t="s">
        <v>63</v>
      </c>
      <c r="C292" s="30">
        <v>305</v>
      </c>
      <c r="D292" s="30" t="s">
        <v>213</v>
      </c>
      <c r="E292" s="30" t="s">
        <v>212</v>
      </c>
      <c r="F292" s="30"/>
      <c r="G292" s="30" t="s">
        <v>211</v>
      </c>
      <c r="H292" s="30">
        <v>3238165614</v>
      </c>
      <c r="I292" s="30">
        <v>230</v>
      </c>
      <c r="J292" s="30">
        <v>460</v>
      </c>
      <c r="K292" s="30">
        <v>6900</v>
      </c>
      <c r="L292" s="30">
        <v>30</v>
      </c>
      <c r="M292" s="30">
        <v>15</v>
      </c>
      <c r="N292" s="30">
        <v>46074</v>
      </c>
      <c r="O292" s="30">
        <v>305</v>
      </c>
      <c r="P292" s="30">
        <v>28000</v>
      </c>
      <c r="Q292" s="30">
        <v>6900</v>
      </c>
      <c r="R292" s="30">
        <v>193200</v>
      </c>
      <c r="S292" s="30" t="s">
        <v>210</v>
      </c>
      <c r="T292" s="30" t="s">
        <v>209</v>
      </c>
      <c r="U292">
        <f>IFERROR(VLOOKUP(C292,Hoja4!$D$4:$E$273,2,FALSE),0)</f>
        <v>7850</v>
      </c>
      <c r="V292">
        <f>IFERROR(VLOOKUP(C292,Hoja4!$A$4:$B$273,2,FALSE),0)</f>
        <v>0</v>
      </c>
    </row>
    <row r="293" spans="1:22" x14ac:dyDescent="0.25">
      <c r="A293" s="33"/>
      <c r="B293" s="31" t="s">
        <v>208</v>
      </c>
      <c r="C293" s="31">
        <v>306</v>
      </c>
      <c r="D293" s="31" t="s">
        <v>207</v>
      </c>
      <c r="E293" s="31" t="s">
        <v>207</v>
      </c>
      <c r="F293" s="31"/>
      <c r="G293" s="31" t="s">
        <v>206</v>
      </c>
      <c r="H293" s="31">
        <v>3502492255</v>
      </c>
      <c r="I293" s="31">
        <v>50</v>
      </c>
      <c r="J293" s="31">
        <v>150</v>
      </c>
      <c r="K293" s="31">
        <v>2250</v>
      </c>
      <c r="L293" s="31">
        <v>45</v>
      </c>
      <c r="M293" s="31">
        <v>15</v>
      </c>
      <c r="N293" s="31"/>
      <c r="O293" s="31">
        <v>306</v>
      </c>
      <c r="P293" s="31">
        <v>18133.333333333332</v>
      </c>
      <c r="Q293" s="31">
        <v>2250</v>
      </c>
      <c r="R293" s="31">
        <v>40800</v>
      </c>
      <c r="S293" s="31" t="s">
        <v>205</v>
      </c>
      <c r="T293" s="31"/>
      <c r="U293">
        <f>IFERROR(VLOOKUP(C293,Hoja4!$D$4:$E$273,2,FALSE),0)</f>
        <v>0</v>
      </c>
      <c r="V293">
        <f>IFERROR(VLOOKUP(C293,Hoja4!$A$4:$B$273,2,FALSE),0)</f>
        <v>0</v>
      </c>
    </row>
    <row r="294" spans="1:22" x14ac:dyDescent="0.25">
      <c r="A294" s="32">
        <v>0</v>
      </c>
      <c r="B294" s="30" t="s">
        <v>4</v>
      </c>
      <c r="C294" s="30">
        <v>307</v>
      </c>
      <c r="D294" s="30" t="s">
        <v>204</v>
      </c>
      <c r="E294" s="30" t="s">
        <v>203</v>
      </c>
      <c r="F294" s="30"/>
      <c r="G294" s="30" t="s">
        <v>26</v>
      </c>
      <c r="H294" s="30"/>
      <c r="I294" s="30"/>
      <c r="J294" s="30"/>
      <c r="K294" s="30">
        <v>0</v>
      </c>
      <c r="L294" s="30"/>
      <c r="M294" s="30"/>
      <c r="N294" s="30"/>
      <c r="O294" s="30">
        <v>307</v>
      </c>
      <c r="P294" s="30"/>
      <c r="Q294" s="30">
        <v>0</v>
      </c>
      <c r="R294" s="30"/>
      <c r="S294" s="30"/>
      <c r="T294" s="30"/>
      <c r="U294">
        <f>IFERROR(VLOOKUP(C294,Hoja4!$D$4:$E$273,2,FALSE),0)</f>
        <v>0</v>
      </c>
      <c r="V294">
        <f>IFERROR(VLOOKUP(C294,Hoja4!$A$4:$B$273,2,FALSE),0)</f>
        <v>0</v>
      </c>
    </row>
    <row r="295" spans="1:22" x14ac:dyDescent="0.25">
      <c r="A295" s="33">
        <v>0</v>
      </c>
      <c r="B295" s="31" t="s">
        <v>4</v>
      </c>
      <c r="C295" s="31">
        <v>308</v>
      </c>
      <c r="D295" s="31" t="s">
        <v>202</v>
      </c>
      <c r="E295" s="31" t="s">
        <v>202</v>
      </c>
      <c r="F295" s="31"/>
      <c r="G295" s="31" t="s">
        <v>26</v>
      </c>
      <c r="H295" s="31"/>
      <c r="I295" s="31"/>
      <c r="J295" s="31"/>
      <c r="K295" s="31">
        <v>0</v>
      </c>
      <c r="L295" s="31"/>
      <c r="M295" s="31"/>
      <c r="N295" s="31"/>
      <c r="O295" s="31">
        <v>308</v>
      </c>
      <c r="P295" s="31"/>
      <c r="Q295" s="31">
        <v>0</v>
      </c>
      <c r="R295" s="31"/>
      <c r="S295" s="31"/>
      <c r="T295" s="31"/>
      <c r="U295">
        <f>IFERROR(VLOOKUP(C295,Hoja4!$D$4:$E$273,2,FALSE),0)</f>
        <v>0</v>
      </c>
      <c r="V295">
        <f>IFERROR(VLOOKUP(C295,Hoja4!$A$4:$B$273,2,FALSE),0)</f>
        <v>0</v>
      </c>
    </row>
    <row r="296" spans="1:22" x14ac:dyDescent="0.25">
      <c r="A296" s="32">
        <v>46059</v>
      </c>
      <c r="B296" s="30" t="s">
        <v>63</v>
      </c>
      <c r="C296" s="30">
        <v>309</v>
      </c>
      <c r="D296" s="30" t="s">
        <v>201</v>
      </c>
      <c r="E296" s="30" t="s">
        <v>200</v>
      </c>
      <c r="F296" s="30"/>
      <c r="G296" s="30" t="s">
        <v>199</v>
      </c>
      <c r="H296" s="30">
        <v>3236121767</v>
      </c>
      <c r="I296" s="30">
        <v>54</v>
      </c>
      <c r="J296" s="30">
        <v>160</v>
      </c>
      <c r="K296" s="30">
        <v>2400</v>
      </c>
      <c r="L296" s="30">
        <v>44.444444444444443</v>
      </c>
      <c r="M296" s="30">
        <v>15</v>
      </c>
      <c r="N296" s="30">
        <v>46074</v>
      </c>
      <c r="O296" s="30">
        <v>309</v>
      </c>
      <c r="P296" s="30">
        <v>42250</v>
      </c>
      <c r="Q296" s="30">
        <v>2400</v>
      </c>
      <c r="R296" s="30">
        <v>101400</v>
      </c>
      <c r="S296" s="30" t="s">
        <v>198</v>
      </c>
      <c r="T296" s="30"/>
      <c r="U296">
        <f>IFERROR(VLOOKUP(C296,Hoja4!$D$4:$E$273,2,FALSE),0)</f>
        <v>1268</v>
      </c>
      <c r="V296">
        <f>IFERROR(VLOOKUP(C296,Hoja4!$A$4:$B$273,2,FALSE),0)</f>
        <v>0</v>
      </c>
    </row>
    <row r="297" spans="1:22" x14ac:dyDescent="0.25">
      <c r="A297" s="33">
        <v>46049</v>
      </c>
      <c r="B297" s="31" t="s">
        <v>4</v>
      </c>
      <c r="C297" s="31">
        <v>312</v>
      </c>
      <c r="D297" s="31" t="s">
        <v>197</v>
      </c>
      <c r="E297" s="31" t="s">
        <v>196</v>
      </c>
      <c r="F297" s="31"/>
      <c r="G297" s="31" t="s">
        <v>195</v>
      </c>
      <c r="H297" s="31">
        <v>3214355705</v>
      </c>
      <c r="I297" s="31">
        <v>60</v>
      </c>
      <c r="J297" s="31">
        <v>120</v>
      </c>
      <c r="K297" s="31">
        <v>1800</v>
      </c>
      <c r="L297" s="31">
        <v>30</v>
      </c>
      <c r="M297" s="31">
        <v>15</v>
      </c>
      <c r="N297" s="31">
        <v>46064</v>
      </c>
      <c r="O297" s="31">
        <v>312</v>
      </c>
      <c r="P297" s="31">
        <v>42666.666666666664</v>
      </c>
      <c r="Q297" s="31">
        <v>1800</v>
      </c>
      <c r="R297" s="31">
        <v>76800</v>
      </c>
      <c r="S297" s="31" t="s">
        <v>194</v>
      </c>
      <c r="T297" s="31"/>
      <c r="U297">
        <f>IFERROR(VLOOKUP(C297,Hoja4!$D$4:$E$273,2,FALSE),0)</f>
        <v>0</v>
      </c>
      <c r="V297">
        <f>IFERROR(VLOOKUP(C297,Hoja4!$A$4:$B$273,2,FALSE),0)</f>
        <v>0</v>
      </c>
    </row>
    <row r="298" spans="1:22" x14ac:dyDescent="0.25">
      <c r="A298" s="32">
        <v>46066</v>
      </c>
      <c r="B298" s="30" t="s">
        <v>63</v>
      </c>
      <c r="C298" s="30">
        <v>314</v>
      </c>
      <c r="D298" s="30" t="s">
        <v>193</v>
      </c>
      <c r="E298" s="30" t="s">
        <v>192</v>
      </c>
      <c r="F298" s="30"/>
      <c r="G298" s="30" t="s">
        <v>191</v>
      </c>
      <c r="H298" s="30">
        <v>3203811083</v>
      </c>
      <c r="I298" s="30">
        <v>60</v>
      </c>
      <c r="J298" s="30">
        <v>180</v>
      </c>
      <c r="K298" s="30">
        <v>2700</v>
      </c>
      <c r="L298" s="30">
        <v>45</v>
      </c>
      <c r="M298" s="30">
        <v>15</v>
      </c>
      <c r="N298" s="30">
        <v>46081</v>
      </c>
      <c r="O298" s="30">
        <v>314</v>
      </c>
      <c r="P298" s="30">
        <v>37037.037037037036</v>
      </c>
      <c r="Q298" s="30">
        <v>2700</v>
      </c>
      <c r="R298" s="30">
        <v>100000</v>
      </c>
      <c r="S298" s="30" t="s">
        <v>190</v>
      </c>
      <c r="T298" s="30"/>
      <c r="U298">
        <f>IFERROR(VLOOKUP(C298,Hoja4!$D$4:$E$273,2,FALSE),0)</f>
        <v>7733</v>
      </c>
      <c r="V298">
        <f>IFERROR(VLOOKUP(C298,Hoja4!$A$4:$B$273,2,FALSE),0)</f>
        <v>0</v>
      </c>
    </row>
    <row r="299" spans="1:22" x14ac:dyDescent="0.25">
      <c r="A299" s="33">
        <v>46069</v>
      </c>
      <c r="B299" s="31" t="s">
        <v>63</v>
      </c>
      <c r="C299" s="31">
        <v>315</v>
      </c>
      <c r="D299" s="31" t="s">
        <v>189</v>
      </c>
      <c r="E299" s="31" t="s">
        <v>189</v>
      </c>
      <c r="F299" s="31"/>
      <c r="G299" s="31" t="s">
        <v>188</v>
      </c>
      <c r="H299" s="31">
        <v>3150888802</v>
      </c>
      <c r="I299" s="31">
        <v>50</v>
      </c>
      <c r="J299" s="31">
        <v>150</v>
      </c>
      <c r="K299" s="31">
        <v>2250</v>
      </c>
      <c r="L299" s="31">
        <v>45</v>
      </c>
      <c r="M299" s="31">
        <v>15</v>
      </c>
      <c r="N299" s="31">
        <v>46084</v>
      </c>
      <c r="O299" s="31">
        <v>315</v>
      </c>
      <c r="P299" s="31">
        <v>36266.666666666664</v>
      </c>
      <c r="Q299" s="31">
        <v>2250</v>
      </c>
      <c r="R299" s="31">
        <v>81600</v>
      </c>
      <c r="S299" s="31" t="s">
        <v>187</v>
      </c>
      <c r="T299" s="31"/>
      <c r="U299">
        <f>IFERROR(VLOOKUP(C299,Hoja4!$D$4:$E$273,2,FALSE),0)</f>
        <v>720</v>
      </c>
      <c r="V299">
        <f>IFERROR(VLOOKUP(C299,Hoja4!$A$4:$B$273,2,FALSE),0)</f>
        <v>0</v>
      </c>
    </row>
    <row r="300" spans="1:22" x14ac:dyDescent="0.25">
      <c r="A300" s="32">
        <v>46050</v>
      </c>
      <c r="B300" s="30" t="s">
        <v>4</v>
      </c>
      <c r="C300" s="30">
        <v>318</v>
      </c>
      <c r="D300" s="30" t="s">
        <v>186</v>
      </c>
      <c r="E300" s="30" t="s">
        <v>186</v>
      </c>
      <c r="F300" s="30"/>
      <c r="G300" s="30" t="s">
        <v>185</v>
      </c>
      <c r="H300" s="30">
        <v>3005778771</v>
      </c>
      <c r="I300" s="30">
        <v>38</v>
      </c>
      <c r="J300" s="30">
        <v>114</v>
      </c>
      <c r="K300" s="30">
        <v>1710</v>
      </c>
      <c r="L300" s="30">
        <v>45</v>
      </c>
      <c r="M300" s="30">
        <v>15</v>
      </c>
      <c r="N300" s="30">
        <v>46065</v>
      </c>
      <c r="O300" s="30">
        <v>318</v>
      </c>
      <c r="P300" s="30">
        <v>57836.257309941517</v>
      </c>
      <c r="Q300" s="30">
        <v>1710</v>
      </c>
      <c r="R300" s="30">
        <v>98900</v>
      </c>
      <c r="S300" s="30" t="s">
        <v>184</v>
      </c>
      <c r="T300" s="30"/>
      <c r="U300">
        <f>IFERROR(VLOOKUP(C300,Hoja4!$D$4:$E$273,2,FALSE),0)</f>
        <v>0</v>
      </c>
      <c r="V300">
        <f>IFERROR(VLOOKUP(C300,Hoja4!$A$4:$B$273,2,FALSE),0)</f>
        <v>0</v>
      </c>
    </row>
    <row r="301" spans="1:22" x14ac:dyDescent="0.25">
      <c r="A301" s="33">
        <v>46069</v>
      </c>
      <c r="B301" s="31" t="s">
        <v>63</v>
      </c>
      <c r="C301" s="31">
        <v>320</v>
      </c>
      <c r="D301" s="31" t="s">
        <v>183</v>
      </c>
      <c r="E301" s="31" t="s">
        <v>182</v>
      </c>
      <c r="F301" s="31"/>
      <c r="G301" s="31" t="s">
        <v>176</v>
      </c>
      <c r="H301" s="31">
        <v>3107870557</v>
      </c>
      <c r="I301" s="31">
        <v>80</v>
      </c>
      <c r="J301" s="31">
        <v>160</v>
      </c>
      <c r="K301" s="31">
        <v>2400</v>
      </c>
      <c r="L301" s="31">
        <v>30</v>
      </c>
      <c r="M301" s="31">
        <v>15</v>
      </c>
      <c r="N301" s="31">
        <v>46084</v>
      </c>
      <c r="O301" s="31">
        <v>320</v>
      </c>
      <c r="P301" s="31">
        <v>42250</v>
      </c>
      <c r="Q301" s="31">
        <v>2400</v>
      </c>
      <c r="R301" s="31">
        <v>101400</v>
      </c>
      <c r="S301" s="31" t="s">
        <v>181</v>
      </c>
      <c r="T301" s="31"/>
      <c r="U301">
        <f>IFERROR(VLOOKUP(C301,Hoja4!$D$4:$E$273,2,FALSE),0)</f>
        <v>221702</v>
      </c>
      <c r="V301">
        <f>IFERROR(VLOOKUP(C301,Hoja4!$A$4:$B$273,2,FALSE),0)</f>
        <v>314800</v>
      </c>
    </row>
    <row r="302" spans="1:22" x14ac:dyDescent="0.25">
      <c r="A302" s="32">
        <v>46062</v>
      </c>
      <c r="B302" s="30" t="s">
        <v>63</v>
      </c>
      <c r="C302" s="30">
        <v>321</v>
      </c>
      <c r="D302" s="30" t="s">
        <v>180</v>
      </c>
      <c r="E302" s="30" t="s">
        <v>180</v>
      </c>
      <c r="F302" s="30"/>
      <c r="G302" s="30" t="s">
        <v>179</v>
      </c>
      <c r="H302" s="30">
        <v>3138806526</v>
      </c>
      <c r="I302" s="30">
        <v>75</v>
      </c>
      <c r="J302" s="30">
        <v>150</v>
      </c>
      <c r="K302" s="30">
        <v>2250</v>
      </c>
      <c r="L302" s="30">
        <v>30</v>
      </c>
      <c r="M302" s="30">
        <v>15</v>
      </c>
      <c r="N302" s="30">
        <v>46077</v>
      </c>
      <c r="O302" s="30">
        <v>321</v>
      </c>
      <c r="P302" s="30">
        <v>40266.666666666664</v>
      </c>
      <c r="Q302" s="30">
        <v>2250</v>
      </c>
      <c r="R302" s="30">
        <v>90600</v>
      </c>
      <c r="S302" s="30" t="s">
        <v>178</v>
      </c>
      <c r="T302" s="30"/>
      <c r="U302">
        <f>IFERROR(VLOOKUP(C302,Hoja4!$D$4:$E$273,2,FALSE),0)</f>
        <v>0</v>
      </c>
      <c r="V302">
        <f>IFERROR(VLOOKUP(C302,Hoja4!$A$4:$B$273,2,FALSE),0)</f>
        <v>0</v>
      </c>
    </row>
    <row r="303" spans="1:22" x14ac:dyDescent="0.25">
      <c r="A303" s="33">
        <v>46069</v>
      </c>
      <c r="B303" s="31" t="s">
        <v>63</v>
      </c>
      <c r="C303" s="31">
        <v>325</v>
      </c>
      <c r="D303" s="31" t="s">
        <v>177</v>
      </c>
      <c r="E303" s="31" t="s">
        <v>177</v>
      </c>
      <c r="F303" s="31"/>
      <c r="G303" s="31" t="s">
        <v>176</v>
      </c>
      <c r="H303" s="31">
        <v>3107870557</v>
      </c>
      <c r="I303" s="31">
        <v>50</v>
      </c>
      <c r="J303" s="31">
        <v>150</v>
      </c>
      <c r="K303" s="31">
        <v>2250</v>
      </c>
      <c r="L303" s="31">
        <v>45</v>
      </c>
      <c r="M303" s="31">
        <v>15</v>
      </c>
      <c r="N303" s="31">
        <v>46084</v>
      </c>
      <c r="O303" s="31">
        <v>325</v>
      </c>
      <c r="P303" s="31">
        <v>40266.666666666664</v>
      </c>
      <c r="Q303" s="31">
        <v>2250</v>
      </c>
      <c r="R303" s="31">
        <v>90600</v>
      </c>
      <c r="S303" s="31" t="s">
        <v>175</v>
      </c>
      <c r="T303" s="31"/>
      <c r="U303">
        <f>IFERROR(VLOOKUP(C303,Hoja4!$D$4:$E$273,2,FALSE),0)</f>
        <v>92800</v>
      </c>
      <c r="V303">
        <f>IFERROR(VLOOKUP(C303,Hoja4!$A$4:$B$273,2,FALSE),0)</f>
        <v>0</v>
      </c>
    </row>
    <row r="304" spans="1:22" x14ac:dyDescent="0.25">
      <c r="A304" s="32">
        <v>46071</v>
      </c>
      <c r="B304" s="30" t="s">
        <v>63</v>
      </c>
      <c r="C304" s="30">
        <v>329</v>
      </c>
      <c r="D304" s="30" t="s">
        <v>174</v>
      </c>
      <c r="E304" s="30" t="s">
        <v>174</v>
      </c>
      <c r="F304" s="30"/>
      <c r="G304" s="30" t="s">
        <v>173</v>
      </c>
      <c r="H304" s="30">
        <v>3114608587</v>
      </c>
      <c r="I304" s="30">
        <v>87</v>
      </c>
      <c r="J304" s="30">
        <v>260</v>
      </c>
      <c r="K304" s="30">
        <v>3900</v>
      </c>
      <c r="L304" s="30">
        <v>44.827586206896555</v>
      </c>
      <c r="M304" s="30">
        <v>15</v>
      </c>
      <c r="N304" s="30">
        <v>46086</v>
      </c>
      <c r="O304" s="30">
        <v>329</v>
      </c>
      <c r="P304" s="30">
        <v>25641.025641025641</v>
      </c>
      <c r="Q304" s="30">
        <v>3900</v>
      </c>
      <c r="R304" s="30">
        <v>100000</v>
      </c>
      <c r="S304" s="30" t="s">
        <v>172</v>
      </c>
      <c r="T304" s="30"/>
      <c r="U304">
        <f>IFERROR(VLOOKUP(C304,Hoja4!$D$4:$E$273,2,FALSE),0)</f>
        <v>770</v>
      </c>
      <c r="V304">
        <f>IFERROR(VLOOKUP(C304,Hoja4!$A$4:$B$273,2,FALSE),0)</f>
        <v>0</v>
      </c>
    </row>
    <row r="305" spans="1:22" x14ac:dyDescent="0.25">
      <c r="A305" s="33">
        <v>46058</v>
      </c>
      <c r="B305" s="31" t="s">
        <v>63</v>
      </c>
      <c r="C305" s="31">
        <v>330</v>
      </c>
      <c r="D305" s="31" t="s">
        <v>171</v>
      </c>
      <c r="E305" s="31" t="s">
        <v>171</v>
      </c>
      <c r="F305" s="31" t="s">
        <v>170</v>
      </c>
      <c r="G305" s="31" t="s">
        <v>169</v>
      </c>
      <c r="H305" s="31">
        <v>3123778450</v>
      </c>
      <c r="I305" s="31">
        <v>295</v>
      </c>
      <c r="J305" s="31">
        <v>590</v>
      </c>
      <c r="K305" s="31">
        <v>8850</v>
      </c>
      <c r="L305" s="31">
        <v>30</v>
      </c>
      <c r="M305" s="31">
        <v>15</v>
      </c>
      <c r="N305" s="31">
        <v>46073</v>
      </c>
      <c r="O305" s="31">
        <v>330</v>
      </c>
      <c r="P305" s="31">
        <v>30000</v>
      </c>
      <c r="Q305" s="31">
        <v>8850</v>
      </c>
      <c r="R305" s="31">
        <v>265500</v>
      </c>
      <c r="S305" s="31" t="s">
        <v>168</v>
      </c>
      <c r="T305" s="31" t="s">
        <v>167</v>
      </c>
      <c r="U305">
        <f>IFERROR(VLOOKUP(C305,Hoja4!$D$4:$E$273,2,FALSE),0)</f>
        <v>0</v>
      </c>
      <c r="V305">
        <f>IFERROR(VLOOKUP(C305,Hoja4!$A$4:$B$273,2,FALSE),0)</f>
        <v>100</v>
      </c>
    </row>
    <row r="306" spans="1:22" x14ac:dyDescent="0.25">
      <c r="A306" s="32">
        <v>46059</v>
      </c>
      <c r="B306" s="30" t="s">
        <v>63</v>
      </c>
      <c r="C306" s="30">
        <v>331</v>
      </c>
      <c r="D306" s="30" t="s">
        <v>166</v>
      </c>
      <c r="E306" s="30" t="s">
        <v>166</v>
      </c>
      <c r="F306" s="30"/>
      <c r="G306" s="30" t="s">
        <v>61</v>
      </c>
      <c r="H306" s="30">
        <v>3103037684</v>
      </c>
      <c r="I306" s="30">
        <v>53</v>
      </c>
      <c r="J306" s="30">
        <v>53</v>
      </c>
      <c r="K306" s="30">
        <v>795</v>
      </c>
      <c r="L306" s="30">
        <v>15</v>
      </c>
      <c r="M306" s="30">
        <v>15</v>
      </c>
      <c r="N306" s="30">
        <v>46074</v>
      </c>
      <c r="O306" s="30">
        <v>331</v>
      </c>
      <c r="P306" s="30">
        <v>68867.924528301883</v>
      </c>
      <c r="Q306" s="30">
        <v>795</v>
      </c>
      <c r="R306" s="30">
        <v>54750</v>
      </c>
      <c r="S306" s="30" t="s">
        <v>165</v>
      </c>
      <c r="T306" s="30"/>
      <c r="U306">
        <f>IFERROR(VLOOKUP(C306,Hoja4!$D$4:$E$273,2,FALSE),0)</f>
        <v>0</v>
      </c>
      <c r="V306">
        <f>IFERROR(VLOOKUP(C306,Hoja4!$A$4:$B$273,2,FALSE),0)</f>
        <v>54750</v>
      </c>
    </row>
    <row r="307" spans="1:22" x14ac:dyDescent="0.25">
      <c r="A307" s="33">
        <v>46062</v>
      </c>
      <c r="B307" s="31" t="s">
        <v>63</v>
      </c>
      <c r="C307" s="31">
        <v>336</v>
      </c>
      <c r="D307" s="31" t="s">
        <v>164</v>
      </c>
      <c r="E307" s="31" t="s">
        <v>164</v>
      </c>
      <c r="F307" s="31"/>
      <c r="G307" s="31" t="s">
        <v>163</v>
      </c>
      <c r="H307" s="31">
        <v>3133765115</v>
      </c>
      <c r="I307" s="31">
        <v>235</v>
      </c>
      <c r="J307" s="31">
        <v>470</v>
      </c>
      <c r="K307" s="31">
        <v>3290</v>
      </c>
      <c r="L307" s="31">
        <v>14</v>
      </c>
      <c r="M307" s="31">
        <v>7</v>
      </c>
      <c r="N307" s="31">
        <v>46069</v>
      </c>
      <c r="O307" s="31">
        <v>336</v>
      </c>
      <c r="P307" s="31">
        <v>27902.73556231003</v>
      </c>
      <c r="Q307" s="31">
        <v>3290</v>
      </c>
      <c r="R307" s="31">
        <v>91800</v>
      </c>
      <c r="S307" s="31" t="s">
        <v>162</v>
      </c>
      <c r="T307" s="31" t="s">
        <v>161</v>
      </c>
      <c r="U307">
        <f>IFERROR(VLOOKUP(C307,Hoja4!$D$4:$E$273,2,FALSE),0)</f>
        <v>0</v>
      </c>
      <c r="V307">
        <f>IFERROR(VLOOKUP(C307,Hoja4!$A$4:$B$273,2,FALSE),0)</f>
        <v>0</v>
      </c>
    </row>
    <row r="308" spans="1:22" x14ac:dyDescent="0.25">
      <c r="A308" s="32">
        <v>46073</v>
      </c>
      <c r="B308" s="30" t="s">
        <v>63</v>
      </c>
      <c r="C308" s="30">
        <v>337</v>
      </c>
      <c r="D308" s="30" t="s">
        <v>160</v>
      </c>
      <c r="E308" s="30" t="s">
        <v>160</v>
      </c>
      <c r="F308" s="30"/>
      <c r="G308" s="30" t="s">
        <v>159</v>
      </c>
      <c r="H308" s="30">
        <v>3016949975</v>
      </c>
      <c r="I308" s="30">
        <v>160</v>
      </c>
      <c r="J308" s="30">
        <v>320</v>
      </c>
      <c r="K308" s="30">
        <v>9600</v>
      </c>
      <c r="L308" s="30">
        <v>60</v>
      </c>
      <c r="M308" s="30">
        <v>30</v>
      </c>
      <c r="N308" s="30">
        <v>46103</v>
      </c>
      <c r="O308" s="30">
        <v>337</v>
      </c>
      <c r="P308" s="30">
        <v>15000</v>
      </c>
      <c r="Q308" s="30">
        <v>9600</v>
      </c>
      <c r="R308" s="30">
        <v>144000</v>
      </c>
      <c r="S308" s="30" t="s">
        <v>158</v>
      </c>
      <c r="T308" s="30"/>
      <c r="U308">
        <f>IFERROR(VLOOKUP(C308,Hoja4!$D$4:$E$273,2,FALSE),0)</f>
        <v>144000</v>
      </c>
      <c r="V308">
        <f>IFERROR(VLOOKUP(C308,Hoja4!$A$4:$B$273,2,FALSE),0)</f>
        <v>0</v>
      </c>
    </row>
    <row r="309" spans="1:22" x14ac:dyDescent="0.25">
      <c r="A309" s="33">
        <v>46035</v>
      </c>
      <c r="B309" s="31" t="s">
        <v>4</v>
      </c>
      <c r="C309" s="31">
        <v>1000128</v>
      </c>
      <c r="D309" s="31" t="s">
        <v>157</v>
      </c>
      <c r="E309" s="31" t="s">
        <v>157</v>
      </c>
      <c r="F309" s="31"/>
      <c r="G309" s="31" t="s">
        <v>156</v>
      </c>
      <c r="H309" s="31">
        <v>3195945515</v>
      </c>
      <c r="I309" s="31">
        <v>170</v>
      </c>
      <c r="J309" s="31">
        <v>340</v>
      </c>
      <c r="K309" s="31">
        <v>2380</v>
      </c>
      <c r="L309" s="31">
        <v>14</v>
      </c>
      <c r="M309" s="31">
        <v>7</v>
      </c>
      <c r="N309" s="31">
        <v>46042</v>
      </c>
      <c r="O309" s="31">
        <v>1000128</v>
      </c>
      <c r="P309" s="31">
        <v>4201.680672268908</v>
      </c>
      <c r="Q309" s="31">
        <v>2380</v>
      </c>
      <c r="R309" s="31">
        <v>10000</v>
      </c>
      <c r="S309" s="31" t="s">
        <v>155</v>
      </c>
      <c r="T309" s="31"/>
      <c r="U309">
        <f>IFERROR(VLOOKUP(C309,Hoja4!$D$4:$E$273,2,FALSE),0)</f>
        <v>0</v>
      </c>
      <c r="V309">
        <f>IFERROR(VLOOKUP(C309,Hoja4!$A$4:$B$273,2,FALSE),0)</f>
        <v>0</v>
      </c>
    </row>
    <row r="310" spans="1:22" x14ac:dyDescent="0.25">
      <c r="A310" s="32">
        <v>46050</v>
      </c>
      <c r="B310" s="30" t="s">
        <v>4</v>
      </c>
      <c r="C310" s="30">
        <v>1000319</v>
      </c>
      <c r="D310" s="30" t="s">
        <v>154</v>
      </c>
      <c r="E310" s="30" t="s">
        <v>153</v>
      </c>
      <c r="F310" s="30"/>
      <c r="G310" s="30" t="s">
        <v>152</v>
      </c>
      <c r="H310" s="30">
        <v>3112580224</v>
      </c>
      <c r="I310" s="30">
        <v>203</v>
      </c>
      <c r="J310" s="30">
        <v>610</v>
      </c>
      <c r="K310" s="30">
        <v>9150</v>
      </c>
      <c r="L310" s="30">
        <v>45.073891625615765</v>
      </c>
      <c r="M310" s="30">
        <v>15</v>
      </c>
      <c r="N310" s="30">
        <v>46065</v>
      </c>
      <c r="O310" s="30">
        <v>1000319</v>
      </c>
      <c r="P310" s="30">
        <v>28639.344262295079</v>
      </c>
      <c r="Q310" s="30">
        <v>9150</v>
      </c>
      <c r="R310" s="30">
        <v>262050</v>
      </c>
      <c r="S310" s="30" t="s">
        <v>151</v>
      </c>
      <c r="T310" s="30" t="s">
        <v>150</v>
      </c>
      <c r="U310">
        <f>IFERROR(VLOOKUP(C310,Hoja4!$D$4:$E$273,2,FALSE),0)</f>
        <v>800</v>
      </c>
      <c r="V310">
        <f>IFERROR(VLOOKUP(C310,Hoja4!$A$4:$B$273,2,FALSE),0)</f>
        <v>0</v>
      </c>
    </row>
    <row r="311" spans="1:22" x14ac:dyDescent="0.25">
      <c r="A311" s="33">
        <v>46052</v>
      </c>
      <c r="B311" s="31" t="s">
        <v>4</v>
      </c>
      <c r="C311" s="31">
        <v>1000323</v>
      </c>
      <c r="D311" s="31" t="s">
        <v>149</v>
      </c>
      <c r="E311" s="31" t="s">
        <v>148</v>
      </c>
      <c r="F311" s="31"/>
      <c r="G311" s="31" t="s">
        <v>147</v>
      </c>
      <c r="H311" s="31">
        <v>3102938752</v>
      </c>
      <c r="I311" s="31">
        <v>56</v>
      </c>
      <c r="J311" s="31">
        <v>112</v>
      </c>
      <c r="K311" s="31">
        <v>1680</v>
      </c>
      <c r="L311" s="31">
        <v>30</v>
      </c>
      <c r="M311" s="31">
        <v>15</v>
      </c>
      <c r="N311" s="31">
        <v>46067</v>
      </c>
      <c r="O311" s="31">
        <v>1000323</v>
      </c>
      <c r="P311" s="31">
        <v>47916.666666666664</v>
      </c>
      <c r="Q311" s="31">
        <v>1680</v>
      </c>
      <c r="R311" s="31">
        <v>80500</v>
      </c>
      <c r="S311" s="31" t="s">
        <v>146</v>
      </c>
      <c r="T311" s="31"/>
      <c r="U311">
        <f>IFERROR(VLOOKUP(C311,Hoja4!$D$4:$E$273,2,FALSE),0)</f>
        <v>0</v>
      </c>
      <c r="V311">
        <f>IFERROR(VLOOKUP(C311,Hoja4!$A$4:$B$273,2,FALSE),0)</f>
        <v>0</v>
      </c>
    </row>
    <row r="312" spans="1:22" x14ac:dyDescent="0.25">
      <c r="A312" s="32">
        <v>46055</v>
      </c>
      <c r="B312" s="30" t="s">
        <v>63</v>
      </c>
      <c r="C312" s="30">
        <v>1000324</v>
      </c>
      <c r="D312" s="30" t="s">
        <v>145</v>
      </c>
      <c r="E312" s="30" t="s">
        <v>145</v>
      </c>
      <c r="F312" s="30"/>
      <c r="G312" s="30" t="s">
        <v>144</v>
      </c>
      <c r="H312" s="30">
        <v>3112384646</v>
      </c>
      <c r="I312" s="30">
        <v>245</v>
      </c>
      <c r="J312" s="30">
        <v>490</v>
      </c>
      <c r="K312" s="30">
        <v>3430</v>
      </c>
      <c r="L312" s="30">
        <v>14</v>
      </c>
      <c r="M312" s="30">
        <v>7</v>
      </c>
      <c r="N312" s="30">
        <v>46062</v>
      </c>
      <c r="O312" s="30">
        <v>1000324</v>
      </c>
      <c r="P312" s="30">
        <v>81516.034985422739</v>
      </c>
      <c r="Q312" s="30">
        <v>3430</v>
      </c>
      <c r="R312" s="30">
        <v>279600</v>
      </c>
      <c r="S312" s="30" t="s">
        <v>143</v>
      </c>
      <c r="T312" s="30"/>
      <c r="U312">
        <f>IFERROR(VLOOKUP(C312,Hoja4!$D$4:$E$273,2,FALSE),0)</f>
        <v>0</v>
      </c>
      <c r="V312">
        <f>IFERROR(VLOOKUP(C312,Hoja4!$A$4:$B$273,2,FALSE),0)</f>
        <v>0</v>
      </c>
    </row>
    <row r="313" spans="1:22" x14ac:dyDescent="0.25">
      <c r="A313" s="33">
        <v>46055</v>
      </c>
      <c r="B313" s="31" t="s">
        <v>63</v>
      </c>
      <c r="C313" s="31">
        <v>1000326</v>
      </c>
      <c r="D313" s="31" t="s">
        <v>142</v>
      </c>
      <c r="E313" s="31" t="s">
        <v>141</v>
      </c>
      <c r="F313" s="31"/>
      <c r="G313" s="31" t="s">
        <v>140</v>
      </c>
      <c r="H313" s="31">
        <v>3013160163</v>
      </c>
      <c r="I313" s="31">
        <v>25</v>
      </c>
      <c r="J313" s="31">
        <v>50</v>
      </c>
      <c r="K313" s="31">
        <v>350</v>
      </c>
      <c r="L313" s="31">
        <v>14</v>
      </c>
      <c r="M313" s="31">
        <v>7</v>
      </c>
      <c r="N313" s="31">
        <v>46062</v>
      </c>
      <c r="O313" s="31">
        <v>1000326</v>
      </c>
      <c r="P313" s="31">
        <v>200571.42857142855</v>
      </c>
      <c r="Q313" s="31">
        <v>350</v>
      </c>
      <c r="R313" s="31">
        <v>70200</v>
      </c>
      <c r="S313" s="31" t="s">
        <v>139</v>
      </c>
      <c r="T313" s="31"/>
      <c r="U313">
        <f>IFERROR(VLOOKUP(C313,Hoja4!$D$4:$E$273,2,FALSE),0)</f>
        <v>0</v>
      </c>
      <c r="V313">
        <f>IFERROR(VLOOKUP(C313,Hoja4!$A$4:$B$273,2,FALSE),0)</f>
        <v>0</v>
      </c>
    </row>
    <row r="314" spans="1:22" x14ac:dyDescent="0.25">
      <c r="A314" s="32">
        <v>46057</v>
      </c>
      <c r="B314" s="30" t="s">
        <v>63</v>
      </c>
      <c r="C314" s="30">
        <v>1000328</v>
      </c>
      <c r="D314" s="30" t="s">
        <v>138</v>
      </c>
      <c r="E314" s="30" t="s">
        <v>138</v>
      </c>
      <c r="F314" s="30"/>
      <c r="G314" s="30" t="s">
        <v>137</v>
      </c>
      <c r="H314" s="30">
        <v>3164366889</v>
      </c>
      <c r="I314" s="30">
        <v>240</v>
      </c>
      <c r="J314" s="30">
        <v>480</v>
      </c>
      <c r="K314" s="30">
        <v>3360</v>
      </c>
      <c r="L314" s="30">
        <v>14</v>
      </c>
      <c r="M314" s="30">
        <v>7</v>
      </c>
      <c r="N314" s="30">
        <v>46064</v>
      </c>
      <c r="O314" s="30">
        <v>1000328</v>
      </c>
      <c r="P314" s="30">
        <v>81607.142857142855</v>
      </c>
      <c r="Q314" s="30">
        <v>3360</v>
      </c>
      <c r="R314" s="30">
        <v>274200</v>
      </c>
      <c r="S314" s="30" t="s">
        <v>136</v>
      </c>
      <c r="T314" s="30"/>
      <c r="U314">
        <f>IFERROR(VLOOKUP(C314,Hoja4!$D$4:$E$273,2,FALSE),0)</f>
        <v>0</v>
      </c>
      <c r="V314">
        <f>IFERROR(VLOOKUP(C314,Hoja4!$A$4:$B$273,2,FALSE),0)</f>
        <v>0</v>
      </c>
    </row>
    <row r="315" spans="1:22" x14ac:dyDescent="0.25">
      <c r="A315" s="33">
        <v>46059</v>
      </c>
      <c r="B315" s="31" t="s">
        <v>63</v>
      </c>
      <c r="C315" s="31">
        <v>1000332</v>
      </c>
      <c r="D315" s="31" t="s">
        <v>135</v>
      </c>
      <c r="E315" s="31" t="s">
        <v>135</v>
      </c>
      <c r="F315" s="31"/>
      <c r="G315" s="31" t="s">
        <v>134</v>
      </c>
      <c r="H315" s="31">
        <v>3142449979</v>
      </c>
      <c r="I315" s="31">
        <v>140</v>
      </c>
      <c r="J315" s="31">
        <v>280</v>
      </c>
      <c r="K315" s="31">
        <v>1960</v>
      </c>
      <c r="L315" s="31">
        <v>14</v>
      </c>
      <c r="M315" s="31">
        <v>7</v>
      </c>
      <c r="N315" s="31">
        <v>46066</v>
      </c>
      <c r="O315" s="31">
        <v>1000332</v>
      </c>
      <c r="P315" s="31">
        <v>7653.0612244897948</v>
      </c>
      <c r="Q315" s="31">
        <v>1960</v>
      </c>
      <c r="R315" s="31">
        <v>15000</v>
      </c>
      <c r="S315" s="31" t="s">
        <v>133</v>
      </c>
      <c r="T315" s="31"/>
      <c r="U315">
        <f>IFERROR(VLOOKUP(C315,Hoja4!$D$4:$E$273,2,FALSE),0)</f>
        <v>0</v>
      </c>
      <c r="V315">
        <f>IFERROR(VLOOKUP(C315,Hoja4!$A$4:$B$273,2,FALSE),0)</f>
        <v>0</v>
      </c>
    </row>
    <row r="316" spans="1:22" x14ac:dyDescent="0.25">
      <c r="A316" s="32">
        <v>46062</v>
      </c>
      <c r="B316" s="30" t="s">
        <v>63</v>
      </c>
      <c r="C316" s="30">
        <v>1000333</v>
      </c>
      <c r="D316" s="30" t="s">
        <v>132</v>
      </c>
      <c r="E316" s="30" t="s">
        <v>132</v>
      </c>
      <c r="F316" s="30"/>
      <c r="G316" s="30" t="s">
        <v>131</v>
      </c>
      <c r="H316" s="30">
        <v>3117070509</v>
      </c>
      <c r="I316" s="30">
        <v>32</v>
      </c>
      <c r="J316" s="30">
        <v>63</v>
      </c>
      <c r="K316" s="30">
        <v>441</v>
      </c>
      <c r="L316" s="30">
        <v>13.78125</v>
      </c>
      <c r="M316" s="30">
        <v>7</v>
      </c>
      <c r="N316" s="30">
        <v>46069</v>
      </c>
      <c r="O316" s="30">
        <v>1000333</v>
      </c>
      <c r="P316" s="30">
        <v>142857.14285714287</v>
      </c>
      <c r="Q316" s="30">
        <v>441</v>
      </c>
      <c r="R316" s="30">
        <v>63000</v>
      </c>
      <c r="S316" s="30" t="s">
        <v>130</v>
      </c>
      <c r="T316" s="30"/>
      <c r="U316">
        <f>IFERROR(VLOOKUP(C316,Hoja4!$D$4:$E$273,2,FALSE),0)</f>
        <v>0</v>
      </c>
      <c r="V316">
        <f>IFERROR(VLOOKUP(C316,Hoja4!$A$4:$B$273,2,FALSE),0)</f>
        <v>0</v>
      </c>
    </row>
    <row r="317" spans="1:22" x14ac:dyDescent="0.25">
      <c r="A317" s="33">
        <v>46062</v>
      </c>
      <c r="B317" s="31" t="s">
        <v>63</v>
      </c>
      <c r="C317" s="31">
        <v>1000334</v>
      </c>
      <c r="D317" s="31" t="s">
        <v>129</v>
      </c>
      <c r="E317" s="31" t="s">
        <v>129</v>
      </c>
      <c r="F317" s="31"/>
      <c r="G317" s="31" t="s">
        <v>128</v>
      </c>
      <c r="H317" s="31">
        <v>3009485868</v>
      </c>
      <c r="I317" s="31">
        <v>63</v>
      </c>
      <c r="J317" s="31">
        <v>190</v>
      </c>
      <c r="K317" s="31">
        <v>1330</v>
      </c>
      <c r="L317" s="31">
        <v>21.111111111111111</v>
      </c>
      <c r="M317" s="31">
        <v>7</v>
      </c>
      <c r="N317" s="31">
        <v>46069</v>
      </c>
      <c r="O317" s="31">
        <v>1000334</v>
      </c>
      <c r="P317" s="31">
        <v>92180.451127819557</v>
      </c>
      <c r="Q317" s="31">
        <v>1330</v>
      </c>
      <c r="R317" s="31">
        <v>122600</v>
      </c>
      <c r="S317" s="31" t="s">
        <v>127</v>
      </c>
      <c r="T317" s="31"/>
      <c r="U317">
        <f>IFERROR(VLOOKUP(C317,Hoja4!$D$4:$E$273,2,FALSE),0)</f>
        <v>0</v>
      </c>
      <c r="V317">
        <f>IFERROR(VLOOKUP(C317,Hoja4!$A$4:$B$273,2,FALSE),0)</f>
        <v>0</v>
      </c>
    </row>
    <row r="318" spans="1:22" x14ac:dyDescent="0.25">
      <c r="A318" s="32">
        <v>46062</v>
      </c>
      <c r="B318" s="30" t="s">
        <v>63</v>
      </c>
      <c r="C318" s="30">
        <v>1000335</v>
      </c>
      <c r="D318" s="30" t="s">
        <v>126</v>
      </c>
      <c r="E318" s="30" t="s">
        <v>126</v>
      </c>
      <c r="F318" s="30"/>
      <c r="G318" s="30" t="s">
        <v>125</v>
      </c>
      <c r="H318" s="30">
        <v>3162225095</v>
      </c>
      <c r="I318" s="30">
        <v>90</v>
      </c>
      <c r="J318" s="30">
        <v>180</v>
      </c>
      <c r="K318" s="30">
        <v>1260</v>
      </c>
      <c r="L318" s="30">
        <v>14</v>
      </c>
      <c r="M318" s="30">
        <v>7</v>
      </c>
      <c r="N318" s="30">
        <v>46069</v>
      </c>
      <c r="O318" s="30">
        <v>1000335</v>
      </c>
      <c r="P318" s="30">
        <v>93015.873015873018</v>
      </c>
      <c r="Q318" s="30">
        <v>1260</v>
      </c>
      <c r="R318" s="30">
        <v>117200</v>
      </c>
      <c r="S318" s="30" t="s">
        <v>124</v>
      </c>
      <c r="T318" s="30"/>
      <c r="U318">
        <f>IFERROR(VLOOKUP(C318,Hoja4!$D$4:$E$273,2,FALSE),0)</f>
        <v>0</v>
      </c>
      <c r="V318">
        <f>IFERROR(VLOOKUP(C318,Hoja4!$A$4:$B$273,2,FALSE),0)</f>
        <v>0</v>
      </c>
    </row>
    <row r="319" spans="1:22" x14ac:dyDescent="0.25">
      <c r="A319" s="33">
        <v>46064</v>
      </c>
      <c r="B319" s="31" t="s">
        <v>63</v>
      </c>
      <c r="C319" s="31">
        <v>1000338</v>
      </c>
      <c r="D319" s="31" t="s">
        <v>123</v>
      </c>
      <c r="E319" s="31" t="s">
        <v>123</v>
      </c>
      <c r="F319" s="31"/>
      <c r="G319" s="31" t="s">
        <v>122</v>
      </c>
      <c r="H319" s="31">
        <v>3182545192</v>
      </c>
      <c r="I319" s="31">
        <v>240</v>
      </c>
      <c r="J319" s="31">
        <v>480</v>
      </c>
      <c r="K319" s="31">
        <v>3360</v>
      </c>
      <c r="L319" s="31">
        <v>14</v>
      </c>
      <c r="M319" s="31">
        <v>7</v>
      </c>
      <c r="N319" s="31">
        <v>46071</v>
      </c>
      <c r="O319" s="31">
        <v>1000338</v>
      </c>
      <c r="P319" s="31">
        <v>81607.142857142855</v>
      </c>
      <c r="Q319" s="31">
        <v>3360</v>
      </c>
      <c r="R319" s="31">
        <v>274200</v>
      </c>
      <c r="S319" s="31" t="s">
        <v>121</v>
      </c>
      <c r="T319" s="31"/>
      <c r="U319">
        <f>IFERROR(VLOOKUP(C319,Hoja4!$D$4:$E$273,2,FALSE),0)</f>
        <v>0</v>
      </c>
      <c r="V319">
        <f>IFERROR(VLOOKUP(C319,Hoja4!$A$4:$B$273,2,FALSE),0)</f>
        <v>0</v>
      </c>
    </row>
    <row r="320" spans="1:22" x14ac:dyDescent="0.25">
      <c r="A320" s="32">
        <v>46063</v>
      </c>
      <c r="B320" s="30" t="s">
        <v>63</v>
      </c>
      <c r="C320" s="30">
        <v>1000339</v>
      </c>
      <c r="D320" s="30" t="s">
        <v>120</v>
      </c>
      <c r="E320" s="30" t="s">
        <v>120</v>
      </c>
      <c r="F320" s="30"/>
      <c r="G320" s="30" t="s">
        <v>119</v>
      </c>
      <c r="H320" s="30">
        <v>3114786136</v>
      </c>
      <c r="I320" s="30">
        <v>186</v>
      </c>
      <c r="J320" s="30">
        <v>560</v>
      </c>
      <c r="K320" s="30">
        <v>3920</v>
      </c>
      <c r="L320" s="30">
        <v>21.0752688172043</v>
      </c>
      <c r="M320" s="30">
        <v>7</v>
      </c>
      <c r="N320" s="30">
        <v>46070</v>
      </c>
      <c r="O320" s="30">
        <v>1000339</v>
      </c>
      <c r="P320" s="30">
        <v>61683.673469387759</v>
      </c>
      <c r="Q320" s="30">
        <v>3920</v>
      </c>
      <c r="R320" s="30">
        <v>241800</v>
      </c>
      <c r="S320" s="30" t="s">
        <v>118</v>
      </c>
      <c r="T320" s="30"/>
      <c r="U320">
        <f>IFERROR(VLOOKUP(C320,Hoja4!$D$4:$E$273,2,FALSE),0)</f>
        <v>0</v>
      </c>
      <c r="V320">
        <f>IFERROR(VLOOKUP(C320,Hoja4!$A$4:$B$273,2,FALSE),0)</f>
        <v>0</v>
      </c>
    </row>
    <row r="321" spans="1:22" x14ac:dyDescent="0.25">
      <c r="A321" s="33">
        <v>46063</v>
      </c>
      <c r="B321" s="31" t="s">
        <v>63</v>
      </c>
      <c r="C321" s="31">
        <v>1000340</v>
      </c>
      <c r="D321" s="31" t="s">
        <v>117</v>
      </c>
      <c r="E321" s="31" t="s">
        <v>117</v>
      </c>
      <c r="F321" s="31"/>
      <c r="G321" s="31" t="s">
        <v>116</v>
      </c>
      <c r="H321" s="31">
        <v>3195776916</v>
      </c>
      <c r="I321" s="31">
        <v>93</v>
      </c>
      <c r="J321" s="31">
        <v>280</v>
      </c>
      <c r="K321" s="31">
        <v>1960</v>
      </c>
      <c r="L321" s="31">
        <v>21.0752688172043</v>
      </c>
      <c r="M321" s="31">
        <v>7</v>
      </c>
      <c r="N321" s="31">
        <v>46070</v>
      </c>
      <c r="O321" s="31">
        <v>1000340</v>
      </c>
      <c r="P321" s="31">
        <v>84795.918367346938</v>
      </c>
      <c r="Q321" s="31">
        <v>1960</v>
      </c>
      <c r="R321" s="31">
        <v>166200</v>
      </c>
      <c r="S321" s="31" t="s">
        <v>115</v>
      </c>
      <c r="T321" s="31"/>
      <c r="U321">
        <f>IFERROR(VLOOKUP(C321,Hoja4!$D$4:$E$273,2,FALSE),0)</f>
        <v>0</v>
      </c>
      <c r="V321">
        <f>IFERROR(VLOOKUP(C321,Hoja4!$A$4:$B$273,2,FALSE),0)</f>
        <v>0</v>
      </c>
    </row>
    <row r="322" spans="1:22" x14ac:dyDescent="0.25">
      <c r="A322" s="32">
        <v>46063</v>
      </c>
      <c r="B322" s="30" t="s">
        <v>63</v>
      </c>
      <c r="C322" s="30">
        <v>1000341</v>
      </c>
      <c r="D322" s="30" t="s">
        <v>114</v>
      </c>
      <c r="E322" s="30" t="s">
        <v>114</v>
      </c>
      <c r="F322" s="30"/>
      <c r="G322" s="30" t="s">
        <v>113</v>
      </c>
      <c r="H322" s="30">
        <v>3203684898</v>
      </c>
      <c r="I322" s="30">
        <v>175</v>
      </c>
      <c r="J322" s="30">
        <v>350</v>
      </c>
      <c r="K322" s="30">
        <v>2450</v>
      </c>
      <c r="L322" s="30">
        <v>14</v>
      </c>
      <c r="M322" s="30">
        <v>7</v>
      </c>
      <c r="N322" s="30">
        <v>46070</v>
      </c>
      <c r="O322" s="30">
        <v>1000341</v>
      </c>
      <c r="P322" s="30">
        <v>85306.1224489796</v>
      </c>
      <c r="Q322" s="30">
        <v>2450</v>
      </c>
      <c r="R322" s="30">
        <v>209000</v>
      </c>
      <c r="S322" s="30" t="s">
        <v>112</v>
      </c>
      <c r="T322" s="30"/>
      <c r="U322">
        <f>IFERROR(VLOOKUP(C322,Hoja4!$D$4:$E$273,2,FALSE),0)</f>
        <v>0</v>
      </c>
      <c r="V322">
        <f>IFERROR(VLOOKUP(C322,Hoja4!$A$4:$B$273,2,FALSE),0)</f>
        <v>0</v>
      </c>
    </row>
    <row r="323" spans="1:22" x14ac:dyDescent="0.25">
      <c r="A323" s="33">
        <v>46064</v>
      </c>
      <c r="B323" s="31" t="s">
        <v>63</v>
      </c>
      <c r="C323" s="31">
        <v>1000342</v>
      </c>
      <c r="D323" s="31" t="s">
        <v>111</v>
      </c>
      <c r="E323" s="31" t="s">
        <v>110</v>
      </c>
      <c r="F323" s="31"/>
      <c r="G323" s="31" t="s">
        <v>109</v>
      </c>
      <c r="H323" s="31">
        <v>3006547409</v>
      </c>
      <c r="I323" s="31">
        <v>225</v>
      </c>
      <c r="J323" s="31">
        <v>450</v>
      </c>
      <c r="K323" s="31">
        <v>3150</v>
      </c>
      <c r="L323" s="31">
        <v>14</v>
      </c>
      <c r="M323" s="31">
        <v>7</v>
      </c>
      <c r="N323" s="31">
        <v>46071</v>
      </c>
      <c r="O323" s="31">
        <v>1000342</v>
      </c>
      <c r="P323" s="31">
        <v>81904.761904761894</v>
      </c>
      <c r="Q323" s="31">
        <v>3150</v>
      </c>
      <c r="R323" s="31">
        <v>258000</v>
      </c>
      <c r="S323" s="31" t="s">
        <v>108</v>
      </c>
      <c r="T323" s="31"/>
      <c r="U323">
        <f>IFERROR(VLOOKUP(C323,Hoja4!$D$4:$E$273,2,FALSE),0)</f>
        <v>0</v>
      </c>
      <c r="V323">
        <f>IFERROR(VLOOKUP(C323,Hoja4!$A$4:$B$273,2,FALSE),0)</f>
        <v>0</v>
      </c>
    </row>
    <row r="324" spans="1:22" x14ac:dyDescent="0.25">
      <c r="A324" s="32">
        <v>46065</v>
      </c>
      <c r="B324" s="30" t="s">
        <v>63</v>
      </c>
      <c r="C324" s="30">
        <v>1000343</v>
      </c>
      <c r="D324" s="30" t="s">
        <v>107</v>
      </c>
      <c r="E324" s="30" t="s">
        <v>107</v>
      </c>
      <c r="F324" s="30"/>
      <c r="G324" s="30" t="s">
        <v>106</v>
      </c>
      <c r="H324" s="30">
        <v>3196688204</v>
      </c>
      <c r="I324" s="30">
        <v>30</v>
      </c>
      <c r="J324" s="30">
        <v>60</v>
      </c>
      <c r="K324" s="30">
        <v>420</v>
      </c>
      <c r="L324" s="30">
        <v>14</v>
      </c>
      <c r="M324" s="30">
        <v>7</v>
      </c>
      <c r="N324" s="30">
        <v>46072</v>
      </c>
      <c r="O324" s="30">
        <v>1000343</v>
      </c>
      <c r="P324" s="30">
        <v>141071.42857142858</v>
      </c>
      <c r="Q324" s="30">
        <v>420</v>
      </c>
      <c r="R324" s="30">
        <v>59250</v>
      </c>
      <c r="S324" s="30" t="s">
        <v>105</v>
      </c>
      <c r="T324" s="30"/>
      <c r="U324">
        <f>IFERROR(VLOOKUP(C324,Hoja4!$D$4:$E$273,2,FALSE),0)</f>
        <v>0</v>
      </c>
      <c r="V324">
        <f>IFERROR(VLOOKUP(C324,Hoja4!$A$4:$B$273,2,FALSE),0)</f>
        <v>0</v>
      </c>
    </row>
    <row r="325" spans="1:22" x14ac:dyDescent="0.25">
      <c r="A325" s="33">
        <v>46064</v>
      </c>
      <c r="B325" s="31" t="s">
        <v>63</v>
      </c>
      <c r="C325" s="31">
        <v>1000344</v>
      </c>
      <c r="D325" s="31" t="s">
        <v>104</v>
      </c>
      <c r="E325" s="31" t="s">
        <v>104</v>
      </c>
      <c r="F325" s="31"/>
      <c r="G325" s="31" t="s">
        <v>103</v>
      </c>
      <c r="H325" s="31">
        <v>3150555549</v>
      </c>
      <c r="I325" s="31">
        <v>270</v>
      </c>
      <c r="J325" s="31">
        <v>540</v>
      </c>
      <c r="K325" s="31">
        <v>3780</v>
      </c>
      <c r="L325" s="31">
        <v>14</v>
      </c>
      <c r="M325" s="31">
        <v>7</v>
      </c>
      <c r="N325" s="31">
        <v>46071</v>
      </c>
      <c r="O325" s="31">
        <v>1000344</v>
      </c>
      <c r="P325" s="31">
        <v>22000</v>
      </c>
      <c r="Q325" s="31">
        <v>3780</v>
      </c>
      <c r="R325" s="31">
        <v>83160</v>
      </c>
      <c r="S325" s="31" t="s">
        <v>102</v>
      </c>
      <c r="T325" s="31"/>
      <c r="U325">
        <f>IFERROR(VLOOKUP(C325,Hoja4!$D$4:$E$273,2,FALSE),0)</f>
        <v>0</v>
      </c>
      <c r="V325">
        <f>IFERROR(VLOOKUP(C325,Hoja4!$A$4:$B$273,2,FALSE),0)</f>
        <v>0</v>
      </c>
    </row>
    <row r="326" spans="1:22" x14ac:dyDescent="0.25">
      <c r="A326" s="32">
        <v>46065</v>
      </c>
      <c r="B326" s="30" t="s">
        <v>63</v>
      </c>
      <c r="C326" s="30">
        <v>345</v>
      </c>
      <c r="D326" s="30" t="s">
        <v>101</v>
      </c>
      <c r="E326" s="30" t="s">
        <v>101</v>
      </c>
      <c r="F326" s="30"/>
      <c r="G326" s="30" t="s">
        <v>100</v>
      </c>
      <c r="H326" s="30">
        <v>3106661732</v>
      </c>
      <c r="I326" s="30">
        <v>230</v>
      </c>
      <c r="J326" s="30">
        <v>460</v>
      </c>
      <c r="K326" s="30">
        <v>2300</v>
      </c>
      <c r="L326" s="30">
        <v>10</v>
      </c>
      <c r="M326" s="30">
        <v>5</v>
      </c>
      <c r="N326" s="30">
        <v>46070</v>
      </c>
      <c r="O326" s="30">
        <v>345</v>
      </c>
      <c r="P326" s="30">
        <v>42521.739130434784</v>
      </c>
      <c r="Q326" s="30">
        <v>2300</v>
      </c>
      <c r="R326" s="30">
        <v>97800</v>
      </c>
      <c r="S326" s="30" t="s">
        <v>99</v>
      </c>
      <c r="T326" s="30"/>
      <c r="U326">
        <f>IFERROR(VLOOKUP(C326,Hoja4!$D$4:$E$273,2,FALSE),0)</f>
        <v>0</v>
      </c>
      <c r="V326">
        <f>IFERROR(VLOOKUP(C326,Hoja4!$A$4:$B$273,2,FALSE),0)</f>
        <v>0</v>
      </c>
    </row>
    <row r="327" spans="1:22" x14ac:dyDescent="0.25">
      <c r="A327" s="33">
        <v>46065</v>
      </c>
      <c r="B327" s="31" t="s">
        <v>63</v>
      </c>
      <c r="C327" s="31">
        <v>1000346</v>
      </c>
      <c r="D327" s="31" t="s">
        <v>98</v>
      </c>
      <c r="E327" s="31" t="s">
        <v>98</v>
      </c>
      <c r="F327" s="31"/>
      <c r="G327" s="31" t="s">
        <v>97</v>
      </c>
      <c r="H327" s="31">
        <v>3236329056</v>
      </c>
      <c r="I327" s="31">
        <v>175</v>
      </c>
      <c r="J327" s="31">
        <v>350</v>
      </c>
      <c r="K327" s="31">
        <v>5250</v>
      </c>
      <c r="L327" s="31">
        <v>30</v>
      </c>
      <c r="M327" s="31">
        <v>15</v>
      </c>
      <c r="N327" s="31">
        <v>46080</v>
      </c>
      <c r="O327" s="31">
        <v>1000346</v>
      </c>
      <c r="P327" s="31">
        <v>35000</v>
      </c>
      <c r="Q327" s="31">
        <v>5250</v>
      </c>
      <c r="R327" s="31">
        <v>183750</v>
      </c>
      <c r="S327" s="31" t="s">
        <v>96</v>
      </c>
      <c r="T327" s="31"/>
      <c r="U327">
        <f>IFERROR(VLOOKUP(C327,Hoja4!$D$4:$E$273,2,FALSE),0)</f>
        <v>0</v>
      </c>
      <c r="V327">
        <f>IFERROR(VLOOKUP(C327,Hoja4!$A$4:$B$273,2,FALSE),0)</f>
        <v>0</v>
      </c>
    </row>
    <row r="328" spans="1:22" x14ac:dyDescent="0.25">
      <c r="A328" s="32">
        <v>46066</v>
      </c>
      <c r="B328" s="30" t="s">
        <v>63</v>
      </c>
      <c r="C328" s="30">
        <v>1000347</v>
      </c>
      <c r="D328" s="30" t="s">
        <v>95</v>
      </c>
      <c r="E328" s="30" t="s">
        <v>94</v>
      </c>
      <c r="F328" s="30"/>
      <c r="G328" s="30" t="s">
        <v>93</v>
      </c>
      <c r="H328" s="30">
        <v>3188889001</v>
      </c>
      <c r="I328" s="30">
        <v>206</v>
      </c>
      <c r="J328" s="30">
        <v>620</v>
      </c>
      <c r="K328" s="30">
        <v>9300</v>
      </c>
      <c r="L328" s="30">
        <v>45.145631067961162</v>
      </c>
      <c r="M328" s="30">
        <v>15</v>
      </c>
      <c r="N328" s="30">
        <v>46081</v>
      </c>
      <c r="O328" s="30">
        <v>1000347</v>
      </c>
      <c r="P328" s="30">
        <v>29244.87594390507</v>
      </c>
      <c r="Q328" s="30">
        <v>9270</v>
      </c>
      <c r="R328" s="30">
        <v>271100</v>
      </c>
      <c r="S328" s="30" t="s">
        <v>92</v>
      </c>
      <c r="T328" s="30"/>
      <c r="U328">
        <f>IFERROR(VLOOKUP(C328,Hoja4!$D$4:$E$273,2,FALSE),0)</f>
        <v>0</v>
      </c>
      <c r="V328">
        <f>IFERROR(VLOOKUP(C328,Hoja4!$A$4:$B$273,2,FALSE),0)</f>
        <v>0</v>
      </c>
    </row>
    <row r="329" spans="1:22" x14ac:dyDescent="0.25">
      <c r="A329" s="33">
        <v>0</v>
      </c>
      <c r="B329" s="31" t="s">
        <v>4</v>
      </c>
      <c r="C329" s="31">
        <v>1000348</v>
      </c>
      <c r="D329" s="31" t="s">
        <v>91</v>
      </c>
      <c r="E329" s="31" t="s">
        <v>91</v>
      </c>
      <c r="F329" s="31"/>
      <c r="G329" s="31" t="s">
        <v>26</v>
      </c>
      <c r="H329" s="31"/>
      <c r="I329" s="31">
        <v>40</v>
      </c>
      <c r="J329" s="31">
        <v>80</v>
      </c>
      <c r="K329" s="31">
        <v>560</v>
      </c>
      <c r="L329" s="31">
        <v>14</v>
      </c>
      <c r="M329" s="31">
        <v>7</v>
      </c>
      <c r="N329" s="31">
        <v>7</v>
      </c>
      <c r="O329" s="31">
        <v>1000348</v>
      </c>
      <c r="P329" s="31">
        <v>26785.714285714286</v>
      </c>
      <c r="Q329" s="31">
        <v>560</v>
      </c>
      <c r="R329" s="31">
        <v>15000</v>
      </c>
      <c r="S329" s="31"/>
      <c r="T329" s="31"/>
      <c r="U329">
        <f>IFERROR(VLOOKUP(C329,Hoja4!$D$4:$E$273,2,FALSE),0)</f>
        <v>15000</v>
      </c>
      <c r="V329">
        <f>IFERROR(VLOOKUP(C329,Hoja4!$A$4:$B$273,2,FALSE),0)</f>
        <v>0</v>
      </c>
    </row>
    <row r="330" spans="1:22" x14ac:dyDescent="0.25">
      <c r="A330" s="32">
        <v>46078</v>
      </c>
      <c r="B330" s="30" t="s">
        <v>63</v>
      </c>
      <c r="C330" s="30">
        <v>349</v>
      </c>
      <c r="D330" s="30" t="s">
        <v>90</v>
      </c>
      <c r="E330" s="30" t="s">
        <v>89</v>
      </c>
      <c r="F330" s="30" t="s">
        <v>52</v>
      </c>
      <c r="G330" s="30" t="s">
        <v>88</v>
      </c>
      <c r="H330" s="30">
        <v>3002104747</v>
      </c>
      <c r="I330" s="30">
        <v>160</v>
      </c>
      <c r="J330" s="30">
        <v>320</v>
      </c>
      <c r="K330" s="30">
        <v>4480</v>
      </c>
      <c r="L330" s="30">
        <v>28</v>
      </c>
      <c r="M330" s="30">
        <v>14</v>
      </c>
      <c r="N330" s="30">
        <v>46092</v>
      </c>
      <c r="O330" s="30">
        <v>349</v>
      </c>
      <c r="P330" s="30">
        <v>31986.607142857141</v>
      </c>
      <c r="Q330" s="30">
        <v>4480</v>
      </c>
      <c r="R330" s="30">
        <v>143300</v>
      </c>
      <c r="S330" s="30" t="s">
        <v>87</v>
      </c>
      <c r="T330" s="30" t="s">
        <v>86</v>
      </c>
      <c r="U330">
        <f>IFERROR(VLOOKUP(C330,Hoja4!$D$4:$E$273,2,FALSE),0)</f>
        <v>143300</v>
      </c>
      <c r="V330">
        <f>IFERROR(VLOOKUP(C330,Hoja4!$A$4:$B$273,2,FALSE),0)</f>
        <v>0</v>
      </c>
    </row>
    <row r="331" spans="1:22" x14ac:dyDescent="0.25">
      <c r="A331" s="33">
        <v>46072</v>
      </c>
      <c r="B331" s="31" t="s">
        <v>63</v>
      </c>
      <c r="C331" s="31">
        <v>235</v>
      </c>
      <c r="D331" s="31" t="s">
        <v>85</v>
      </c>
      <c r="E331" s="31" t="s">
        <v>85</v>
      </c>
      <c r="F331" s="31"/>
      <c r="G331" s="31" t="s">
        <v>84</v>
      </c>
      <c r="H331" s="31">
        <v>3153499818</v>
      </c>
      <c r="I331" s="31">
        <v>60</v>
      </c>
      <c r="J331" s="31">
        <v>180</v>
      </c>
      <c r="K331" s="31">
        <v>2700</v>
      </c>
      <c r="L331" s="31">
        <v>45</v>
      </c>
      <c r="M331" s="31">
        <v>15</v>
      </c>
      <c r="N331" s="31">
        <v>46087</v>
      </c>
      <c r="O331" s="31">
        <v>235</v>
      </c>
      <c r="P331" s="31">
        <v>33000</v>
      </c>
      <c r="Q331" s="31">
        <v>2700</v>
      </c>
      <c r="R331" s="31">
        <v>89100</v>
      </c>
      <c r="S331" s="31" t="s">
        <v>83</v>
      </c>
      <c r="T331" s="31"/>
      <c r="U331">
        <f>IFERROR(VLOOKUP(C331,Hoja4!$D$4:$E$273,2,FALSE),0)</f>
        <v>0</v>
      </c>
      <c r="V331">
        <f>IFERROR(VLOOKUP(C331,Hoja4!$A$4:$B$273,2,FALSE),0)</f>
        <v>0</v>
      </c>
    </row>
    <row r="332" spans="1:22" x14ac:dyDescent="0.25">
      <c r="A332" s="32">
        <v>46069</v>
      </c>
      <c r="B332" s="30" t="s">
        <v>63</v>
      </c>
      <c r="C332" s="30">
        <v>1000350</v>
      </c>
      <c r="D332" s="30" t="s">
        <v>82</v>
      </c>
      <c r="E332" s="30" t="s">
        <v>82</v>
      </c>
      <c r="F332" s="30"/>
      <c r="G332" s="30" t="s">
        <v>81</v>
      </c>
      <c r="H332" s="30">
        <v>3104162147</v>
      </c>
      <c r="I332" s="30">
        <v>43</v>
      </c>
      <c r="J332" s="30">
        <v>130</v>
      </c>
      <c r="K332" s="30">
        <v>1950</v>
      </c>
      <c r="L332" s="30">
        <v>45.348837209302317</v>
      </c>
      <c r="M332" s="30">
        <v>15</v>
      </c>
      <c r="N332" s="30">
        <v>46084</v>
      </c>
      <c r="O332" s="30">
        <v>1000350</v>
      </c>
      <c r="P332" s="30">
        <v>54160.20671834625</v>
      </c>
      <c r="Q332" s="30">
        <v>1935</v>
      </c>
      <c r="R332" s="30">
        <v>104800</v>
      </c>
      <c r="S332" s="30" t="s">
        <v>80</v>
      </c>
      <c r="T332" s="30"/>
      <c r="U332">
        <f>IFERROR(VLOOKUP(C332,Hoja4!$D$4:$E$273,2,FALSE),0)</f>
        <v>0</v>
      </c>
      <c r="V332">
        <f>IFERROR(VLOOKUP(C332,Hoja4!$A$4:$B$273,2,FALSE),0)</f>
        <v>0</v>
      </c>
    </row>
    <row r="333" spans="1:22" x14ac:dyDescent="0.25">
      <c r="A333" s="33">
        <v>0</v>
      </c>
      <c r="B333" s="31" t="s">
        <v>4</v>
      </c>
      <c r="C333" s="31">
        <v>1000351</v>
      </c>
      <c r="D333" s="31" t="s">
        <v>79</v>
      </c>
      <c r="E333" s="31" t="s">
        <v>79</v>
      </c>
      <c r="F333" s="31"/>
      <c r="G333" s="31" t="s">
        <v>26</v>
      </c>
      <c r="H333" s="31"/>
      <c r="I333" s="31"/>
      <c r="J333" s="31"/>
      <c r="K333" s="31">
        <v>0</v>
      </c>
      <c r="L333" s="31"/>
      <c r="M333" s="31"/>
      <c r="N333" s="31"/>
      <c r="O333" s="31">
        <v>1000351</v>
      </c>
      <c r="P333" s="31"/>
      <c r="Q333" s="31">
        <v>0</v>
      </c>
      <c r="R333" s="31"/>
      <c r="S333" s="31"/>
      <c r="T333" s="31"/>
      <c r="U333">
        <f>IFERROR(VLOOKUP(C333,Hoja4!$D$4:$E$273,2,FALSE),0)</f>
        <v>0</v>
      </c>
      <c r="V333">
        <f>IFERROR(VLOOKUP(C333,Hoja4!$A$4:$B$273,2,FALSE),0)</f>
        <v>0</v>
      </c>
    </row>
    <row r="334" spans="1:22" x14ac:dyDescent="0.25">
      <c r="A334" s="32">
        <v>0</v>
      </c>
      <c r="B334" s="30" t="s">
        <v>4</v>
      </c>
      <c r="C334" s="30">
        <v>316</v>
      </c>
      <c r="D334" s="30" t="s">
        <v>78</v>
      </c>
      <c r="E334" s="30" t="s">
        <v>78</v>
      </c>
      <c r="F334" s="30"/>
      <c r="G334" s="30" t="s">
        <v>26</v>
      </c>
      <c r="H334" s="30"/>
      <c r="I334" s="30">
        <v>130</v>
      </c>
      <c r="J334" s="30">
        <v>260</v>
      </c>
      <c r="K334" s="30">
        <v>7800</v>
      </c>
      <c r="L334" s="30">
        <v>60</v>
      </c>
      <c r="M334" s="30">
        <v>30</v>
      </c>
      <c r="N334" s="30">
        <v>30</v>
      </c>
      <c r="O334" s="30">
        <v>316</v>
      </c>
      <c r="P334" s="30">
        <v>24000</v>
      </c>
      <c r="Q334" s="30">
        <v>7800</v>
      </c>
      <c r="R334" s="30">
        <v>187200</v>
      </c>
      <c r="S334" s="30" t="s">
        <v>77</v>
      </c>
      <c r="T334" s="30"/>
      <c r="U334">
        <f>IFERROR(VLOOKUP(C334,Hoja4!$D$4:$E$273,2,FALSE),0)</f>
        <v>187200</v>
      </c>
      <c r="V334">
        <f>IFERROR(VLOOKUP(C334,Hoja4!$A$4:$B$273,2,FALSE),0)</f>
        <v>0</v>
      </c>
    </row>
    <row r="335" spans="1:22" x14ac:dyDescent="0.25">
      <c r="A335" s="33">
        <v>46071</v>
      </c>
      <c r="B335" s="31" t="s">
        <v>63</v>
      </c>
      <c r="C335" s="31">
        <v>1000352</v>
      </c>
      <c r="D335" s="31" t="s">
        <v>76</v>
      </c>
      <c r="E335" s="31" t="s">
        <v>76</v>
      </c>
      <c r="F335" s="31"/>
      <c r="G335" s="31" t="s">
        <v>75</v>
      </c>
      <c r="H335" s="31">
        <v>3133427846</v>
      </c>
      <c r="I335" s="31">
        <v>205</v>
      </c>
      <c r="J335" s="31">
        <v>410</v>
      </c>
      <c r="K335" s="31">
        <v>2870</v>
      </c>
      <c r="L335" s="31">
        <v>14</v>
      </c>
      <c r="M335" s="31">
        <v>7</v>
      </c>
      <c r="N335" s="31">
        <v>46078</v>
      </c>
      <c r="O335" s="31">
        <v>1000352</v>
      </c>
      <c r="P335" s="31">
        <v>75000</v>
      </c>
      <c r="Q335" s="31">
        <v>2870</v>
      </c>
      <c r="R335" s="31">
        <v>215250</v>
      </c>
      <c r="S335" s="31" t="s">
        <v>74</v>
      </c>
      <c r="T335" s="31"/>
      <c r="U335">
        <f>IFERROR(VLOOKUP(C335,Hoja4!$D$4:$E$273,2,FALSE),0)</f>
        <v>15000</v>
      </c>
      <c r="V335">
        <f>IFERROR(VLOOKUP(C335,Hoja4!$A$4:$B$273,2,FALSE),0)</f>
        <v>0</v>
      </c>
    </row>
    <row r="336" spans="1:22" x14ac:dyDescent="0.25">
      <c r="A336" s="32">
        <v>46071</v>
      </c>
      <c r="B336" s="30" t="s">
        <v>63</v>
      </c>
      <c r="C336" s="30">
        <v>1000353</v>
      </c>
      <c r="D336" s="30" t="s">
        <v>73</v>
      </c>
      <c r="E336" s="30" t="s">
        <v>73</v>
      </c>
      <c r="F336" s="30"/>
      <c r="G336" s="30" t="s">
        <v>72</v>
      </c>
      <c r="H336" s="30">
        <v>3214938536</v>
      </c>
      <c r="I336" s="30">
        <v>200</v>
      </c>
      <c r="J336" s="30">
        <v>400</v>
      </c>
      <c r="K336" s="30">
        <v>6000</v>
      </c>
      <c r="L336" s="30">
        <v>30</v>
      </c>
      <c r="M336" s="30">
        <v>15</v>
      </c>
      <c r="N336" s="30">
        <v>46086</v>
      </c>
      <c r="O336" s="30">
        <v>1000353</v>
      </c>
      <c r="P336" s="30">
        <v>38500</v>
      </c>
      <c r="Q336" s="30">
        <v>6000</v>
      </c>
      <c r="R336" s="30">
        <v>231000</v>
      </c>
      <c r="S336" s="30" t="s">
        <v>71</v>
      </c>
      <c r="T336" s="30"/>
      <c r="U336">
        <f>IFERROR(VLOOKUP(C336,Hoja4!$D$4:$E$273,2,FALSE),0)</f>
        <v>0</v>
      </c>
      <c r="V336">
        <f>IFERROR(VLOOKUP(C336,Hoja4!$A$4:$B$273,2,FALSE),0)</f>
        <v>0</v>
      </c>
    </row>
    <row r="337" spans="1:22" x14ac:dyDescent="0.25">
      <c r="A337" s="33">
        <v>46073</v>
      </c>
      <c r="B337" s="31" t="s">
        <v>63</v>
      </c>
      <c r="C337" s="31">
        <v>1000354</v>
      </c>
      <c r="D337" s="31" t="s">
        <v>70</v>
      </c>
      <c r="E337" s="31" t="s">
        <v>70</v>
      </c>
      <c r="F337" s="31"/>
      <c r="G337" s="31" t="s">
        <v>69</v>
      </c>
      <c r="H337" s="31">
        <v>3197643090</v>
      </c>
      <c r="I337" s="31">
        <v>125</v>
      </c>
      <c r="J337" s="31">
        <v>250</v>
      </c>
      <c r="K337" s="31">
        <v>3750</v>
      </c>
      <c r="L337" s="31">
        <v>30</v>
      </c>
      <c r="M337" s="31">
        <v>15</v>
      </c>
      <c r="N337" s="31">
        <v>46088</v>
      </c>
      <c r="O337" s="31">
        <v>1000354</v>
      </c>
      <c r="P337" s="31">
        <v>40000</v>
      </c>
      <c r="Q337" s="31">
        <v>3750</v>
      </c>
      <c r="R337" s="31">
        <v>150000</v>
      </c>
      <c r="S337" s="31" t="s">
        <v>68</v>
      </c>
      <c r="T337" s="31"/>
      <c r="U337">
        <f>IFERROR(VLOOKUP(C337,Hoja4!$D$4:$E$273,2,FALSE),0)</f>
        <v>0</v>
      </c>
      <c r="V337">
        <f>IFERROR(VLOOKUP(C337,Hoja4!$A$4:$B$273,2,FALSE),0)</f>
        <v>15000</v>
      </c>
    </row>
    <row r="338" spans="1:22" x14ac:dyDescent="0.25">
      <c r="A338" s="32">
        <v>46071</v>
      </c>
      <c r="B338" s="30" t="s">
        <v>63</v>
      </c>
      <c r="C338" s="30">
        <v>1000355</v>
      </c>
      <c r="D338" s="30" t="s">
        <v>67</v>
      </c>
      <c r="E338" s="30" t="s">
        <v>67</v>
      </c>
      <c r="F338" s="30"/>
      <c r="G338" s="30" t="s">
        <v>66</v>
      </c>
      <c r="H338" s="30">
        <v>627422693</v>
      </c>
      <c r="I338" s="30">
        <v>65</v>
      </c>
      <c r="J338" s="30">
        <v>130</v>
      </c>
      <c r="K338" s="30">
        <v>1950</v>
      </c>
      <c r="L338" s="30">
        <v>30</v>
      </c>
      <c r="M338" s="30">
        <v>15</v>
      </c>
      <c r="N338" s="30">
        <v>46086</v>
      </c>
      <c r="O338" s="30">
        <v>1000355</v>
      </c>
      <c r="P338" s="30">
        <v>53435.897435897437</v>
      </c>
      <c r="Q338" s="30">
        <v>1950</v>
      </c>
      <c r="R338" s="30">
        <v>104200</v>
      </c>
      <c r="S338" s="30" t="s">
        <v>65</v>
      </c>
      <c r="T338" s="30"/>
      <c r="U338">
        <f>IFERROR(VLOOKUP(C338,Hoja4!$D$4:$E$273,2,FALSE),0)</f>
        <v>0</v>
      </c>
      <c r="V338">
        <f>IFERROR(VLOOKUP(C338,Hoja4!$A$4:$B$273,2,FALSE),0)</f>
        <v>26000</v>
      </c>
    </row>
    <row r="339" spans="1:22" x14ac:dyDescent="0.25">
      <c r="A339" s="33"/>
      <c r="B339" s="31"/>
      <c r="C339" s="31"/>
      <c r="D339" s="31" t="s">
        <v>64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>
        <f>IFERROR(VLOOKUP(C339,Hoja4!$D$4:$E$273,2,FALSE),0)</f>
        <v>0</v>
      </c>
      <c r="V339">
        <f>IFERROR(VLOOKUP(C339,Hoja4!$A$4:$B$273,2,FALSE),0)</f>
        <v>0</v>
      </c>
    </row>
    <row r="340" spans="1:22" x14ac:dyDescent="0.25">
      <c r="A340" s="32">
        <v>46059</v>
      </c>
      <c r="B340" s="30" t="s">
        <v>63</v>
      </c>
      <c r="C340" s="30">
        <v>1000331</v>
      </c>
      <c r="D340" s="30" t="s">
        <v>62</v>
      </c>
      <c r="E340" s="30" t="s">
        <v>62</v>
      </c>
      <c r="F340" s="30"/>
      <c r="G340" s="30" t="s">
        <v>61</v>
      </c>
      <c r="H340" s="30">
        <v>3103037684</v>
      </c>
      <c r="I340" s="30">
        <v>120</v>
      </c>
      <c r="J340" s="30">
        <v>120</v>
      </c>
      <c r="K340" s="30">
        <v>840</v>
      </c>
      <c r="L340" s="30">
        <v>7</v>
      </c>
      <c r="M340" s="30">
        <v>7</v>
      </c>
      <c r="N340" s="30">
        <v>46066</v>
      </c>
      <c r="O340" s="30" t="s">
        <v>60</v>
      </c>
      <c r="P340" s="30">
        <v>68571.428571428565</v>
      </c>
      <c r="Q340" s="30">
        <v>840</v>
      </c>
      <c r="R340" s="30">
        <v>57600</v>
      </c>
      <c r="S340" s="30" t="s">
        <v>59</v>
      </c>
      <c r="T340" s="30"/>
      <c r="U340">
        <f>IFERROR(VLOOKUP(C340,Hoja4!$D$4:$E$273,2,FALSE),0)</f>
        <v>54750</v>
      </c>
      <c r="V340">
        <f>IFERROR(VLOOKUP(C340,Hoja4!$A$4:$B$273,2,FALSE),0)</f>
        <v>0</v>
      </c>
    </row>
    <row r="341" spans="1:22" x14ac:dyDescent="0.25">
      <c r="A341" s="33">
        <v>46040</v>
      </c>
      <c r="B341" s="31" t="s">
        <v>4</v>
      </c>
      <c r="C341" s="31">
        <v>193</v>
      </c>
      <c r="D341" s="31" t="s">
        <v>58</v>
      </c>
      <c r="E341" s="31" t="s">
        <v>58</v>
      </c>
      <c r="F341" s="31"/>
      <c r="G341" s="31" t="s">
        <v>57</v>
      </c>
      <c r="H341" s="31" t="s">
        <v>56</v>
      </c>
      <c r="I341" s="31">
        <v>500</v>
      </c>
      <c r="J341" s="31">
        <v>500</v>
      </c>
      <c r="K341" s="31">
        <v>5000</v>
      </c>
      <c r="L341" s="31">
        <v>10</v>
      </c>
      <c r="M341" s="31">
        <v>10</v>
      </c>
      <c r="N341" s="31">
        <v>46050</v>
      </c>
      <c r="O341" s="31"/>
      <c r="P341" s="31">
        <v>21000</v>
      </c>
      <c r="Q341" s="31">
        <v>5000</v>
      </c>
      <c r="R341" s="31">
        <v>105000</v>
      </c>
      <c r="S341" s="31" t="s">
        <v>55</v>
      </c>
      <c r="T341" s="31" t="s">
        <v>54</v>
      </c>
      <c r="U341">
        <f>IFERROR(VLOOKUP(C341,Hoja4!$D$4:$E$273,2,FALSE),0)</f>
        <v>0</v>
      </c>
      <c r="V341">
        <f>IFERROR(VLOOKUP(C341,Hoja4!$A$4:$B$273,2,FALSE),0)</f>
        <v>0</v>
      </c>
    </row>
    <row r="342" spans="1:22" x14ac:dyDescent="0.25">
      <c r="A342" s="32">
        <v>46036</v>
      </c>
      <c r="B342" s="30" t="s">
        <v>4</v>
      </c>
      <c r="C342" s="30">
        <v>16</v>
      </c>
      <c r="D342" s="30" t="s">
        <v>53</v>
      </c>
      <c r="E342" s="30" t="s">
        <v>53</v>
      </c>
      <c r="F342" s="30" t="s">
        <v>52</v>
      </c>
      <c r="G342" s="30" t="s">
        <v>51</v>
      </c>
      <c r="H342" s="30">
        <v>3212341101</v>
      </c>
      <c r="I342" s="30">
        <v>200</v>
      </c>
      <c r="J342" s="30">
        <v>400</v>
      </c>
      <c r="K342" s="30">
        <v>6000</v>
      </c>
      <c r="L342" s="30">
        <v>30</v>
      </c>
      <c r="M342" s="30">
        <v>15</v>
      </c>
      <c r="N342" s="30">
        <v>46051</v>
      </c>
      <c r="O342" s="30"/>
      <c r="P342" s="30">
        <v>23000</v>
      </c>
      <c r="Q342" s="30">
        <v>6000</v>
      </c>
      <c r="R342" s="30">
        <v>138000</v>
      </c>
      <c r="S342" s="30" t="s">
        <v>50</v>
      </c>
      <c r="T342" s="30"/>
      <c r="U342">
        <f>IFERROR(VLOOKUP(C342,Hoja4!$D$4:$E$273,2,FALSE),0)</f>
        <v>0</v>
      </c>
      <c r="V342">
        <f>IFERROR(VLOOKUP(C342,Hoja4!$A$4:$B$273,2,FALSE),0)</f>
        <v>0</v>
      </c>
    </row>
    <row r="343" spans="1:22" x14ac:dyDescent="0.25">
      <c r="A343" s="33">
        <v>46034</v>
      </c>
      <c r="B343" s="31" t="s">
        <v>4</v>
      </c>
      <c r="C343" s="31">
        <v>41</v>
      </c>
      <c r="D343" s="31" t="s">
        <v>49</v>
      </c>
      <c r="E343" s="31" t="s">
        <v>49</v>
      </c>
      <c r="F343" s="31"/>
      <c r="G343" s="31" t="s">
        <v>48</v>
      </c>
      <c r="H343" s="31">
        <v>3183623443</v>
      </c>
      <c r="I343" s="31">
        <v>40</v>
      </c>
      <c r="J343" s="31">
        <v>120</v>
      </c>
      <c r="K343" s="31">
        <v>1800</v>
      </c>
      <c r="L343" s="31">
        <v>45</v>
      </c>
      <c r="M343" s="31">
        <v>15</v>
      </c>
      <c r="N343" s="31">
        <v>46049</v>
      </c>
      <c r="O343" s="31"/>
      <c r="P343" s="31">
        <v>43333.333333333336</v>
      </c>
      <c r="Q343" s="31">
        <v>1800</v>
      </c>
      <c r="R343" s="31">
        <v>78000</v>
      </c>
      <c r="S343" s="31" t="s">
        <v>47</v>
      </c>
      <c r="T343" s="31" t="s">
        <v>46</v>
      </c>
      <c r="U343">
        <f>IFERROR(VLOOKUP(C343,Hoja4!$D$4:$E$273,2,FALSE),0)</f>
        <v>0</v>
      </c>
      <c r="V343">
        <f>IFERROR(VLOOKUP(C343,Hoja4!$A$4:$B$273,2,FALSE),0)</f>
        <v>0</v>
      </c>
    </row>
    <row r="344" spans="1:22" x14ac:dyDescent="0.25">
      <c r="A344" s="32">
        <v>46048</v>
      </c>
      <c r="B344" s="30" t="s">
        <v>4</v>
      </c>
      <c r="C344" s="30">
        <v>169</v>
      </c>
      <c r="D344" s="30" t="s">
        <v>45</v>
      </c>
      <c r="E344" s="30" t="s">
        <v>45</v>
      </c>
      <c r="F344" s="30"/>
      <c r="G344" s="30" t="s">
        <v>44</v>
      </c>
      <c r="H344" s="30">
        <v>3502149870</v>
      </c>
      <c r="I344" s="30">
        <v>300</v>
      </c>
      <c r="J344" s="30">
        <v>600</v>
      </c>
      <c r="K344" s="30">
        <v>6000</v>
      </c>
      <c r="L344" s="30">
        <v>20</v>
      </c>
      <c r="M344" s="30">
        <v>10</v>
      </c>
      <c r="N344" s="30">
        <v>46058</v>
      </c>
      <c r="O344" s="30"/>
      <c r="P344" s="30">
        <v>25000</v>
      </c>
      <c r="Q344" s="30">
        <v>6000</v>
      </c>
      <c r="R344" s="30">
        <v>150000</v>
      </c>
      <c r="S344" s="30" t="s">
        <v>43</v>
      </c>
      <c r="T344" s="30" t="s">
        <v>42</v>
      </c>
      <c r="U344">
        <f>IFERROR(VLOOKUP(C344,Hoja4!$D$4:$E$273,2,FALSE),0)</f>
        <v>21000</v>
      </c>
      <c r="V344">
        <f>IFERROR(VLOOKUP(C344,Hoja4!$A$4:$B$273,2,FALSE),0)</f>
        <v>0</v>
      </c>
    </row>
    <row r="345" spans="1:22" x14ac:dyDescent="0.25">
      <c r="A345" s="33">
        <v>46052</v>
      </c>
      <c r="B345" s="31" t="s">
        <v>4</v>
      </c>
      <c r="C345" s="31">
        <v>188</v>
      </c>
      <c r="D345" s="31" t="s">
        <v>41</v>
      </c>
      <c r="E345" s="31" t="s">
        <v>40</v>
      </c>
      <c r="F345" s="31"/>
      <c r="G345" s="31" t="s">
        <v>39</v>
      </c>
      <c r="H345" s="31">
        <v>3002926752</v>
      </c>
      <c r="I345" s="31">
        <v>80</v>
      </c>
      <c r="J345" s="31">
        <v>160</v>
      </c>
      <c r="K345" s="31"/>
      <c r="L345" s="31"/>
      <c r="M345" s="31"/>
      <c r="N345" s="31"/>
      <c r="O345" s="31"/>
      <c r="P345" s="31"/>
      <c r="Q345" s="31"/>
      <c r="R345" s="31">
        <v>20800</v>
      </c>
      <c r="S345" s="31" t="s">
        <v>38</v>
      </c>
      <c r="T345" s="31"/>
      <c r="U345">
        <f>IFERROR(VLOOKUP(C345,Hoja4!$D$4:$E$273,2,FALSE),0)</f>
        <v>109200</v>
      </c>
      <c r="V345">
        <f>IFERROR(VLOOKUP(C345,Hoja4!$A$4:$B$273,2,FALSE),0)</f>
        <v>0</v>
      </c>
    </row>
    <row r="346" spans="1:22" x14ac:dyDescent="0.25">
      <c r="A346" s="32">
        <v>0</v>
      </c>
      <c r="B346" s="30" t="s">
        <v>4</v>
      </c>
      <c r="C346" s="30">
        <v>59</v>
      </c>
      <c r="D346" s="30" t="s">
        <v>37</v>
      </c>
      <c r="E346" s="30" t="s">
        <v>37</v>
      </c>
      <c r="F346" s="30"/>
      <c r="G346" s="30" t="s">
        <v>26</v>
      </c>
      <c r="H346" s="30"/>
      <c r="I346" s="30">
        <v>225</v>
      </c>
      <c r="J346" s="30">
        <v>450</v>
      </c>
      <c r="K346" s="30">
        <v>3150</v>
      </c>
      <c r="L346" s="30">
        <v>14</v>
      </c>
      <c r="M346" s="30">
        <v>7</v>
      </c>
      <c r="N346" s="30">
        <v>7</v>
      </c>
      <c r="O346" s="30"/>
      <c r="P346" s="30">
        <v>0</v>
      </c>
      <c r="Q346" s="30">
        <v>3150</v>
      </c>
      <c r="R346" s="30"/>
      <c r="S346" s="30" t="s">
        <v>36</v>
      </c>
      <c r="T346" s="30" t="s">
        <v>35</v>
      </c>
      <c r="U346">
        <f>IFERROR(VLOOKUP(C346,Hoja4!$D$4:$E$273,2,FALSE),0)</f>
        <v>0</v>
      </c>
      <c r="V346">
        <f>IFERROR(VLOOKUP(C346,Hoja4!$A$4:$B$273,2,FALSE),0)</f>
        <v>0</v>
      </c>
    </row>
    <row r="347" spans="1:22" x14ac:dyDescent="0.25">
      <c r="A347" s="33">
        <v>0</v>
      </c>
      <c r="B347" s="31" t="s">
        <v>4</v>
      </c>
      <c r="C347" s="31">
        <v>104</v>
      </c>
      <c r="D347" s="31" t="s">
        <v>34</v>
      </c>
      <c r="E347" s="31" t="s">
        <v>34</v>
      </c>
      <c r="F347" s="31"/>
      <c r="G347" s="31" t="s">
        <v>26</v>
      </c>
      <c r="H347" s="31"/>
      <c r="I347" s="31">
        <v>177</v>
      </c>
      <c r="J347" s="31">
        <v>354</v>
      </c>
      <c r="K347" s="31">
        <v>2478</v>
      </c>
      <c r="L347" s="31">
        <v>14</v>
      </c>
      <c r="M347" s="31">
        <v>7</v>
      </c>
      <c r="N347" s="31">
        <v>7</v>
      </c>
      <c r="O347" s="31"/>
      <c r="P347" s="31">
        <v>0</v>
      </c>
      <c r="Q347" s="31">
        <v>2478</v>
      </c>
      <c r="R347" s="31"/>
      <c r="S347" s="31" t="s">
        <v>33</v>
      </c>
      <c r="T347" s="31" t="s">
        <v>32</v>
      </c>
      <c r="U347">
        <f>IFERROR(VLOOKUP(C347,Hoja4!$D$4:$E$273,2,FALSE),0)</f>
        <v>0</v>
      </c>
      <c r="V347">
        <f>IFERROR(VLOOKUP(C347,Hoja4!$A$4:$B$273,2,FALSE),0)</f>
        <v>0</v>
      </c>
    </row>
    <row r="348" spans="1:22" x14ac:dyDescent="0.25">
      <c r="A348" s="32">
        <v>0</v>
      </c>
      <c r="B348" s="30" t="s">
        <v>4</v>
      </c>
      <c r="C348" s="30">
        <v>1000322</v>
      </c>
      <c r="D348" s="30" t="s">
        <v>31</v>
      </c>
      <c r="E348" s="30" t="s">
        <v>30</v>
      </c>
      <c r="F348" s="30"/>
      <c r="G348" s="30" t="s">
        <v>26</v>
      </c>
      <c r="H348" s="30"/>
      <c r="I348" s="30">
        <v>70</v>
      </c>
      <c r="J348" s="30">
        <v>70</v>
      </c>
      <c r="K348" s="30">
        <v>980</v>
      </c>
      <c r="L348" s="30">
        <v>14</v>
      </c>
      <c r="M348" s="30">
        <v>14</v>
      </c>
      <c r="N348" s="30">
        <v>14</v>
      </c>
      <c r="O348" s="30"/>
      <c r="P348" s="30">
        <v>10204.08163265306</v>
      </c>
      <c r="Q348" s="30">
        <v>980</v>
      </c>
      <c r="R348" s="30">
        <v>10000</v>
      </c>
      <c r="S348" s="30" t="s">
        <v>29</v>
      </c>
      <c r="T348" s="30"/>
      <c r="U348">
        <f>IFERROR(VLOOKUP(C348,Hoja4!$D$4:$E$273,2,FALSE),0)</f>
        <v>0</v>
      </c>
      <c r="V348">
        <f>IFERROR(VLOOKUP(C348,Hoja4!$A$4:$B$273,2,FALSE),0)</f>
        <v>0</v>
      </c>
    </row>
    <row r="349" spans="1:22" x14ac:dyDescent="0.25">
      <c r="A349" s="33">
        <v>0</v>
      </c>
      <c r="B349" s="31" t="s">
        <v>4</v>
      </c>
      <c r="C349" s="31">
        <v>1000327</v>
      </c>
      <c r="D349" s="31" t="s">
        <v>28</v>
      </c>
      <c r="E349" s="31" t="s">
        <v>27</v>
      </c>
      <c r="F349" s="31"/>
      <c r="G349" s="31" t="s">
        <v>26</v>
      </c>
      <c r="H349" s="31"/>
      <c r="I349" s="31">
        <v>70</v>
      </c>
      <c r="J349" s="31">
        <v>140</v>
      </c>
      <c r="K349" s="31">
        <v>980</v>
      </c>
      <c r="L349" s="31">
        <v>14</v>
      </c>
      <c r="M349" s="31">
        <v>7</v>
      </c>
      <c r="N349" s="31">
        <v>7</v>
      </c>
      <c r="O349" s="31"/>
      <c r="P349" s="31">
        <v>0</v>
      </c>
      <c r="Q349" s="31">
        <v>980</v>
      </c>
      <c r="R349" s="31"/>
      <c r="S349" s="31" t="s">
        <v>25</v>
      </c>
      <c r="T349" s="31"/>
      <c r="U349">
        <f>IFERROR(VLOOKUP(C349,Hoja4!$D$4:$E$273,2,FALSE),0)</f>
        <v>0</v>
      </c>
      <c r="V349">
        <f>IFERROR(VLOOKUP(C349,Hoja4!$A$4:$B$273,2,FALSE),0)</f>
        <v>0</v>
      </c>
    </row>
    <row r="350" spans="1:22" x14ac:dyDescent="0.25">
      <c r="A350" s="32">
        <v>46040</v>
      </c>
      <c r="B350" s="30" t="s">
        <v>4</v>
      </c>
      <c r="C350" s="30">
        <v>115</v>
      </c>
      <c r="D350" s="30" t="s">
        <v>24</v>
      </c>
      <c r="E350" s="30" t="s">
        <v>24</v>
      </c>
      <c r="F350" s="30"/>
      <c r="G350" s="30" t="s">
        <v>23</v>
      </c>
      <c r="H350" s="30">
        <v>3508608264</v>
      </c>
      <c r="I350" s="30">
        <v>250</v>
      </c>
      <c r="J350" s="30">
        <v>500</v>
      </c>
      <c r="K350" s="30">
        <v>7500</v>
      </c>
      <c r="L350" s="30">
        <v>30</v>
      </c>
      <c r="M350" s="30">
        <v>15</v>
      </c>
      <c r="N350" s="30">
        <v>46055</v>
      </c>
      <c r="O350" s="30"/>
      <c r="P350" s="30">
        <v>27000</v>
      </c>
      <c r="Q350" s="30">
        <v>7500</v>
      </c>
      <c r="R350" s="30">
        <v>202500</v>
      </c>
      <c r="S350" s="30" t="s">
        <v>22</v>
      </c>
      <c r="T350" s="30" t="s">
        <v>21</v>
      </c>
      <c r="U350">
        <f>IFERROR(VLOOKUP(C350,Hoja4!$D$4:$E$273,2,FALSE),0)</f>
        <v>0</v>
      </c>
      <c r="V350">
        <f>IFERROR(VLOOKUP(C350,Hoja4!$A$4:$B$273,2,FALSE),0)</f>
        <v>0</v>
      </c>
    </row>
    <row r="351" spans="1:22" x14ac:dyDescent="0.25">
      <c r="A351" s="33">
        <v>46041</v>
      </c>
      <c r="B351" s="31" t="s">
        <v>4</v>
      </c>
      <c r="C351" s="31">
        <v>156</v>
      </c>
      <c r="D351" s="31" t="s">
        <v>20</v>
      </c>
      <c r="E351" s="31" t="s">
        <v>19</v>
      </c>
      <c r="F351" s="31"/>
      <c r="G351" s="31" t="s">
        <v>18</v>
      </c>
      <c r="H351" s="31">
        <v>3239334278</v>
      </c>
      <c r="I351" s="31">
        <v>164</v>
      </c>
      <c r="J351" s="31">
        <v>492</v>
      </c>
      <c r="K351" s="31">
        <v>7380</v>
      </c>
      <c r="L351" s="31">
        <v>45</v>
      </c>
      <c r="M351" s="31">
        <v>15</v>
      </c>
      <c r="N351" s="31">
        <v>46056</v>
      </c>
      <c r="O351" s="31"/>
      <c r="P351" s="31">
        <v>36260.162601626012</v>
      </c>
      <c r="Q351" s="31">
        <v>7380</v>
      </c>
      <c r="R351" s="31">
        <v>267600</v>
      </c>
      <c r="S351" s="31" t="s">
        <v>17</v>
      </c>
      <c r="T351" s="31"/>
      <c r="U351">
        <f>IFERROR(VLOOKUP(C351,Hoja4!$D$4:$E$273,2,FALSE),0)</f>
        <v>0</v>
      </c>
      <c r="V351">
        <f>IFERROR(VLOOKUP(C351,Hoja4!$A$4:$B$273,2,FALSE),0)</f>
        <v>0</v>
      </c>
    </row>
    <row r="352" spans="1:22" x14ac:dyDescent="0.25">
      <c r="A352" s="32">
        <v>46042</v>
      </c>
      <c r="B352" s="30" t="s">
        <v>4</v>
      </c>
      <c r="C352" s="30">
        <v>129</v>
      </c>
      <c r="D352" s="30" t="s">
        <v>16</v>
      </c>
      <c r="E352" s="30" t="s">
        <v>16</v>
      </c>
      <c r="F352" s="30"/>
      <c r="G352" s="30" t="s">
        <v>15</v>
      </c>
      <c r="H352" s="30">
        <v>3057672267</v>
      </c>
      <c r="I352" s="30">
        <v>200</v>
      </c>
      <c r="J352" s="30">
        <v>600</v>
      </c>
      <c r="K352" s="30">
        <v>6000</v>
      </c>
      <c r="L352" s="30">
        <v>30</v>
      </c>
      <c r="M352" s="30">
        <v>10</v>
      </c>
      <c r="N352" s="30">
        <v>46052</v>
      </c>
      <c r="O352" s="30"/>
      <c r="P352" s="30">
        <v>20000</v>
      </c>
      <c r="Q352" s="30">
        <v>6000</v>
      </c>
      <c r="R352" s="30">
        <v>120000</v>
      </c>
      <c r="S352" s="30" t="s">
        <v>14</v>
      </c>
      <c r="T352" s="30" t="s">
        <v>13</v>
      </c>
      <c r="U352">
        <f>IFERROR(VLOOKUP(C352,Hoja4!$D$4:$E$273,2,FALSE),0)</f>
        <v>0</v>
      </c>
      <c r="V352">
        <f>IFERROR(VLOOKUP(C352,Hoja4!$A$4:$B$273,2,FALSE),0)</f>
        <v>0</v>
      </c>
    </row>
    <row r="353" spans="1:22" x14ac:dyDescent="0.25">
      <c r="A353" s="33">
        <v>46042</v>
      </c>
      <c r="B353" s="31" t="s">
        <v>4</v>
      </c>
      <c r="C353" s="31">
        <v>310</v>
      </c>
      <c r="D353" s="31" t="s">
        <v>12</v>
      </c>
      <c r="E353" s="31" t="s">
        <v>11</v>
      </c>
      <c r="F353" s="31"/>
      <c r="G353" s="31" t="s">
        <v>10</v>
      </c>
      <c r="H353" s="31">
        <v>3163365535</v>
      </c>
      <c r="I353" s="31">
        <v>100</v>
      </c>
      <c r="J353" s="31">
        <v>300</v>
      </c>
      <c r="K353" s="31">
        <v>2100</v>
      </c>
      <c r="L353" s="31">
        <v>21</v>
      </c>
      <c r="M353" s="31">
        <v>7</v>
      </c>
      <c r="N353" s="31">
        <v>46049</v>
      </c>
      <c r="O353" s="31"/>
      <c r="P353" s="31">
        <v>4761.9047619047615</v>
      </c>
      <c r="Q353" s="31">
        <v>2100</v>
      </c>
      <c r="R353" s="31">
        <v>10000</v>
      </c>
      <c r="S353" s="31" t="s">
        <v>9</v>
      </c>
      <c r="T353" s="31"/>
      <c r="U353">
        <f>IFERROR(VLOOKUP(C353,Hoja4!$D$4:$E$273,2,FALSE),0)</f>
        <v>10000</v>
      </c>
      <c r="V353">
        <f>IFERROR(VLOOKUP(C353,Hoja4!$A$4:$B$273,2,FALSE),0)</f>
        <v>0</v>
      </c>
    </row>
    <row r="354" spans="1:22" x14ac:dyDescent="0.25">
      <c r="A354" s="32">
        <v>46044</v>
      </c>
      <c r="B354" s="30" t="s">
        <v>4</v>
      </c>
      <c r="C354" s="30">
        <v>313</v>
      </c>
      <c r="D354" s="30" t="s">
        <v>8</v>
      </c>
      <c r="E354" s="30" t="s">
        <v>8</v>
      </c>
      <c r="F354" s="30"/>
      <c r="G354" s="30" t="s">
        <v>7</v>
      </c>
      <c r="H354" s="30">
        <v>3124955069</v>
      </c>
      <c r="I354" s="30">
        <v>39</v>
      </c>
      <c r="J354" s="30">
        <v>78</v>
      </c>
      <c r="K354" s="30">
        <v>546</v>
      </c>
      <c r="L354" s="30">
        <v>14</v>
      </c>
      <c r="M354" s="30">
        <v>7</v>
      </c>
      <c r="N354" s="30">
        <v>46051</v>
      </c>
      <c r="O354" s="30"/>
      <c r="P354" s="30">
        <v>36630.03663003663</v>
      </c>
      <c r="Q354" s="30">
        <v>546</v>
      </c>
      <c r="R354" s="30">
        <v>20000</v>
      </c>
      <c r="S354" s="30" t="s">
        <v>6</v>
      </c>
      <c r="T354" s="30" t="s">
        <v>5</v>
      </c>
      <c r="U354">
        <f>IFERROR(VLOOKUP(C354,Hoja4!$D$4:$E$273,2,FALSE),0)</f>
        <v>20000</v>
      </c>
      <c r="V354">
        <f>IFERROR(VLOOKUP(C354,Hoja4!$A$4:$B$273,2,FALSE),0)</f>
        <v>20000</v>
      </c>
    </row>
    <row r="355" spans="1:22" x14ac:dyDescent="0.25">
      <c r="A355" s="33">
        <v>46048</v>
      </c>
      <c r="B355" s="31" t="s">
        <v>4</v>
      </c>
      <c r="C355" s="31">
        <v>317</v>
      </c>
      <c r="D355" s="31" t="s">
        <v>3</v>
      </c>
      <c r="E355" s="31" t="s">
        <v>3</v>
      </c>
      <c r="F355" s="31"/>
      <c r="G355" s="31" t="s">
        <v>2</v>
      </c>
      <c r="H355" s="31">
        <v>3125155797</v>
      </c>
      <c r="I355" s="31">
        <v>63</v>
      </c>
      <c r="J355" s="31">
        <v>190</v>
      </c>
      <c r="K355" s="31">
        <v>1330</v>
      </c>
      <c r="L355" s="31">
        <v>21.111111111111111</v>
      </c>
      <c r="M355" s="31">
        <v>7</v>
      </c>
      <c r="N355" s="31">
        <v>46055</v>
      </c>
      <c r="O355" s="31"/>
      <c r="P355" s="31">
        <v>81654.135338345863</v>
      </c>
      <c r="Q355" s="31">
        <v>1330</v>
      </c>
      <c r="R355" s="31">
        <v>108600</v>
      </c>
      <c r="S355" s="31" t="s">
        <v>1</v>
      </c>
      <c r="T355" s="31"/>
      <c r="U355">
        <f>IFERROR(VLOOKUP(C355,Hoja4!$D$4:$E$273,2,FALSE),0)</f>
        <v>20000</v>
      </c>
      <c r="V355">
        <f>IFERROR(VLOOKUP(C355,Hoja4!$A$4:$B$273,2,FALSE),0)</f>
        <v>20000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DBA51-6935-445F-A4D4-4E1ED2D7E29C}">
  <dimension ref="A1:K1310"/>
  <sheetViews>
    <sheetView topLeftCell="A1275" workbookViewId="0">
      <selection activeCell="K1310" sqref="K1310"/>
    </sheetView>
  </sheetViews>
  <sheetFormatPr baseColWidth="10" defaultRowHeight="15" x14ac:dyDescent="0.25"/>
  <cols>
    <col min="1" max="1" width="10.42578125" bestFit="1" customWidth="1"/>
    <col min="2" max="2" width="13.85546875" bestFit="1" customWidth="1"/>
    <col min="3" max="3" width="48.7109375" bestFit="1" customWidth="1"/>
    <col min="4" max="4" width="24.140625" bestFit="1" customWidth="1"/>
    <col min="5" max="5" width="16.42578125" bestFit="1" customWidth="1"/>
    <col min="6" max="6" width="13" bestFit="1" customWidth="1"/>
    <col min="7" max="7" width="20.5703125" bestFit="1" customWidth="1"/>
    <col min="8" max="8" width="12" bestFit="1" customWidth="1"/>
    <col min="9" max="9" width="12.28515625" bestFit="1" customWidth="1"/>
    <col min="10" max="10" width="18" bestFit="1" customWidth="1"/>
    <col min="11" max="11" width="18.42578125" bestFit="1" customWidth="1"/>
  </cols>
  <sheetData>
    <row r="1" spans="1:11" x14ac:dyDescent="0.25">
      <c r="A1" s="6" t="s">
        <v>1372</v>
      </c>
      <c r="B1" s="7" t="s">
        <v>1373</v>
      </c>
      <c r="C1" s="7" t="s">
        <v>1368</v>
      </c>
      <c r="D1" s="7" t="s">
        <v>1374</v>
      </c>
      <c r="E1" s="8" t="s">
        <v>1375</v>
      </c>
      <c r="F1" s="9" t="s">
        <v>1376</v>
      </c>
      <c r="G1" s="9" t="s">
        <v>1377</v>
      </c>
      <c r="H1" s="9" t="s">
        <v>1378</v>
      </c>
      <c r="I1" s="9" t="s">
        <v>1379</v>
      </c>
      <c r="J1" s="9" t="s">
        <v>1380</v>
      </c>
      <c r="K1" s="10" t="s">
        <v>1381</v>
      </c>
    </row>
    <row r="2" spans="1:11" x14ac:dyDescent="0.25">
      <c r="A2" s="11">
        <v>46048</v>
      </c>
      <c r="B2" s="12">
        <v>2</v>
      </c>
      <c r="C2" s="12" t="s">
        <v>1382</v>
      </c>
      <c r="D2" s="13" t="s">
        <v>1383</v>
      </c>
      <c r="E2" s="14">
        <v>1000</v>
      </c>
      <c r="F2" s="15"/>
      <c r="G2" s="16">
        <v>48000</v>
      </c>
      <c r="H2" s="16">
        <v>0</v>
      </c>
      <c r="I2" s="16">
        <v>48000</v>
      </c>
      <c r="J2" s="16">
        <v>0</v>
      </c>
      <c r="K2" s="17">
        <v>0</v>
      </c>
    </row>
    <row r="3" spans="1:11" x14ac:dyDescent="0.25">
      <c r="A3" s="18">
        <v>46048</v>
      </c>
      <c r="B3" s="19">
        <v>2</v>
      </c>
      <c r="C3" s="19" t="s">
        <v>1349</v>
      </c>
      <c r="D3" s="20" t="s">
        <v>1384</v>
      </c>
      <c r="E3" s="21"/>
      <c r="F3" s="22">
        <v>48000</v>
      </c>
      <c r="G3" s="23"/>
      <c r="H3" s="23">
        <v>0</v>
      </c>
      <c r="I3" s="23">
        <v>0</v>
      </c>
      <c r="J3" s="23">
        <v>0</v>
      </c>
      <c r="K3" s="24">
        <v>0</v>
      </c>
    </row>
    <row r="4" spans="1:11" x14ac:dyDescent="0.25">
      <c r="A4" s="11">
        <v>46042</v>
      </c>
      <c r="B4" s="12">
        <v>4</v>
      </c>
      <c r="C4" s="12" t="s">
        <v>1343</v>
      </c>
      <c r="D4" s="13" t="s">
        <v>1384</v>
      </c>
      <c r="E4" s="14"/>
      <c r="F4" s="15">
        <v>48000</v>
      </c>
      <c r="G4" s="16"/>
      <c r="H4" s="16">
        <v>48000</v>
      </c>
      <c r="I4" s="16">
        <v>0</v>
      </c>
      <c r="J4" s="16">
        <v>0</v>
      </c>
      <c r="K4" s="17">
        <v>0</v>
      </c>
    </row>
    <row r="5" spans="1:11" x14ac:dyDescent="0.25">
      <c r="A5" s="18">
        <v>46042</v>
      </c>
      <c r="B5" s="19">
        <v>4</v>
      </c>
      <c r="C5" s="19" t="s">
        <v>1343</v>
      </c>
      <c r="D5" s="20" t="s">
        <v>1385</v>
      </c>
      <c r="E5" s="21">
        <v>600</v>
      </c>
      <c r="F5" s="22"/>
      <c r="G5" s="23">
        <v>48000</v>
      </c>
      <c r="H5" s="23">
        <v>0</v>
      </c>
      <c r="I5" s="23">
        <v>0</v>
      </c>
      <c r="J5" s="23">
        <v>0</v>
      </c>
      <c r="K5" s="24">
        <v>0</v>
      </c>
    </row>
    <row r="6" spans="1:11" x14ac:dyDescent="0.25">
      <c r="A6" s="11">
        <v>46059</v>
      </c>
      <c r="B6" s="12">
        <v>4</v>
      </c>
      <c r="C6" s="12" t="s">
        <v>1343</v>
      </c>
      <c r="D6" s="13" t="s">
        <v>1384</v>
      </c>
      <c r="E6" s="14"/>
      <c r="F6" s="15">
        <v>48000</v>
      </c>
      <c r="G6" s="16"/>
      <c r="H6" s="16">
        <v>48000</v>
      </c>
      <c r="I6" s="16">
        <v>0</v>
      </c>
      <c r="J6" s="16">
        <v>0</v>
      </c>
      <c r="K6" s="17">
        <v>0</v>
      </c>
    </row>
    <row r="7" spans="1:11" x14ac:dyDescent="0.25">
      <c r="A7" s="18">
        <v>46059</v>
      </c>
      <c r="B7" s="19">
        <v>4</v>
      </c>
      <c r="C7" s="19" t="s">
        <v>1343</v>
      </c>
      <c r="D7" s="20" t="s">
        <v>1385</v>
      </c>
      <c r="E7" s="21">
        <v>600</v>
      </c>
      <c r="F7" s="22"/>
      <c r="G7" s="23">
        <v>48000</v>
      </c>
      <c r="H7" s="23">
        <v>0</v>
      </c>
      <c r="I7" s="23">
        <v>0</v>
      </c>
      <c r="J7" s="23">
        <v>0</v>
      </c>
      <c r="K7" s="24">
        <v>0</v>
      </c>
    </row>
    <row r="8" spans="1:11" x14ac:dyDescent="0.25">
      <c r="A8" s="11">
        <v>46039</v>
      </c>
      <c r="B8" s="12">
        <v>5</v>
      </c>
      <c r="C8" s="12" t="s">
        <v>1386</v>
      </c>
      <c r="D8" s="13" t="s">
        <v>1384</v>
      </c>
      <c r="E8" s="14"/>
      <c r="F8" s="15">
        <v>197400</v>
      </c>
      <c r="G8" s="16"/>
      <c r="H8" s="16">
        <v>197400</v>
      </c>
      <c r="I8" s="16">
        <v>0</v>
      </c>
      <c r="J8" s="16">
        <v>0</v>
      </c>
      <c r="K8" s="17">
        <v>0</v>
      </c>
    </row>
    <row r="9" spans="1:11" x14ac:dyDescent="0.25">
      <c r="A9" s="18">
        <v>46039</v>
      </c>
      <c r="B9" s="19">
        <v>5</v>
      </c>
      <c r="C9" s="19" t="s">
        <v>1386</v>
      </c>
      <c r="D9" s="20"/>
      <c r="E9" s="21"/>
      <c r="F9" s="22"/>
      <c r="G9" s="23">
        <v>197400</v>
      </c>
      <c r="H9" s="23">
        <v>0</v>
      </c>
      <c r="I9" s="23">
        <v>0</v>
      </c>
      <c r="J9" s="23">
        <v>0</v>
      </c>
      <c r="K9" s="24">
        <v>0</v>
      </c>
    </row>
    <row r="10" spans="1:11" x14ac:dyDescent="0.25">
      <c r="A10" s="11">
        <v>46052</v>
      </c>
      <c r="B10" s="12">
        <v>5</v>
      </c>
      <c r="C10" s="12" t="s">
        <v>1339</v>
      </c>
      <c r="D10" s="13" t="s">
        <v>1385</v>
      </c>
      <c r="E10" s="14">
        <v>8850</v>
      </c>
      <c r="F10" s="15"/>
      <c r="G10" s="16">
        <v>258950</v>
      </c>
      <c r="H10" s="16">
        <v>0</v>
      </c>
      <c r="I10" s="16">
        <v>258950</v>
      </c>
      <c r="J10" s="16">
        <v>0</v>
      </c>
      <c r="K10" s="17">
        <v>0</v>
      </c>
    </row>
    <row r="11" spans="1:11" x14ac:dyDescent="0.25">
      <c r="A11" s="18">
        <v>46056</v>
      </c>
      <c r="B11" s="19">
        <v>5</v>
      </c>
      <c r="C11" s="19" t="s">
        <v>1339</v>
      </c>
      <c r="D11" s="20" t="s">
        <v>1384</v>
      </c>
      <c r="E11" s="21"/>
      <c r="F11" s="22">
        <v>258950</v>
      </c>
      <c r="G11" s="23"/>
      <c r="H11" s="23">
        <v>0</v>
      </c>
      <c r="I11" s="23">
        <v>0</v>
      </c>
      <c r="J11" s="23">
        <v>0</v>
      </c>
      <c r="K11" s="24">
        <v>0</v>
      </c>
    </row>
    <row r="12" spans="1:11" x14ac:dyDescent="0.25">
      <c r="A12" s="11">
        <v>46069</v>
      </c>
      <c r="B12" s="12">
        <v>5</v>
      </c>
      <c r="C12" s="12" t="s">
        <v>1339</v>
      </c>
      <c r="D12" s="13" t="s">
        <v>1385</v>
      </c>
      <c r="E12" s="14">
        <v>8850</v>
      </c>
      <c r="F12" s="15"/>
      <c r="G12" s="16">
        <v>258950</v>
      </c>
      <c r="H12" s="16">
        <v>0</v>
      </c>
      <c r="I12" s="16">
        <v>258950</v>
      </c>
      <c r="J12" s="16">
        <v>0</v>
      </c>
      <c r="K12" s="17">
        <v>258950</v>
      </c>
    </row>
    <row r="13" spans="1:11" x14ac:dyDescent="0.25">
      <c r="A13" s="18">
        <v>46039</v>
      </c>
      <c r="B13" s="19">
        <v>7</v>
      </c>
      <c r="C13" s="19" t="s">
        <v>1332</v>
      </c>
      <c r="D13" s="20"/>
      <c r="E13" s="21"/>
      <c r="F13" s="22"/>
      <c r="G13" s="23">
        <v>128700</v>
      </c>
      <c r="H13" s="23">
        <v>0</v>
      </c>
      <c r="I13" s="23">
        <v>128700</v>
      </c>
      <c r="J13" s="23">
        <v>0</v>
      </c>
      <c r="K13" s="24">
        <v>0</v>
      </c>
    </row>
    <row r="14" spans="1:11" x14ac:dyDescent="0.25">
      <c r="A14" s="11">
        <v>46041</v>
      </c>
      <c r="B14" s="12">
        <v>7</v>
      </c>
      <c r="C14" s="12" t="s">
        <v>1332</v>
      </c>
      <c r="D14" s="13" t="s">
        <v>1384</v>
      </c>
      <c r="E14" s="14"/>
      <c r="F14" s="15">
        <v>128700</v>
      </c>
      <c r="G14" s="16"/>
      <c r="H14" s="16">
        <v>0</v>
      </c>
      <c r="I14" s="16">
        <v>0</v>
      </c>
      <c r="J14" s="16">
        <v>0</v>
      </c>
      <c r="K14" s="17">
        <v>0</v>
      </c>
    </row>
    <row r="15" spans="1:11" x14ac:dyDescent="0.25">
      <c r="A15" s="18">
        <v>46052</v>
      </c>
      <c r="B15" s="19">
        <v>7</v>
      </c>
      <c r="C15" s="19" t="s">
        <v>1332</v>
      </c>
      <c r="D15" s="20" t="s">
        <v>1384</v>
      </c>
      <c r="E15" s="21"/>
      <c r="F15" s="22">
        <v>128700</v>
      </c>
      <c r="G15" s="23"/>
      <c r="H15" s="23">
        <v>128700</v>
      </c>
      <c r="I15" s="23">
        <v>0</v>
      </c>
      <c r="J15" s="23">
        <v>0</v>
      </c>
      <c r="K15" s="24">
        <v>0</v>
      </c>
    </row>
    <row r="16" spans="1:11" x14ac:dyDescent="0.25">
      <c r="A16" s="11">
        <v>46052</v>
      </c>
      <c r="B16" s="12">
        <v>7</v>
      </c>
      <c r="C16" s="12" t="s">
        <v>1332</v>
      </c>
      <c r="D16" s="13" t="s">
        <v>1385</v>
      </c>
      <c r="E16" s="14">
        <v>4950</v>
      </c>
      <c r="F16" s="15"/>
      <c r="G16" s="16">
        <v>128700</v>
      </c>
      <c r="H16" s="16">
        <v>0</v>
      </c>
      <c r="I16" s="16">
        <v>0</v>
      </c>
      <c r="J16" s="16">
        <v>0</v>
      </c>
      <c r="K16" s="17">
        <v>0</v>
      </c>
    </row>
    <row r="17" spans="1:11" x14ac:dyDescent="0.25">
      <c r="A17" s="18">
        <v>46071</v>
      </c>
      <c r="B17" s="19">
        <v>7</v>
      </c>
      <c r="C17" s="19" t="s">
        <v>1332</v>
      </c>
      <c r="D17" s="20" t="s">
        <v>1384</v>
      </c>
      <c r="E17" s="21"/>
      <c r="F17" s="22">
        <v>128700</v>
      </c>
      <c r="G17" s="23"/>
      <c r="H17" s="23">
        <v>128700</v>
      </c>
      <c r="I17" s="23">
        <v>0</v>
      </c>
      <c r="J17" s="23">
        <v>0</v>
      </c>
      <c r="K17" s="24">
        <v>0</v>
      </c>
    </row>
    <row r="18" spans="1:11" x14ac:dyDescent="0.25">
      <c r="A18" s="11">
        <v>46071</v>
      </c>
      <c r="B18" s="12">
        <v>7</v>
      </c>
      <c r="C18" s="12" t="s">
        <v>1332</v>
      </c>
      <c r="D18" s="13" t="s">
        <v>1385</v>
      </c>
      <c r="E18" s="14">
        <v>4950</v>
      </c>
      <c r="F18" s="15"/>
      <c r="G18" s="16">
        <v>128700</v>
      </c>
      <c r="H18" s="16">
        <v>0</v>
      </c>
      <c r="I18" s="16">
        <v>0</v>
      </c>
      <c r="J18" s="16">
        <v>0</v>
      </c>
      <c r="K18" s="17">
        <v>0</v>
      </c>
    </row>
    <row r="19" spans="1:11" x14ac:dyDescent="0.25">
      <c r="A19" s="18">
        <v>46039</v>
      </c>
      <c r="B19" s="19">
        <v>8</v>
      </c>
      <c r="C19" s="19" t="s">
        <v>1328</v>
      </c>
      <c r="D19" s="20"/>
      <c r="E19" s="21"/>
      <c r="F19" s="22">
        <v>0</v>
      </c>
      <c r="G19" s="23"/>
      <c r="H19" s="23">
        <v>0</v>
      </c>
      <c r="I19" s="23">
        <v>0</v>
      </c>
      <c r="J19" s="23">
        <v>0</v>
      </c>
      <c r="K19" s="24">
        <v>0</v>
      </c>
    </row>
    <row r="20" spans="1:11" x14ac:dyDescent="0.25">
      <c r="A20" s="11">
        <v>46039</v>
      </c>
      <c r="B20" s="12">
        <v>8</v>
      </c>
      <c r="C20" s="12" t="s">
        <v>1328</v>
      </c>
      <c r="D20" s="13"/>
      <c r="E20" s="14"/>
      <c r="F20" s="15"/>
      <c r="G20" s="16">
        <v>162000</v>
      </c>
      <c r="H20" s="16">
        <v>0</v>
      </c>
      <c r="I20" s="16">
        <v>162000</v>
      </c>
      <c r="J20" s="16">
        <v>0</v>
      </c>
      <c r="K20" s="17">
        <v>0</v>
      </c>
    </row>
    <row r="21" spans="1:11" x14ac:dyDescent="0.25">
      <c r="A21" s="18">
        <v>46041</v>
      </c>
      <c r="B21" s="19">
        <v>8</v>
      </c>
      <c r="C21" s="19" t="s">
        <v>1328</v>
      </c>
      <c r="D21" s="20" t="s">
        <v>1384</v>
      </c>
      <c r="E21" s="21"/>
      <c r="F21" s="22">
        <v>261000</v>
      </c>
      <c r="G21" s="23"/>
      <c r="H21" s="23">
        <v>99000</v>
      </c>
      <c r="I21" s="23">
        <v>0</v>
      </c>
      <c r="J21" s="23">
        <v>0</v>
      </c>
      <c r="K21" s="24">
        <v>0</v>
      </c>
    </row>
    <row r="22" spans="1:11" x14ac:dyDescent="0.25">
      <c r="A22" s="11">
        <v>46045</v>
      </c>
      <c r="B22" s="12">
        <v>8</v>
      </c>
      <c r="C22" s="12" t="s">
        <v>1328</v>
      </c>
      <c r="D22" s="13" t="s">
        <v>1385</v>
      </c>
      <c r="E22" s="14">
        <v>3000</v>
      </c>
      <c r="F22" s="15"/>
      <c r="G22" s="16">
        <v>87000</v>
      </c>
      <c r="H22" s="16">
        <v>12000</v>
      </c>
      <c r="I22" s="16">
        <v>0</v>
      </c>
      <c r="J22" s="16">
        <v>0</v>
      </c>
      <c r="K22" s="17">
        <v>0</v>
      </c>
    </row>
    <row r="23" spans="1:11" x14ac:dyDescent="0.25">
      <c r="A23" s="18">
        <v>46055</v>
      </c>
      <c r="B23" s="19">
        <v>8</v>
      </c>
      <c r="C23" s="19" t="s">
        <v>1328</v>
      </c>
      <c r="D23" s="20" t="s">
        <v>1385</v>
      </c>
      <c r="E23" s="21">
        <v>3000</v>
      </c>
      <c r="F23" s="22"/>
      <c r="G23" s="23">
        <v>87000</v>
      </c>
      <c r="H23" s="23">
        <v>0</v>
      </c>
      <c r="I23" s="23">
        <v>75000</v>
      </c>
      <c r="J23" s="23">
        <v>0</v>
      </c>
      <c r="K23" s="24">
        <v>0</v>
      </c>
    </row>
    <row r="24" spans="1:11" x14ac:dyDescent="0.25">
      <c r="A24" s="11">
        <v>46065</v>
      </c>
      <c r="B24" s="12">
        <v>8</v>
      </c>
      <c r="C24" s="12" t="s">
        <v>1328</v>
      </c>
      <c r="D24" s="13" t="s">
        <v>1385</v>
      </c>
      <c r="E24" s="14">
        <v>3000</v>
      </c>
      <c r="F24" s="15"/>
      <c r="G24" s="16">
        <v>87000</v>
      </c>
      <c r="H24" s="16">
        <v>0</v>
      </c>
      <c r="I24" s="16">
        <v>162000</v>
      </c>
      <c r="J24" s="16">
        <v>0</v>
      </c>
      <c r="K24" s="17">
        <v>162000</v>
      </c>
    </row>
    <row r="25" spans="1:11" x14ac:dyDescent="0.25">
      <c r="A25" s="18">
        <v>46039</v>
      </c>
      <c r="B25" s="19">
        <v>10</v>
      </c>
      <c r="C25" s="19" t="s">
        <v>1324</v>
      </c>
      <c r="D25" s="20"/>
      <c r="E25" s="21"/>
      <c r="F25" s="22">
        <v>115201</v>
      </c>
      <c r="G25" s="23"/>
      <c r="H25" s="23">
        <v>115201</v>
      </c>
      <c r="I25" s="23">
        <v>0</v>
      </c>
      <c r="J25" s="23">
        <v>0</v>
      </c>
      <c r="K25" s="24">
        <v>0</v>
      </c>
    </row>
    <row r="26" spans="1:11" x14ac:dyDescent="0.25">
      <c r="A26" s="11">
        <v>46052</v>
      </c>
      <c r="B26" s="12">
        <v>10</v>
      </c>
      <c r="C26" s="12" t="s">
        <v>1324</v>
      </c>
      <c r="D26" s="13" t="s">
        <v>1385</v>
      </c>
      <c r="E26" s="14">
        <v>3600</v>
      </c>
      <c r="F26" s="15"/>
      <c r="G26" s="16">
        <v>115200</v>
      </c>
      <c r="H26" s="16">
        <v>1</v>
      </c>
      <c r="I26" s="16">
        <v>0</v>
      </c>
      <c r="J26" s="16">
        <v>0</v>
      </c>
      <c r="K26" s="17">
        <v>0</v>
      </c>
    </row>
    <row r="27" spans="1:11" x14ac:dyDescent="0.25">
      <c r="A27" s="18">
        <v>46066</v>
      </c>
      <c r="B27" s="19">
        <v>10</v>
      </c>
      <c r="C27" s="19" t="s">
        <v>1324</v>
      </c>
      <c r="D27" s="20" t="s">
        <v>1385</v>
      </c>
      <c r="E27" s="21">
        <v>3600</v>
      </c>
      <c r="F27" s="22"/>
      <c r="G27" s="23">
        <v>115200</v>
      </c>
      <c r="H27" s="23">
        <v>0</v>
      </c>
      <c r="I27" s="23">
        <v>115199</v>
      </c>
      <c r="J27" s="23">
        <v>0</v>
      </c>
      <c r="K27" s="24">
        <v>115199</v>
      </c>
    </row>
    <row r="28" spans="1:11" x14ac:dyDescent="0.25">
      <c r="A28" s="11">
        <v>46039</v>
      </c>
      <c r="B28" s="12">
        <v>12</v>
      </c>
      <c r="C28" s="12" t="s">
        <v>1316</v>
      </c>
      <c r="D28" s="13"/>
      <c r="E28" s="14"/>
      <c r="F28" s="15"/>
      <c r="G28" s="16">
        <v>426000</v>
      </c>
      <c r="H28" s="16">
        <v>0</v>
      </c>
      <c r="I28" s="16">
        <v>426000</v>
      </c>
      <c r="J28" s="16">
        <v>0</v>
      </c>
      <c r="K28" s="17">
        <v>0</v>
      </c>
    </row>
    <row r="29" spans="1:11" x14ac:dyDescent="0.25">
      <c r="A29" s="18">
        <v>46049</v>
      </c>
      <c r="B29" s="19">
        <v>12</v>
      </c>
      <c r="C29" s="19" t="s">
        <v>1316</v>
      </c>
      <c r="D29" s="20" t="s">
        <v>1385</v>
      </c>
      <c r="E29" s="21">
        <v>2850</v>
      </c>
      <c r="F29" s="22"/>
      <c r="G29" s="23">
        <v>71250</v>
      </c>
      <c r="H29" s="23">
        <v>0</v>
      </c>
      <c r="I29" s="23">
        <v>497250</v>
      </c>
      <c r="J29" s="23">
        <v>0</v>
      </c>
      <c r="K29" s="24">
        <v>0</v>
      </c>
    </row>
    <row r="30" spans="1:11" x14ac:dyDescent="0.25">
      <c r="A30" s="11">
        <v>46049</v>
      </c>
      <c r="B30" s="12">
        <v>12</v>
      </c>
      <c r="C30" s="12" t="s">
        <v>1316</v>
      </c>
      <c r="D30" s="13" t="s">
        <v>1384</v>
      </c>
      <c r="E30" s="14"/>
      <c r="F30" s="15">
        <v>300000</v>
      </c>
      <c r="G30" s="16"/>
      <c r="H30" s="16">
        <v>0</v>
      </c>
      <c r="I30" s="16">
        <v>197250</v>
      </c>
      <c r="J30" s="16">
        <v>0</v>
      </c>
      <c r="K30" s="17">
        <v>0</v>
      </c>
    </row>
    <row r="31" spans="1:11" x14ac:dyDescent="0.25">
      <c r="A31" s="18">
        <v>46067</v>
      </c>
      <c r="B31" s="19">
        <v>12</v>
      </c>
      <c r="C31" s="19" t="s">
        <v>1316</v>
      </c>
      <c r="D31" s="20" t="s">
        <v>1384</v>
      </c>
      <c r="E31" s="21"/>
      <c r="F31" s="22">
        <v>196750</v>
      </c>
      <c r="G31" s="23"/>
      <c r="H31" s="23">
        <v>0</v>
      </c>
      <c r="I31" s="23">
        <v>500</v>
      </c>
      <c r="J31" s="23">
        <v>0</v>
      </c>
      <c r="K31" s="24">
        <v>0</v>
      </c>
    </row>
    <row r="32" spans="1:11" x14ac:dyDescent="0.25">
      <c r="A32" s="11">
        <v>46069</v>
      </c>
      <c r="B32" s="12">
        <v>12</v>
      </c>
      <c r="C32" s="12" t="s">
        <v>1316</v>
      </c>
      <c r="D32" s="13" t="s">
        <v>1385</v>
      </c>
      <c r="E32" s="14">
        <v>2850</v>
      </c>
      <c r="F32" s="15"/>
      <c r="G32" s="16">
        <v>71250</v>
      </c>
      <c r="H32" s="16">
        <v>0</v>
      </c>
      <c r="I32" s="16">
        <v>71750</v>
      </c>
      <c r="J32" s="16">
        <v>0</v>
      </c>
      <c r="K32" s="17">
        <v>71750</v>
      </c>
    </row>
    <row r="33" spans="1:11" x14ac:dyDescent="0.25">
      <c r="A33" s="18">
        <v>46039</v>
      </c>
      <c r="B33" s="19">
        <v>14</v>
      </c>
      <c r="C33" s="19" t="s">
        <v>1309</v>
      </c>
      <c r="D33" s="20"/>
      <c r="E33" s="21"/>
      <c r="F33" s="22"/>
      <c r="G33" s="23">
        <v>97800</v>
      </c>
      <c r="H33" s="23">
        <v>0</v>
      </c>
      <c r="I33" s="23">
        <v>97800</v>
      </c>
      <c r="J33" s="23">
        <v>0</v>
      </c>
      <c r="K33" s="24">
        <v>0</v>
      </c>
    </row>
    <row r="34" spans="1:11" x14ac:dyDescent="0.25">
      <c r="A34" s="11">
        <v>46042</v>
      </c>
      <c r="B34" s="12">
        <v>14</v>
      </c>
      <c r="C34" s="12" t="s">
        <v>1309</v>
      </c>
      <c r="D34" s="13" t="s">
        <v>1387</v>
      </c>
      <c r="E34" s="14"/>
      <c r="F34" s="15">
        <v>97800</v>
      </c>
      <c r="G34" s="16"/>
      <c r="H34" s="16">
        <v>0</v>
      </c>
      <c r="I34" s="16">
        <v>0</v>
      </c>
      <c r="J34" s="16">
        <v>0</v>
      </c>
      <c r="K34" s="17">
        <v>0</v>
      </c>
    </row>
    <row r="35" spans="1:11" x14ac:dyDescent="0.25">
      <c r="A35" s="18">
        <v>46057</v>
      </c>
      <c r="B35" s="19">
        <v>14</v>
      </c>
      <c r="C35" s="19" t="s">
        <v>1309</v>
      </c>
      <c r="D35" s="20" t="s">
        <v>1385</v>
      </c>
      <c r="E35" s="21">
        <v>3150</v>
      </c>
      <c r="F35" s="22"/>
      <c r="G35" s="23">
        <v>97808</v>
      </c>
      <c r="H35" s="23">
        <v>0</v>
      </c>
      <c r="I35" s="23">
        <v>97808</v>
      </c>
      <c r="J35" s="23">
        <v>0</v>
      </c>
      <c r="K35" s="24">
        <v>0</v>
      </c>
    </row>
    <row r="36" spans="1:11" x14ac:dyDescent="0.25">
      <c r="A36" s="11">
        <v>46070</v>
      </c>
      <c r="B36" s="12">
        <v>14</v>
      </c>
      <c r="C36" s="12" t="s">
        <v>1309</v>
      </c>
      <c r="D36" s="13" t="s">
        <v>1384</v>
      </c>
      <c r="E36" s="14"/>
      <c r="F36" s="15">
        <v>97800</v>
      </c>
      <c r="G36" s="16"/>
      <c r="H36" s="16">
        <v>0</v>
      </c>
      <c r="I36" s="16">
        <v>8</v>
      </c>
      <c r="J36" s="16">
        <v>0</v>
      </c>
      <c r="K36" s="17">
        <v>8</v>
      </c>
    </row>
    <row r="37" spans="1:11" x14ac:dyDescent="0.25">
      <c r="A37" s="18">
        <v>46043</v>
      </c>
      <c r="B37" s="19">
        <v>15</v>
      </c>
      <c r="C37" s="19" t="s">
        <v>1388</v>
      </c>
      <c r="D37" s="20" t="s">
        <v>1385</v>
      </c>
      <c r="E37" s="21">
        <v>5550</v>
      </c>
      <c r="F37" s="22"/>
      <c r="G37" s="23">
        <v>152100</v>
      </c>
      <c r="H37" s="23">
        <v>0</v>
      </c>
      <c r="I37" s="23">
        <v>152100</v>
      </c>
      <c r="J37" s="23">
        <v>0</v>
      </c>
      <c r="K37" s="24">
        <v>0</v>
      </c>
    </row>
    <row r="38" spans="1:11" x14ac:dyDescent="0.25">
      <c r="A38" s="11">
        <v>46052</v>
      </c>
      <c r="B38" s="12">
        <v>15</v>
      </c>
      <c r="C38" s="12" t="s">
        <v>1305</v>
      </c>
      <c r="D38" s="13" t="s">
        <v>1384</v>
      </c>
      <c r="E38" s="14"/>
      <c r="F38" s="15">
        <v>152100</v>
      </c>
      <c r="G38" s="16"/>
      <c r="H38" s="16">
        <v>0</v>
      </c>
      <c r="I38" s="16">
        <v>0</v>
      </c>
      <c r="J38" s="16">
        <v>0</v>
      </c>
      <c r="K38" s="17">
        <v>0</v>
      </c>
    </row>
    <row r="39" spans="1:11" x14ac:dyDescent="0.25">
      <c r="A39" s="18">
        <v>46057</v>
      </c>
      <c r="B39" s="19">
        <v>15</v>
      </c>
      <c r="C39" s="19" t="s">
        <v>1388</v>
      </c>
      <c r="D39" s="20" t="s">
        <v>1385</v>
      </c>
      <c r="E39" s="21">
        <v>5550</v>
      </c>
      <c r="F39" s="22"/>
      <c r="G39" s="23">
        <v>152100</v>
      </c>
      <c r="H39" s="23">
        <v>0</v>
      </c>
      <c r="I39" s="23">
        <v>152100</v>
      </c>
      <c r="J39" s="23">
        <v>0</v>
      </c>
      <c r="K39" s="24">
        <v>0</v>
      </c>
    </row>
    <row r="40" spans="1:11" x14ac:dyDescent="0.25">
      <c r="A40" s="11">
        <v>46071</v>
      </c>
      <c r="B40" s="12">
        <v>15</v>
      </c>
      <c r="C40" s="12" t="s">
        <v>1388</v>
      </c>
      <c r="D40" s="13" t="s">
        <v>1385</v>
      </c>
      <c r="E40" s="14">
        <v>5550</v>
      </c>
      <c r="F40" s="15"/>
      <c r="G40" s="16">
        <v>152100</v>
      </c>
      <c r="H40" s="16">
        <v>0</v>
      </c>
      <c r="I40" s="16">
        <v>304200</v>
      </c>
      <c r="J40" s="16">
        <v>0</v>
      </c>
      <c r="K40" s="17">
        <v>304200</v>
      </c>
    </row>
    <row r="41" spans="1:11" x14ac:dyDescent="0.25">
      <c r="A41" s="18">
        <v>46057</v>
      </c>
      <c r="B41" s="19">
        <v>17</v>
      </c>
      <c r="C41" s="19" t="s">
        <v>1301</v>
      </c>
      <c r="D41" s="20" t="s">
        <v>1384</v>
      </c>
      <c r="E41" s="21"/>
      <c r="F41" s="22">
        <v>123000</v>
      </c>
      <c r="G41" s="23"/>
      <c r="H41" s="23">
        <v>123000</v>
      </c>
      <c r="I41" s="23">
        <v>0</v>
      </c>
      <c r="J41" s="23">
        <v>0</v>
      </c>
      <c r="K41" s="24">
        <v>0</v>
      </c>
    </row>
    <row r="42" spans="1:11" x14ac:dyDescent="0.25">
      <c r="A42" s="11">
        <v>46057</v>
      </c>
      <c r="B42" s="12">
        <v>17</v>
      </c>
      <c r="C42" s="12" t="s">
        <v>1301</v>
      </c>
      <c r="D42" s="13" t="s">
        <v>1385</v>
      </c>
      <c r="E42" s="14">
        <v>3150</v>
      </c>
      <c r="F42" s="15"/>
      <c r="G42" s="16">
        <v>122850</v>
      </c>
      <c r="H42" s="16">
        <v>150</v>
      </c>
      <c r="I42" s="16">
        <v>0</v>
      </c>
      <c r="J42" s="16">
        <v>150</v>
      </c>
      <c r="K42" s="17">
        <v>0</v>
      </c>
    </row>
    <row r="43" spans="1:11" x14ac:dyDescent="0.25">
      <c r="A43" s="18">
        <v>46042</v>
      </c>
      <c r="B43" s="19">
        <v>18</v>
      </c>
      <c r="C43" s="19" t="s">
        <v>1297</v>
      </c>
      <c r="D43" s="20" t="s">
        <v>1385</v>
      </c>
      <c r="E43" s="21">
        <v>2700</v>
      </c>
      <c r="F43" s="22"/>
      <c r="G43" s="23">
        <v>108000</v>
      </c>
      <c r="H43" s="23">
        <v>0</v>
      </c>
      <c r="I43" s="23">
        <v>108000</v>
      </c>
      <c r="J43" s="23">
        <v>0</v>
      </c>
      <c r="K43" s="24">
        <v>0</v>
      </c>
    </row>
    <row r="44" spans="1:11" x14ac:dyDescent="0.25">
      <c r="A44" s="11">
        <v>46057</v>
      </c>
      <c r="B44" s="12">
        <v>18</v>
      </c>
      <c r="C44" s="12" t="s">
        <v>1297</v>
      </c>
      <c r="D44" s="13" t="s">
        <v>1385</v>
      </c>
      <c r="E44" s="14">
        <v>2700</v>
      </c>
      <c r="F44" s="15"/>
      <c r="G44" s="16">
        <v>108000</v>
      </c>
      <c r="H44" s="16">
        <v>0</v>
      </c>
      <c r="I44" s="16">
        <v>216000</v>
      </c>
      <c r="J44" s="16">
        <v>0</v>
      </c>
      <c r="K44" s="17">
        <v>0</v>
      </c>
    </row>
    <row r="45" spans="1:11" x14ac:dyDescent="0.25">
      <c r="A45" s="18">
        <v>46071</v>
      </c>
      <c r="B45" s="19">
        <v>18</v>
      </c>
      <c r="C45" s="19" t="s">
        <v>1297</v>
      </c>
      <c r="D45" s="20" t="s">
        <v>1385</v>
      </c>
      <c r="E45" s="21">
        <v>2700</v>
      </c>
      <c r="F45" s="22"/>
      <c r="G45" s="23">
        <v>108000</v>
      </c>
      <c r="H45" s="23">
        <v>0</v>
      </c>
      <c r="I45" s="23">
        <v>324000</v>
      </c>
      <c r="J45" s="23">
        <v>0</v>
      </c>
      <c r="K45" s="24">
        <v>324000</v>
      </c>
    </row>
    <row r="46" spans="1:11" x14ac:dyDescent="0.25">
      <c r="A46" s="11">
        <v>46051</v>
      </c>
      <c r="B46" s="12">
        <v>19</v>
      </c>
      <c r="C46" s="12" t="s">
        <v>1293</v>
      </c>
      <c r="D46" s="13" t="s">
        <v>1385</v>
      </c>
      <c r="E46" s="14">
        <v>1650</v>
      </c>
      <c r="F46" s="15"/>
      <c r="G46" s="16">
        <v>85000</v>
      </c>
      <c r="H46" s="16">
        <v>0</v>
      </c>
      <c r="I46" s="16">
        <v>85000</v>
      </c>
      <c r="J46" s="16">
        <v>0</v>
      </c>
      <c r="K46" s="17">
        <v>0</v>
      </c>
    </row>
    <row r="47" spans="1:11" x14ac:dyDescent="0.25">
      <c r="A47" s="18">
        <v>46052</v>
      </c>
      <c r="B47" s="19">
        <v>19</v>
      </c>
      <c r="C47" s="19" t="s">
        <v>1293</v>
      </c>
      <c r="D47" s="20" t="s">
        <v>1384</v>
      </c>
      <c r="E47" s="21"/>
      <c r="F47" s="22">
        <v>85000</v>
      </c>
      <c r="G47" s="23"/>
      <c r="H47" s="23">
        <v>0</v>
      </c>
      <c r="I47" s="23">
        <v>0</v>
      </c>
      <c r="J47" s="23">
        <v>0</v>
      </c>
      <c r="K47" s="24">
        <v>0</v>
      </c>
    </row>
    <row r="48" spans="1:11" x14ac:dyDescent="0.25">
      <c r="A48" s="11">
        <v>46066</v>
      </c>
      <c r="B48" s="12">
        <v>19</v>
      </c>
      <c r="C48" s="12" t="s">
        <v>1293</v>
      </c>
      <c r="D48" s="13" t="s">
        <v>1385</v>
      </c>
      <c r="E48" s="14">
        <v>1650</v>
      </c>
      <c r="F48" s="15"/>
      <c r="G48" s="16">
        <v>85000</v>
      </c>
      <c r="H48" s="16">
        <v>0</v>
      </c>
      <c r="I48" s="16">
        <v>85000</v>
      </c>
      <c r="J48" s="16">
        <v>0</v>
      </c>
      <c r="K48" s="17">
        <v>0</v>
      </c>
    </row>
    <row r="49" spans="1:11" x14ac:dyDescent="0.25">
      <c r="A49" s="18">
        <v>46071</v>
      </c>
      <c r="B49" s="19">
        <v>19</v>
      </c>
      <c r="C49" s="19" t="s">
        <v>1293</v>
      </c>
      <c r="D49" s="20" t="s">
        <v>1384</v>
      </c>
      <c r="E49" s="21"/>
      <c r="F49" s="22">
        <v>85000</v>
      </c>
      <c r="G49" s="23"/>
      <c r="H49" s="23">
        <v>0</v>
      </c>
      <c r="I49" s="23">
        <v>0</v>
      </c>
      <c r="J49" s="23">
        <v>0</v>
      </c>
      <c r="K49" s="24">
        <v>0</v>
      </c>
    </row>
    <row r="50" spans="1:11" x14ac:dyDescent="0.25">
      <c r="A50" s="11">
        <v>46039</v>
      </c>
      <c r="B50" s="12">
        <v>21</v>
      </c>
      <c r="C50" s="12" t="s">
        <v>1286</v>
      </c>
      <c r="D50" s="13"/>
      <c r="E50" s="14"/>
      <c r="F50" s="15"/>
      <c r="G50" s="16">
        <v>192000</v>
      </c>
      <c r="H50" s="16">
        <v>0</v>
      </c>
      <c r="I50" s="16">
        <v>192000</v>
      </c>
      <c r="J50" s="16">
        <v>0</v>
      </c>
      <c r="K50" s="17">
        <v>192000</v>
      </c>
    </row>
    <row r="51" spans="1:11" x14ac:dyDescent="0.25">
      <c r="A51" s="18">
        <v>46039</v>
      </c>
      <c r="B51" s="19">
        <v>22</v>
      </c>
      <c r="C51" s="19" t="s">
        <v>1282</v>
      </c>
      <c r="D51" s="20"/>
      <c r="E51" s="21"/>
      <c r="F51" s="22"/>
      <c r="G51" s="23">
        <v>603499</v>
      </c>
      <c r="H51" s="23">
        <v>0</v>
      </c>
      <c r="I51" s="23">
        <v>603499</v>
      </c>
      <c r="J51" s="23">
        <v>0</v>
      </c>
      <c r="K51" s="24">
        <v>0</v>
      </c>
    </row>
    <row r="52" spans="1:11" x14ac:dyDescent="0.25">
      <c r="A52" s="11">
        <v>46047</v>
      </c>
      <c r="B52" s="12">
        <v>22</v>
      </c>
      <c r="C52" s="12" t="s">
        <v>1282</v>
      </c>
      <c r="D52" s="13" t="s">
        <v>1384</v>
      </c>
      <c r="E52" s="14"/>
      <c r="F52" s="15">
        <v>1287000</v>
      </c>
      <c r="G52" s="16"/>
      <c r="H52" s="16">
        <v>683501</v>
      </c>
      <c r="I52" s="16">
        <v>0</v>
      </c>
      <c r="J52" s="16">
        <v>0</v>
      </c>
      <c r="K52" s="17">
        <v>0</v>
      </c>
    </row>
    <row r="53" spans="1:11" x14ac:dyDescent="0.25">
      <c r="A53" s="18">
        <v>46052</v>
      </c>
      <c r="B53" s="19">
        <v>22</v>
      </c>
      <c r="C53" s="19" t="s">
        <v>1282</v>
      </c>
      <c r="D53" s="20" t="s">
        <v>1385</v>
      </c>
      <c r="E53" s="21">
        <v>3000</v>
      </c>
      <c r="F53" s="22"/>
      <c r="G53" s="23">
        <v>71950</v>
      </c>
      <c r="H53" s="23">
        <v>611551</v>
      </c>
      <c r="I53" s="23">
        <v>0</v>
      </c>
      <c r="J53" s="23">
        <v>0</v>
      </c>
      <c r="K53" s="24">
        <v>0</v>
      </c>
    </row>
    <row r="54" spans="1:11" x14ac:dyDescent="0.25">
      <c r="A54" s="11">
        <v>46052</v>
      </c>
      <c r="B54" s="12">
        <v>22</v>
      </c>
      <c r="C54" s="12" t="s">
        <v>1389</v>
      </c>
      <c r="D54" s="13" t="s">
        <v>1385</v>
      </c>
      <c r="E54" s="14">
        <v>3600</v>
      </c>
      <c r="F54" s="15"/>
      <c r="G54" s="16">
        <v>117227</v>
      </c>
      <c r="H54" s="16">
        <v>494324</v>
      </c>
      <c r="I54" s="16">
        <v>0</v>
      </c>
      <c r="J54" s="16">
        <v>0</v>
      </c>
      <c r="K54" s="17">
        <v>0</v>
      </c>
    </row>
    <row r="55" spans="1:11" x14ac:dyDescent="0.25">
      <c r="A55" s="18">
        <v>46052</v>
      </c>
      <c r="B55" s="19">
        <v>22</v>
      </c>
      <c r="C55" s="19" t="s">
        <v>1389</v>
      </c>
      <c r="D55" s="20" t="s">
        <v>1385</v>
      </c>
      <c r="E55" s="21">
        <v>3150</v>
      </c>
      <c r="F55" s="22"/>
      <c r="G55" s="23">
        <v>102573</v>
      </c>
      <c r="H55" s="23">
        <v>391751</v>
      </c>
      <c r="I55" s="23">
        <v>0</v>
      </c>
      <c r="J55" s="23">
        <v>0</v>
      </c>
      <c r="K55" s="24">
        <v>0</v>
      </c>
    </row>
    <row r="56" spans="1:11" x14ac:dyDescent="0.25">
      <c r="A56" s="11">
        <v>46052</v>
      </c>
      <c r="B56" s="12">
        <v>22</v>
      </c>
      <c r="C56" s="12" t="s">
        <v>1389</v>
      </c>
      <c r="D56" s="13" t="s">
        <v>1383</v>
      </c>
      <c r="E56" s="14">
        <v>500</v>
      </c>
      <c r="F56" s="15"/>
      <c r="G56" s="16">
        <v>30000</v>
      </c>
      <c r="H56" s="16">
        <v>361751</v>
      </c>
      <c r="I56" s="16">
        <v>0</v>
      </c>
      <c r="J56" s="16">
        <v>0</v>
      </c>
      <c r="K56" s="17">
        <v>0</v>
      </c>
    </row>
    <row r="57" spans="1:11" x14ac:dyDescent="0.25">
      <c r="A57" s="18">
        <v>46069</v>
      </c>
      <c r="B57" s="19">
        <v>22</v>
      </c>
      <c r="C57" s="19" t="s">
        <v>1282</v>
      </c>
      <c r="D57" s="20" t="s">
        <v>1385</v>
      </c>
      <c r="E57" s="21">
        <v>3000</v>
      </c>
      <c r="F57" s="22"/>
      <c r="G57" s="23">
        <v>71950</v>
      </c>
      <c r="H57" s="23">
        <v>289801</v>
      </c>
      <c r="I57" s="23">
        <v>0</v>
      </c>
      <c r="J57" s="23">
        <v>0</v>
      </c>
      <c r="K57" s="24">
        <v>0</v>
      </c>
    </row>
    <row r="58" spans="1:11" x14ac:dyDescent="0.25">
      <c r="A58" s="11">
        <v>46069</v>
      </c>
      <c r="B58" s="12">
        <v>22</v>
      </c>
      <c r="C58" s="12" t="s">
        <v>1389</v>
      </c>
      <c r="D58" s="13" t="s">
        <v>1385</v>
      </c>
      <c r="E58" s="14">
        <v>3600</v>
      </c>
      <c r="F58" s="15"/>
      <c r="G58" s="16">
        <v>117227</v>
      </c>
      <c r="H58" s="16">
        <v>172574</v>
      </c>
      <c r="I58" s="16">
        <v>0</v>
      </c>
      <c r="J58" s="16">
        <v>0</v>
      </c>
      <c r="K58" s="17">
        <v>0</v>
      </c>
    </row>
    <row r="59" spans="1:11" x14ac:dyDescent="0.25">
      <c r="A59" s="18">
        <v>46069</v>
      </c>
      <c r="B59" s="19">
        <v>22</v>
      </c>
      <c r="C59" s="19" t="s">
        <v>1389</v>
      </c>
      <c r="D59" s="20" t="s">
        <v>1385</v>
      </c>
      <c r="E59" s="21">
        <v>3150</v>
      </c>
      <c r="F59" s="22"/>
      <c r="G59" s="23">
        <v>102573</v>
      </c>
      <c r="H59" s="23">
        <v>70001</v>
      </c>
      <c r="I59" s="23">
        <v>0</v>
      </c>
      <c r="J59" s="23">
        <v>0</v>
      </c>
      <c r="K59" s="24">
        <v>0</v>
      </c>
    </row>
    <row r="60" spans="1:11" x14ac:dyDescent="0.25">
      <c r="A60" s="11">
        <v>46069</v>
      </c>
      <c r="B60" s="12">
        <v>22</v>
      </c>
      <c r="C60" s="12" t="s">
        <v>1389</v>
      </c>
      <c r="D60" s="13" t="s">
        <v>1383</v>
      </c>
      <c r="E60" s="14">
        <v>500</v>
      </c>
      <c r="F60" s="15"/>
      <c r="G60" s="16">
        <v>40000</v>
      </c>
      <c r="H60" s="16">
        <v>30001</v>
      </c>
      <c r="I60" s="16">
        <v>0</v>
      </c>
      <c r="J60" s="16">
        <v>30001</v>
      </c>
      <c r="K60" s="17">
        <v>0</v>
      </c>
    </row>
    <row r="61" spans="1:11" x14ac:dyDescent="0.25">
      <c r="A61" s="18">
        <v>46045</v>
      </c>
      <c r="B61" s="19">
        <v>23</v>
      </c>
      <c r="C61" s="19" t="s">
        <v>1278</v>
      </c>
      <c r="D61" s="20" t="s">
        <v>1384</v>
      </c>
      <c r="E61" s="21"/>
      <c r="F61" s="22">
        <v>89100</v>
      </c>
      <c r="G61" s="23"/>
      <c r="H61" s="23">
        <v>89100</v>
      </c>
      <c r="I61" s="23">
        <v>0</v>
      </c>
      <c r="J61" s="23">
        <v>0</v>
      </c>
      <c r="K61" s="24">
        <v>0</v>
      </c>
    </row>
    <row r="62" spans="1:11" x14ac:dyDescent="0.25">
      <c r="A62" s="11">
        <v>46045</v>
      </c>
      <c r="B62" s="12">
        <v>23</v>
      </c>
      <c r="C62" s="12" t="s">
        <v>1278</v>
      </c>
      <c r="D62" s="13" t="s">
        <v>1385</v>
      </c>
      <c r="E62" s="14">
        <v>2025</v>
      </c>
      <c r="F62" s="15"/>
      <c r="G62" s="16">
        <v>89100</v>
      </c>
      <c r="H62" s="16">
        <v>0</v>
      </c>
      <c r="I62" s="16">
        <v>0</v>
      </c>
      <c r="J62" s="16">
        <v>0</v>
      </c>
      <c r="K62" s="17">
        <v>0</v>
      </c>
    </row>
    <row r="63" spans="1:11" x14ac:dyDescent="0.25">
      <c r="A63" s="18">
        <v>46064</v>
      </c>
      <c r="B63" s="19">
        <v>23</v>
      </c>
      <c r="C63" s="19" t="s">
        <v>1278</v>
      </c>
      <c r="D63" s="20" t="s">
        <v>1384</v>
      </c>
      <c r="E63" s="21"/>
      <c r="F63" s="22">
        <v>89100</v>
      </c>
      <c r="G63" s="23"/>
      <c r="H63" s="23">
        <v>89100</v>
      </c>
      <c r="I63" s="23">
        <v>0</v>
      </c>
      <c r="J63" s="23">
        <v>0</v>
      </c>
      <c r="K63" s="24">
        <v>0</v>
      </c>
    </row>
    <row r="64" spans="1:11" x14ac:dyDescent="0.25">
      <c r="A64" s="11">
        <v>46065</v>
      </c>
      <c r="B64" s="12">
        <v>23</v>
      </c>
      <c r="C64" s="12" t="s">
        <v>1278</v>
      </c>
      <c r="D64" s="13" t="s">
        <v>1385</v>
      </c>
      <c r="E64" s="14">
        <v>2025</v>
      </c>
      <c r="F64" s="15"/>
      <c r="G64" s="16">
        <v>89100</v>
      </c>
      <c r="H64" s="16">
        <v>0</v>
      </c>
      <c r="I64" s="16">
        <v>0</v>
      </c>
      <c r="J64" s="16">
        <v>0</v>
      </c>
      <c r="K64" s="17">
        <v>0</v>
      </c>
    </row>
    <row r="65" spans="1:11" x14ac:dyDescent="0.25">
      <c r="A65" s="18">
        <v>46048</v>
      </c>
      <c r="B65" s="19">
        <v>24</v>
      </c>
      <c r="C65" s="19" t="s">
        <v>1274</v>
      </c>
      <c r="D65" s="20" t="s">
        <v>1384</v>
      </c>
      <c r="E65" s="21"/>
      <c r="F65" s="22">
        <v>75000</v>
      </c>
      <c r="G65" s="23"/>
      <c r="H65" s="23">
        <v>75000</v>
      </c>
      <c r="I65" s="23">
        <v>0</v>
      </c>
      <c r="J65" s="23">
        <v>0</v>
      </c>
      <c r="K65" s="24">
        <v>0</v>
      </c>
    </row>
    <row r="66" spans="1:11" x14ac:dyDescent="0.25">
      <c r="A66" s="11">
        <v>46048</v>
      </c>
      <c r="B66" s="12">
        <v>24</v>
      </c>
      <c r="C66" s="12" t="s">
        <v>1274</v>
      </c>
      <c r="D66" s="13" t="s">
        <v>1385</v>
      </c>
      <c r="E66" s="14">
        <v>1500</v>
      </c>
      <c r="F66" s="15"/>
      <c r="G66" s="16">
        <v>0</v>
      </c>
      <c r="H66" s="16">
        <v>75000</v>
      </c>
      <c r="I66" s="16">
        <v>0</v>
      </c>
      <c r="J66" s="16">
        <v>0</v>
      </c>
      <c r="K66" s="17">
        <v>0</v>
      </c>
    </row>
    <row r="67" spans="1:11" x14ac:dyDescent="0.25">
      <c r="A67" s="18">
        <v>46056</v>
      </c>
      <c r="B67" s="19">
        <v>24</v>
      </c>
      <c r="C67" s="19" t="s">
        <v>1274</v>
      </c>
      <c r="D67" s="20" t="s">
        <v>1384</v>
      </c>
      <c r="E67" s="21"/>
      <c r="F67" s="22">
        <v>6000</v>
      </c>
      <c r="G67" s="23"/>
      <c r="H67" s="23">
        <v>81000</v>
      </c>
      <c r="I67" s="23">
        <v>0</v>
      </c>
      <c r="J67" s="23">
        <v>0</v>
      </c>
      <c r="K67" s="24">
        <v>0</v>
      </c>
    </row>
    <row r="68" spans="1:11" x14ac:dyDescent="0.25">
      <c r="A68" s="11">
        <v>46057</v>
      </c>
      <c r="B68" s="12">
        <v>24</v>
      </c>
      <c r="C68" s="12" t="s">
        <v>1274</v>
      </c>
      <c r="D68" s="13" t="s">
        <v>1385</v>
      </c>
      <c r="E68" s="14">
        <v>2700</v>
      </c>
      <c r="F68" s="15"/>
      <c r="G68" s="16">
        <v>75000</v>
      </c>
      <c r="H68" s="16">
        <v>6000</v>
      </c>
      <c r="I68" s="16">
        <v>0</v>
      </c>
      <c r="J68" s="16">
        <v>0</v>
      </c>
      <c r="K68" s="17">
        <v>0</v>
      </c>
    </row>
    <row r="69" spans="1:11" x14ac:dyDescent="0.25">
      <c r="A69" s="18">
        <v>46066</v>
      </c>
      <c r="B69" s="19">
        <v>24</v>
      </c>
      <c r="C69" s="19" t="s">
        <v>1274</v>
      </c>
      <c r="D69" s="20" t="s">
        <v>1384</v>
      </c>
      <c r="E69" s="21"/>
      <c r="F69" s="22">
        <v>81000</v>
      </c>
      <c r="G69" s="23"/>
      <c r="H69" s="23">
        <v>87000</v>
      </c>
      <c r="I69" s="23">
        <v>0</v>
      </c>
      <c r="J69" s="23">
        <v>0</v>
      </c>
      <c r="K69" s="24">
        <v>0</v>
      </c>
    </row>
    <row r="70" spans="1:11" x14ac:dyDescent="0.25">
      <c r="A70" s="11">
        <v>46069</v>
      </c>
      <c r="B70" s="12">
        <v>24</v>
      </c>
      <c r="C70" s="12" t="s">
        <v>1274</v>
      </c>
      <c r="D70" s="13" t="s">
        <v>1385</v>
      </c>
      <c r="E70" s="14">
        <v>2700</v>
      </c>
      <c r="F70" s="15"/>
      <c r="G70" s="16">
        <v>75000</v>
      </c>
      <c r="H70" s="16">
        <v>12000</v>
      </c>
      <c r="I70" s="16">
        <v>0</v>
      </c>
      <c r="J70" s="16">
        <v>12000</v>
      </c>
      <c r="K70" s="17">
        <v>0</v>
      </c>
    </row>
    <row r="71" spans="1:11" x14ac:dyDescent="0.25">
      <c r="A71" s="18">
        <v>46039</v>
      </c>
      <c r="B71" s="19">
        <v>26</v>
      </c>
      <c r="C71" s="19" t="s">
        <v>1267</v>
      </c>
      <c r="D71" s="20"/>
      <c r="E71" s="21"/>
      <c r="F71" s="22"/>
      <c r="G71" s="23">
        <v>93600</v>
      </c>
      <c r="H71" s="23">
        <v>0</v>
      </c>
      <c r="I71" s="23">
        <v>93600</v>
      </c>
      <c r="J71" s="23">
        <v>0</v>
      </c>
      <c r="K71" s="24">
        <v>0</v>
      </c>
    </row>
    <row r="72" spans="1:11" x14ac:dyDescent="0.25">
      <c r="A72" s="11">
        <v>46044</v>
      </c>
      <c r="B72" s="12">
        <v>26</v>
      </c>
      <c r="C72" s="12" t="s">
        <v>1267</v>
      </c>
      <c r="D72" s="13" t="s">
        <v>1384</v>
      </c>
      <c r="E72" s="14"/>
      <c r="F72" s="15">
        <v>93600</v>
      </c>
      <c r="G72" s="16"/>
      <c r="H72" s="16">
        <v>0</v>
      </c>
      <c r="I72" s="16">
        <v>0</v>
      </c>
      <c r="J72" s="16">
        <v>0</v>
      </c>
      <c r="K72" s="17">
        <v>0</v>
      </c>
    </row>
    <row r="73" spans="1:11" x14ac:dyDescent="0.25">
      <c r="A73" s="18">
        <v>46051</v>
      </c>
      <c r="B73" s="19">
        <v>26</v>
      </c>
      <c r="C73" s="19" t="s">
        <v>1267</v>
      </c>
      <c r="D73" s="20" t="s">
        <v>1385</v>
      </c>
      <c r="E73" s="21">
        <v>2400</v>
      </c>
      <c r="F73" s="22"/>
      <c r="G73" s="23">
        <v>93600</v>
      </c>
      <c r="H73" s="23">
        <v>0</v>
      </c>
      <c r="I73" s="23">
        <v>93600</v>
      </c>
      <c r="J73" s="23">
        <v>0</v>
      </c>
      <c r="K73" s="24">
        <v>0</v>
      </c>
    </row>
    <row r="74" spans="1:11" x14ac:dyDescent="0.25">
      <c r="A74" s="11">
        <v>46058</v>
      </c>
      <c r="B74" s="12">
        <v>26</v>
      </c>
      <c r="C74" s="12" t="s">
        <v>1267</v>
      </c>
      <c r="D74" s="13" t="s">
        <v>1384</v>
      </c>
      <c r="E74" s="14"/>
      <c r="F74" s="15">
        <v>93600</v>
      </c>
      <c r="G74" s="16"/>
      <c r="H74" s="16">
        <v>0</v>
      </c>
      <c r="I74" s="16">
        <v>0</v>
      </c>
      <c r="J74" s="16">
        <v>0</v>
      </c>
      <c r="K74" s="17">
        <v>0</v>
      </c>
    </row>
    <row r="75" spans="1:11" x14ac:dyDescent="0.25">
      <c r="A75" s="18">
        <v>46070</v>
      </c>
      <c r="B75" s="19">
        <v>26</v>
      </c>
      <c r="C75" s="19" t="s">
        <v>1267</v>
      </c>
      <c r="D75" s="20" t="s">
        <v>1385</v>
      </c>
      <c r="E75" s="21">
        <v>2400</v>
      </c>
      <c r="F75" s="22"/>
      <c r="G75" s="23">
        <v>93600</v>
      </c>
      <c r="H75" s="23">
        <v>0</v>
      </c>
      <c r="I75" s="23">
        <v>93600</v>
      </c>
      <c r="J75" s="23">
        <v>0</v>
      </c>
      <c r="K75" s="24">
        <v>93600</v>
      </c>
    </row>
    <row r="76" spans="1:11" x14ac:dyDescent="0.25">
      <c r="A76" s="11">
        <v>46041</v>
      </c>
      <c r="B76" s="12">
        <v>27</v>
      </c>
      <c r="C76" s="12" t="s">
        <v>1263</v>
      </c>
      <c r="D76" s="13" t="s">
        <v>1385</v>
      </c>
      <c r="E76" s="14">
        <v>4500</v>
      </c>
      <c r="F76" s="15"/>
      <c r="G76" s="16">
        <v>168000</v>
      </c>
      <c r="H76" s="16">
        <v>0</v>
      </c>
      <c r="I76" s="16">
        <v>168000</v>
      </c>
      <c r="J76" s="16">
        <v>0</v>
      </c>
      <c r="K76" s="17">
        <v>0</v>
      </c>
    </row>
    <row r="77" spans="1:11" x14ac:dyDescent="0.25">
      <c r="A77" s="18">
        <v>46041</v>
      </c>
      <c r="B77" s="19">
        <v>27</v>
      </c>
      <c r="C77" s="19" t="s">
        <v>1263</v>
      </c>
      <c r="D77" s="20" t="s">
        <v>1384</v>
      </c>
      <c r="E77" s="21"/>
      <c r="F77" s="22">
        <v>18000</v>
      </c>
      <c r="G77" s="23"/>
      <c r="H77" s="23">
        <v>0</v>
      </c>
      <c r="I77" s="23">
        <v>150000</v>
      </c>
      <c r="J77" s="23">
        <v>0</v>
      </c>
      <c r="K77" s="24">
        <v>0</v>
      </c>
    </row>
    <row r="78" spans="1:11" x14ac:dyDescent="0.25">
      <c r="A78" s="11">
        <v>46042</v>
      </c>
      <c r="B78" s="12">
        <v>27</v>
      </c>
      <c r="C78" s="12" t="s">
        <v>1263</v>
      </c>
      <c r="D78" s="13" t="s">
        <v>1387</v>
      </c>
      <c r="E78" s="14"/>
      <c r="F78" s="15">
        <v>150000</v>
      </c>
      <c r="G78" s="16"/>
      <c r="H78" s="16">
        <v>0</v>
      </c>
      <c r="I78" s="16">
        <v>0</v>
      </c>
      <c r="J78" s="16">
        <v>0</v>
      </c>
      <c r="K78" s="17">
        <v>0</v>
      </c>
    </row>
    <row r="79" spans="1:11" x14ac:dyDescent="0.25">
      <c r="A79" s="18">
        <v>46055</v>
      </c>
      <c r="B79" s="19">
        <v>27</v>
      </c>
      <c r="C79" s="19" t="s">
        <v>1263</v>
      </c>
      <c r="D79" s="20" t="s">
        <v>1385</v>
      </c>
      <c r="E79" s="21">
        <v>4500</v>
      </c>
      <c r="F79" s="22"/>
      <c r="G79" s="23">
        <v>175500</v>
      </c>
      <c r="H79" s="23">
        <v>0</v>
      </c>
      <c r="I79" s="23">
        <v>175500</v>
      </c>
      <c r="J79" s="23">
        <v>0</v>
      </c>
      <c r="K79" s="24">
        <v>175500</v>
      </c>
    </row>
    <row r="80" spans="1:11" x14ac:dyDescent="0.25">
      <c r="A80" s="11">
        <v>46039</v>
      </c>
      <c r="B80" s="12">
        <v>28</v>
      </c>
      <c r="C80" s="12" t="s">
        <v>1259</v>
      </c>
      <c r="D80" s="13"/>
      <c r="E80" s="14"/>
      <c r="F80" s="15">
        <v>0</v>
      </c>
      <c r="G80" s="16"/>
      <c r="H80" s="16">
        <v>0</v>
      </c>
      <c r="I80" s="16">
        <v>0</v>
      </c>
      <c r="J80" s="16">
        <v>0</v>
      </c>
      <c r="K80" s="17">
        <v>0</v>
      </c>
    </row>
    <row r="81" spans="1:11" x14ac:dyDescent="0.25">
      <c r="A81" s="18">
        <v>46052</v>
      </c>
      <c r="B81" s="19">
        <v>28</v>
      </c>
      <c r="C81" s="19" t="s">
        <v>1259</v>
      </c>
      <c r="D81" s="20" t="s">
        <v>1385</v>
      </c>
      <c r="E81" s="21">
        <v>8100</v>
      </c>
      <c r="F81" s="22"/>
      <c r="G81" s="23">
        <v>202500</v>
      </c>
      <c r="H81" s="23">
        <v>0</v>
      </c>
      <c r="I81" s="23">
        <v>202500</v>
      </c>
      <c r="J81" s="23">
        <v>0</v>
      </c>
      <c r="K81" s="24">
        <v>0</v>
      </c>
    </row>
    <row r="82" spans="1:11" x14ac:dyDescent="0.25">
      <c r="A82" s="11">
        <v>46053</v>
      </c>
      <c r="B82" s="12">
        <v>28</v>
      </c>
      <c r="C82" s="12" t="s">
        <v>1259</v>
      </c>
      <c r="D82" s="13" t="s">
        <v>1384</v>
      </c>
      <c r="E82" s="14"/>
      <c r="F82" s="15">
        <v>379000</v>
      </c>
      <c r="G82" s="16"/>
      <c r="H82" s="16">
        <v>176500</v>
      </c>
      <c r="I82" s="16">
        <v>0</v>
      </c>
      <c r="J82" s="16">
        <v>0</v>
      </c>
      <c r="K82" s="17">
        <v>0</v>
      </c>
    </row>
    <row r="83" spans="1:11" x14ac:dyDescent="0.25">
      <c r="A83" s="18">
        <v>46069</v>
      </c>
      <c r="B83" s="19">
        <v>28</v>
      </c>
      <c r="C83" s="19" t="s">
        <v>1259</v>
      </c>
      <c r="D83" s="20" t="s">
        <v>1385</v>
      </c>
      <c r="E83" s="21">
        <v>8100</v>
      </c>
      <c r="F83" s="22"/>
      <c r="G83" s="23">
        <v>202500</v>
      </c>
      <c r="H83" s="23">
        <v>0</v>
      </c>
      <c r="I83" s="23">
        <v>26000</v>
      </c>
      <c r="J83" s="23">
        <v>0</v>
      </c>
      <c r="K83" s="24">
        <v>26000</v>
      </c>
    </row>
    <row r="84" spans="1:11" x14ac:dyDescent="0.25">
      <c r="A84" s="11">
        <v>46039</v>
      </c>
      <c r="B84" s="12">
        <v>29</v>
      </c>
      <c r="C84" s="12" t="s">
        <v>1255</v>
      </c>
      <c r="D84" s="13"/>
      <c r="E84" s="14"/>
      <c r="F84" s="15"/>
      <c r="G84" s="16">
        <v>244000</v>
      </c>
      <c r="H84" s="16">
        <v>0</v>
      </c>
      <c r="I84" s="16">
        <v>244000</v>
      </c>
      <c r="J84" s="16">
        <v>0</v>
      </c>
      <c r="K84" s="17">
        <v>0</v>
      </c>
    </row>
    <row r="85" spans="1:11" x14ac:dyDescent="0.25">
      <c r="A85" s="18">
        <v>46040</v>
      </c>
      <c r="B85" s="19">
        <v>29</v>
      </c>
      <c r="C85" s="19" t="s">
        <v>1255</v>
      </c>
      <c r="D85" s="20" t="s">
        <v>1384</v>
      </c>
      <c r="E85" s="21"/>
      <c r="F85" s="22">
        <v>244000</v>
      </c>
      <c r="G85" s="23"/>
      <c r="H85" s="23">
        <v>0</v>
      </c>
      <c r="I85" s="23">
        <v>0</v>
      </c>
      <c r="J85" s="23">
        <v>0</v>
      </c>
      <c r="K85" s="24">
        <v>0</v>
      </c>
    </row>
    <row r="86" spans="1:11" x14ac:dyDescent="0.25">
      <c r="A86" s="11">
        <v>46048</v>
      </c>
      <c r="B86" s="12">
        <v>29</v>
      </c>
      <c r="C86" s="12" t="s">
        <v>1255</v>
      </c>
      <c r="D86" s="13" t="s">
        <v>1385</v>
      </c>
      <c r="E86" s="14">
        <v>6000</v>
      </c>
      <c r="F86" s="15"/>
      <c r="G86" s="16">
        <v>252000</v>
      </c>
      <c r="H86" s="16">
        <v>0</v>
      </c>
      <c r="I86" s="16">
        <v>252000</v>
      </c>
      <c r="J86" s="16">
        <v>0</v>
      </c>
      <c r="K86" s="17">
        <v>0</v>
      </c>
    </row>
    <row r="87" spans="1:11" x14ac:dyDescent="0.25">
      <c r="A87" s="18">
        <v>46053</v>
      </c>
      <c r="B87" s="19">
        <v>29</v>
      </c>
      <c r="C87" s="19" t="s">
        <v>1255</v>
      </c>
      <c r="D87" s="20" t="s">
        <v>1384</v>
      </c>
      <c r="E87" s="21"/>
      <c r="F87" s="22">
        <v>252000</v>
      </c>
      <c r="G87" s="23"/>
      <c r="H87" s="23">
        <v>0</v>
      </c>
      <c r="I87" s="23">
        <v>0</v>
      </c>
      <c r="J87" s="23">
        <v>0</v>
      </c>
      <c r="K87" s="24">
        <v>0</v>
      </c>
    </row>
    <row r="88" spans="1:11" x14ac:dyDescent="0.25">
      <c r="A88" s="11">
        <v>46059</v>
      </c>
      <c r="B88" s="12">
        <v>29</v>
      </c>
      <c r="C88" s="12" t="s">
        <v>1255</v>
      </c>
      <c r="D88" s="13" t="s">
        <v>1385</v>
      </c>
      <c r="E88" s="14">
        <v>6000</v>
      </c>
      <c r="F88" s="15"/>
      <c r="G88" s="16">
        <v>126000</v>
      </c>
      <c r="H88" s="16">
        <v>0</v>
      </c>
      <c r="I88" s="16">
        <v>126000</v>
      </c>
      <c r="J88" s="16">
        <v>0</v>
      </c>
      <c r="K88" s="17">
        <v>126000</v>
      </c>
    </row>
    <row r="89" spans="1:11" x14ac:dyDescent="0.25">
      <c r="A89" s="18">
        <v>46039</v>
      </c>
      <c r="B89" s="19">
        <v>30</v>
      </c>
      <c r="C89" s="19" t="s">
        <v>1252</v>
      </c>
      <c r="D89" s="20"/>
      <c r="E89" s="21"/>
      <c r="F89" s="22">
        <v>200000</v>
      </c>
      <c r="G89" s="23"/>
      <c r="H89" s="23">
        <v>200000</v>
      </c>
      <c r="I89" s="23">
        <v>0</v>
      </c>
      <c r="J89" s="23">
        <v>0</v>
      </c>
      <c r="K89" s="24">
        <v>0</v>
      </c>
    </row>
    <row r="90" spans="1:11" x14ac:dyDescent="0.25">
      <c r="A90" s="11">
        <v>46039</v>
      </c>
      <c r="B90" s="12">
        <v>30</v>
      </c>
      <c r="C90" s="12" t="s">
        <v>1252</v>
      </c>
      <c r="D90" s="13"/>
      <c r="E90" s="14"/>
      <c r="F90" s="15"/>
      <c r="G90" s="16">
        <v>212200</v>
      </c>
      <c r="H90" s="16">
        <v>0</v>
      </c>
      <c r="I90" s="16">
        <v>12200</v>
      </c>
      <c r="J90" s="16">
        <v>0</v>
      </c>
      <c r="K90" s="17">
        <v>0</v>
      </c>
    </row>
    <row r="91" spans="1:11" x14ac:dyDescent="0.25">
      <c r="A91" s="18">
        <v>46041</v>
      </c>
      <c r="B91" s="19">
        <v>30</v>
      </c>
      <c r="C91" s="19" t="s">
        <v>1252</v>
      </c>
      <c r="D91" s="20" t="s">
        <v>1385</v>
      </c>
      <c r="E91" s="21">
        <v>4680</v>
      </c>
      <c r="F91" s="22"/>
      <c r="G91" s="23">
        <v>0</v>
      </c>
      <c r="H91" s="23">
        <v>0</v>
      </c>
      <c r="I91" s="23">
        <v>12200</v>
      </c>
      <c r="J91" s="23">
        <v>0</v>
      </c>
      <c r="K91" s="24">
        <v>0</v>
      </c>
    </row>
    <row r="92" spans="1:11" x14ac:dyDescent="0.25">
      <c r="A92" s="11">
        <v>46041</v>
      </c>
      <c r="B92" s="12">
        <v>30</v>
      </c>
      <c r="C92" s="12" t="s">
        <v>1252</v>
      </c>
      <c r="D92" s="13" t="s">
        <v>1390</v>
      </c>
      <c r="E92" s="14"/>
      <c r="F92" s="15">
        <v>12200</v>
      </c>
      <c r="G92" s="16"/>
      <c r="H92" s="16">
        <v>0</v>
      </c>
      <c r="I92" s="16">
        <v>0</v>
      </c>
      <c r="J92" s="16">
        <v>0</v>
      </c>
      <c r="K92" s="17">
        <v>0</v>
      </c>
    </row>
    <row r="93" spans="1:11" x14ac:dyDescent="0.25">
      <c r="A93" s="18">
        <v>46043</v>
      </c>
      <c r="B93" s="19">
        <v>30</v>
      </c>
      <c r="C93" s="19" t="s">
        <v>1391</v>
      </c>
      <c r="D93" s="20" t="s">
        <v>1390</v>
      </c>
      <c r="E93" s="21"/>
      <c r="F93" s="22">
        <v>262200</v>
      </c>
      <c r="G93" s="23"/>
      <c r="H93" s="23">
        <v>262200</v>
      </c>
      <c r="I93" s="23">
        <v>0</v>
      </c>
      <c r="J93" s="23">
        <v>0</v>
      </c>
      <c r="K93" s="24">
        <v>0</v>
      </c>
    </row>
    <row r="94" spans="1:11" x14ac:dyDescent="0.25">
      <c r="A94" s="11">
        <v>46043</v>
      </c>
      <c r="B94" s="12">
        <v>30</v>
      </c>
      <c r="C94" s="12" t="s">
        <v>1391</v>
      </c>
      <c r="D94" s="13" t="s">
        <v>1383</v>
      </c>
      <c r="E94" s="14">
        <v>200</v>
      </c>
      <c r="F94" s="15"/>
      <c r="G94" s="16">
        <v>0</v>
      </c>
      <c r="H94" s="16">
        <v>262200</v>
      </c>
      <c r="I94" s="16">
        <v>0</v>
      </c>
      <c r="J94" s="16">
        <v>0</v>
      </c>
      <c r="K94" s="17">
        <v>0</v>
      </c>
    </row>
    <row r="95" spans="1:11" x14ac:dyDescent="0.25">
      <c r="A95" s="18">
        <v>46043</v>
      </c>
      <c r="B95" s="19">
        <v>30</v>
      </c>
      <c r="C95" s="19" t="s">
        <v>1391</v>
      </c>
      <c r="D95" s="20" t="s">
        <v>1385</v>
      </c>
      <c r="E95" s="21">
        <v>3680</v>
      </c>
      <c r="F95" s="22"/>
      <c r="G95" s="23">
        <v>134013</v>
      </c>
      <c r="H95" s="23">
        <v>128187</v>
      </c>
      <c r="I95" s="23">
        <v>0</v>
      </c>
      <c r="J95" s="23">
        <v>0</v>
      </c>
      <c r="K95" s="24">
        <v>0</v>
      </c>
    </row>
    <row r="96" spans="1:11" x14ac:dyDescent="0.25">
      <c r="A96" s="11">
        <v>46043</v>
      </c>
      <c r="B96" s="12">
        <v>30</v>
      </c>
      <c r="C96" s="12" t="s">
        <v>1391</v>
      </c>
      <c r="D96" s="13" t="s">
        <v>1385</v>
      </c>
      <c r="E96" s="14">
        <v>3520</v>
      </c>
      <c r="F96" s="15"/>
      <c r="G96" s="16">
        <v>128187</v>
      </c>
      <c r="H96" s="16">
        <v>0</v>
      </c>
      <c r="I96" s="16">
        <v>0</v>
      </c>
      <c r="J96" s="16">
        <v>0</v>
      </c>
      <c r="K96" s="17">
        <v>0</v>
      </c>
    </row>
    <row r="97" spans="1:11" x14ac:dyDescent="0.25">
      <c r="A97" s="18">
        <v>46049</v>
      </c>
      <c r="B97" s="19">
        <v>30</v>
      </c>
      <c r="C97" s="19" t="s">
        <v>1252</v>
      </c>
      <c r="D97" s="20" t="s">
        <v>1384</v>
      </c>
      <c r="E97" s="21"/>
      <c r="F97" s="22">
        <v>213600</v>
      </c>
      <c r="G97" s="23"/>
      <c r="H97" s="23">
        <v>213600</v>
      </c>
      <c r="I97" s="23">
        <v>0</v>
      </c>
      <c r="J97" s="23">
        <v>0</v>
      </c>
      <c r="K97" s="24">
        <v>0</v>
      </c>
    </row>
    <row r="98" spans="1:11" x14ac:dyDescent="0.25">
      <c r="A98" s="11">
        <v>46050</v>
      </c>
      <c r="B98" s="12">
        <v>30</v>
      </c>
      <c r="C98" s="12" t="s">
        <v>1252</v>
      </c>
      <c r="D98" s="13" t="s">
        <v>1385</v>
      </c>
      <c r="E98" s="14">
        <v>5850</v>
      </c>
      <c r="F98" s="15"/>
      <c r="G98" s="16">
        <v>213600</v>
      </c>
      <c r="H98" s="16">
        <v>0</v>
      </c>
      <c r="I98" s="16">
        <v>0</v>
      </c>
      <c r="J98" s="16">
        <v>0</v>
      </c>
      <c r="K98" s="17">
        <v>0</v>
      </c>
    </row>
    <row r="99" spans="1:11" x14ac:dyDescent="0.25">
      <c r="A99" s="18">
        <v>46057</v>
      </c>
      <c r="B99" s="19">
        <v>30</v>
      </c>
      <c r="C99" s="19" t="s">
        <v>1252</v>
      </c>
      <c r="D99" s="20" t="s">
        <v>1384</v>
      </c>
      <c r="E99" s="21"/>
      <c r="F99" s="22">
        <v>131000</v>
      </c>
      <c r="G99" s="23"/>
      <c r="H99" s="23">
        <v>131000</v>
      </c>
      <c r="I99" s="23">
        <v>0</v>
      </c>
      <c r="J99" s="23">
        <v>0</v>
      </c>
      <c r="K99" s="24">
        <v>0</v>
      </c>
    </row>
    <row r="100" spans="1:11" x14ac:dyDescent="0.25">
      <c r="A100" s="11">
        <v>46058</v>
      </c>
      <c r="B100" s="12">
        <v>30</v>
      </c>
      <c r="C100" s="12" t="s">
        <v>1391</v>
      </c>
      <c r="D100" s="13" t="s">
        <v>1385</v>
      </c>
      <c r="E100" s="14">
        <v>3360</v>
      </c>
      <c r="F100" s="15"/>
      <c r="G100" s="16">
        <v>131100</v>
      </c>
      <c r="H100" s="16">
        <v>0</v>
      </c>
      <c r="I100" s="16">
        <v>100</v>
      </c>
      <c r="J100" s="16">
        <v>0</v>
      </c>
      <c r="K100" s="17">
        <v>0</v>
      </c>
    </row>
    <row r="101" spans="1:11" x14ac:dyDescent="0.25">
      <c r="A101" s="18">
        <v>46066</v>
      </c>
      <c r="B101" s="19">
        <v>30</v>
      </c>
      <c r="C101" s="19" t="s">
        <v>1252</v>
      </c>
      <c r="D101" s="20" t="s">
        <v>1385</v>
      </c>
      <c r="E101" s="21">
        <v>5850</v>
      </c>
      <c r="F101" s="22"/>
      <c r="G101" s="23">
        <v>213600</v>
      </c>
      <c r="H101" s="23">
        <v>0</v>
      </c>
      <c r="I101" s="23">
        <v>213700</v>
      </c>
      <c r="J101" s="23">
        <v>0</v>
      </c>
      <c r="K101" s="24">
        <v>0</v>
      </c>
    </row>
    <row r="102" spans="1:11" x14ac:dyDescent="0.25">
      <c r="A102" s="11">
        <v>46066</v>
      </c>
      <c r="B102" s="12">
        <v>30</v>
      </c>
      <c r="C102" s="12" t="s">
        <v>1252</v>
      </c>
      <c r="D102" s="13" t="s">
        <v>1390</v>
      </c>
      <c r="E102" s="14"/>
      <c r="F102" s="15">
        <v>213000</v>
      </c>
      <c r="G102" s="16"/>
      <c r="H102" s="16">
        <v>0</v>
      </c>
      <c r="I102" s="16">
        <v>700</v>
      </c>
      <c r="J102" s="16">
        <v>0</v>
      </c>
      <c r="K102" s="17">
        <v>700</v>
      </c>
    </row>
    <row r="103" spans="1:11" x14ac:dyDescent="0.25">
      <c r="A103" s="18">
        <v>46039</v>
      </c>
      <c r="B103" s="19">
        <v>31</v>
      </c>
      <c r="C103" s="19" t="s">
        <v>1249</v>
      </c>
      <c r="D103" s="20"/>
      <c r="E103" s="21"/>
      <c r="F103" s="22"/>
      <c r="G103" s="23">
        <v>231000</v>
      </c>
      <c r="H103" s="23">
        <v>0</v>
      </c>
      <c r="I103" s="23">
        <v>231000</v>
      </c>
      <c r="J103" s="23">
        <v>0</v>
      </c>
      <c r="K103" s="24">
        <v>0</v>
      </c>
    </row>
    <row r="104" spans="1:11" x14ac:dyDescent="0.25">
      <c r="A104" s="11">
        <v>46048</v>
      </c>
      <c r="B104" s="12">
        <v>31</v>
      </c>
      <c r="C104" s="12" t="s">
        <v>1249</v>
      </c>
      <c r="D104" s="13" t="s">
        <v>1385</v>
      </c>
      <c r="E104" s="14">
        <v>10500</v>
      </c>
      <c r="F104" s="15"/>
      <c r="G104" s="16">
        <v>231000</v>
      </c>
      <c r="H104" s="16">
        <v>0</v>
      </c>
      <c r="I104" s="16">
        <v>462000</v>
      </c>
      <c r="J104" s="16">
        <v>0</v>
      </c>
      <c r="K104" s="17">
        <v>0</v>
      </c>
    </row>
    <row r="105" spans="1:11" x14ac:dyDescent="0.25">
      <c r="A105" s="18">
        <v>46063</v>
      </c>
      <c r="B105" s="19">
        <v>31</v>
      </c>
      <c r="C105" s="19" t="s">
        <v>1249</v>
      </c>
      <c r="D105" s="20" t="s">
        <v>1385</v>
      </c>
      <c r="E105" s="21">
        <v>10500</v>
      </c>
      <c r="F105" s="22"/>
      <c r="G105" s="23">
        <v>231000</v>
      </c>
      <c r="H105" s="23">
        <v>0</v>
      </c>
      <c r="I105" s="23">
        <v>693000</v>
      </c>
      <c r="J105" s="23">
        <v>0</v>
      </c>
      <c r="K105" s="24">
        <v>0</v>
      </c>
    </row>
    <row r="106" spans="1:11" x14ac:dyDescent="0.25">
      <c r="A106" s="11">
        <v>46063</v>
      </c>
      <c r="B106" s="12">
        <v>31</v>
      </c>
      <c r="C106" s="12" t="s">
        <v>1249</v>
      </c>
      <c r="D106" s="13" t="s">
        <v>1383</v>
      </c>
      <c r="E106" s="14">
        <v>400</v>
      </c>
      <c r="F106" s="15"/>
      <c r="G106" s="16">
        <v>19000</v>
      </c>
      <c r="H106" s="16">
        <v>0</v>
      </c>
      <c r="I106" s="16">
        <v>712000</v>
      </c>
      <c r="J106" s="16">
        <v>0</v>
      </c>
      <c r="K106" s="17">
        <v>0</v>
      </c>
    </row>
    <row r="107" spans="1:11" x14ac:dyDescent="0.25">
      <c r="A107" s="18">
        <v>46069</v>
      </c>
      <c r="B107" s="19">
        <v>31</v>
      </c>
      <c r="C107" s="19" t="s">
        <v>1249</v>
      </c>
      <c r="D107" s="20" t="s">
        <v>1384</v>
      </c>
      <c r="E107" s="21"/>
      <c r="F107" s="22">
        <v>462000</v>
      </c>
      <c r="G107" s="23"/>
      <c r="H107" s="23">
        <v>0</v>
      </c>
      <c r="I107" s="23">
        <v>250000</v>
      </c>
      <c r="J107" s="23">
        <v>0</v>
      </c>
      <c r="K107" s="24">
        <v>250000</v>
      </c>
    </row>
    <row r="108" spans="1:11" x14ac:dyDescent="0.25">
      <c r="A108" s="11">
        <v>46042</v>
      </c>
      <c r="B108" s="12">
        <v>32</v>
      </c>
      <c r="C108" s="12" t="s">
        <v>1245</v>
      </c>
      <c r="D108" s="13" t="s">
        <v>1385</v>
      </c>
      <c r="E108" s="14">
        <v>3000</v>
      </c>
      <c r="F108" s="15"/>
      <c r="G108" s="16">
        <v>87000</v>
      </c>
      <c r="H108" s="16">
        <v>0</v>
      </c>
      <c r="I108" s="16">
        <v>87000</v>
      </c>
      <c r="J108" s="16">
        <v>0</v>
      </c>
      <c r="K108" s="17">
        <v>0</v>
      </c>
    </row>
    <row r="109" spans="1:11" x14ac:dyDescent="0.25">
      <c r="A109" s="18">
        <v>46042</v>
      </c>
      <c r="B109" s="19">
        <v>32</v>
      </c>
      <c r="C109" s="19" t="s">
        <v>1245</v>
      </c>
      <c r="D109" s="20" t="s">
        <v>1390</v>
      </c>
      <c r="E109" s="21"/>
      <c r="F109" s="22">
        <v>87000</v>
      </c>
      <c r="G109" s="23"/>
      <c r="H109" s="23">
        <v>0</v>
      </c>
      <c r="I109" s="23">
        <v>0</v>
      </c>
      <c r="J109" s="23">
        <v>0</v>
      </c>
      <c r="K109" s="24">
        <v>0</v>
      </c>
    </row>
    <row r="110" spans="1:11" x14ac:dyDescent="0.25">
      <c r="A110" s="11">
        <v>46059</v>
      </c>
      <c r="B110" s="12">
        <v>32</v>
      </c>
      <c r="C110" s="12" t="s">
        <v>1245</v>
      </c>
      <c r="D110" s="13" t="s">
        <v>1390</v>
      </c>
      <c r="E110" s="14"/>
      <c r="F110" s="15">
        <v>87000</v>
      </c>
      <c r="G110" s="16"/>
      <c r="H110" s="16">
        <v>87000</v>
      </c>
      <c r="I110" s="16">
        <v>0</v>
      </c>
      <c r="J110" s="16">
        <v>0</v>
      </c>
      <c r="K110" s="17">
        <v>0</v>
      </c>
    </row>
    <row r="111" spans="1:11" x14ac:dyDescent="0.25">
      <c r="A111" s="18">
        <v>46059</v>
      </c>
      <c r="B111" s="19">
        <v>32</v>
      </c>
      <c r="C111" s="19" t="s">
        <v>1245</v>
      </c>
      <c r="D111" s="20" t="s">
        <v>1385</v>
      </c>
      <c r="E111" s="21">
        <v>3000</v>
      </c>
      <c r="F111" s="22"/>
      <c r="G111" s="23">
        <v>87000</v>
      </c>
      <c r="H111" s="23">
        <v>0</v>
      </c>
      <c r="I111" s="23">
        <v>0</v>
      </c>
      <c r="J111" s="23">
        <v>0</v>
      </c>
      <c r="K111" s="24">
        <v>0</v>
      </c>
    </row>
    <row r="112" spans="1:11" x14ac:dyDescent="0.25">
      <c r="A112" s="11">
        <v>46039</v>
      </c>
      <c r="B112" s="12">
        <v>34</v>
      </c>
      <c r="C112" s="12" t="s">
        <v>1241</v>
      </c>
      <c r="D112" s="13"/>
      <c r="E112" s="14"/>
      <c r="F112" s="15">
        <v>0</v>
      </c>
      <c r="G112" s="16"/>
      <c r="H112" s="16">
        <v>0</v>
      </c>
      <c r="I112" s="16">
        <v>0</v>
      </c>
      <c r="J112" s="16">
        <v>0</v>
      </c>
      <c r="K112" s="17">
        <v>0</v>
      </c>
    </row>
    <row r="113" spans="1:11" x14ac:dyDescent="0.25">
      <c r="A113" s="18">
        <v>46039</v>
      </c>
      <c r="B113" s="19">
        <v>34</v>
      </c>
      <c r="C113" s="19" t="s">
        <v>1241</v>
      </c>
      <c r="D113" s="20"/>
      <c r="E113" s="21"/>
      <c r="F113" s="22"/>
      <c r="G113" s="23">
        <v>86400</v>
      </c>
      <c r="H113" s="23">
        <v>0</v>
      </c>
      <c r="I113" s="23">
        <v>86400</v>
      </c>
      <c r="J113" s="23">
        <v>0</v>
      </c>
      <c r="K113" s="24">
        <v>0</v>
      </c>
    </row>
    <row r="114" spans="1:11" x14ac:dyDescent="0.25">
      <c r="A114" s="11">
        <v>46041</v>
      </c>
      <c r="B114" s="12">
        <v>34</v>
      </c>
      <c r="C114" s="12" t="s">
        <v>1241</v>
      </c>
      <c r="D114" s="13" t="s">
        <v>1384</v>
      </c>
      <c r="E114" s="14"/>
      <c r="F114" s="15">
        <v>86400</v>
      </c>
      <c r="G114" s="16"/>
      <c r="H114" s="16">
        <v>0</v>
      </c>
      <c r="I114" s="16">
        <v>0</v>
      </c>
      <c r="J114" s="16">
        <v>0</v>
      </c>
      <c r="K114" s="17">
        <v>0</v>
      </c>
    </row>
    <row r="115" spans="1:11" x14ac:dyDescent="0.25">
      <c r="A115" s="18">
        <v>46051</v>
      </c>
      <c r="B115" s="19">
        <v>34</v>
      </c>
      <c r="C115" s="19" t="s">
        <v>1241</v>
      </c>
      <c r="D115" s="20" t="s">
        <v>1385</v>
      </c>
      <c r="E115" s="21">
        <v>2700</v>
      </c>
      <c r="F115" s="22"/>
      <c r="G115" s="23">
        <v>86400</v>
      </c>
      <c r="H115" s="23">
        <v>0</v>
      </c>
      <c r="I115" s="23">
        <v>86400</v>
      </c>
      <c r="J115" s="23">
        <v>0</v>
      </c>
      <c r="K115" s="24">
        <v>0</v>
      </c>
    </row>
    <row r="116" spans="1:11" x14ac:dyDescent="0.25">
      <c r="A116" s="11">
        <v>46069</v>
      </c>
      <c r="B116" s="12">
        <v>34</v>
      </c>
      <c r="C116" s="12" t="s">
        <v>1241</v>
      </c>
      <c r="D116" s="13" t="s">
        <v>1385</v>
      </c>
      <c r="E116" s="14">
        <v>2700</v>
      </c>
      <c r="F116" s="15"/>
      <c r="G116" s="16">
        <v>86400</v>
      </c>
      <c r="H116" s="16">
        <v>0</v>
      </c>
      <c r="I116" s="16">
        <v>172800</v>
      </c>
      <c r="J116" s="16">
        <v>0</v>
      </c>
      <c r="K116" s="17">
        <v>0</v>
      </c>
    </row>
    <row r="117" spans="1:11" x14ac:dyDescent="0.25">
      <c r="A117" s="18">
        <v>46069</v>
      </c>
      <c r="B117" s="19">
        <v>34</v>
      </c>
      <c r="C117" s="19" t="s">
        <v>1241</v>
      </c>
      <c r="D117" s="20" t="s">
        <v>1390</v>
      </c>
      <c r="E117" s="21"/>
      <c r="F117" s="22">
        <v>86400</v>
      </c>
      <c r="G117" s="23"/>
      <c r="H117" s="23">
        <v>0</v>
      </c>
      <c r="I117" s="23">
        <v>86400</v>
      </c>
      <c r="J117" s="23">
        <v>0</v>
      </c>
      <c r="K117" s="24">
        <v>0</v>
      </c>
    </row>
    <row r="118" spans="1:11" x14ac:dyDescent="0.25">
      <c r="A118" s="11">
        <v>46069</v>
      </c>
      <c r="B118" s="12">
        <v>34</v>
      </c>
      <c r="C118" s="12" t="s">
        <v>1241</v>
      </c>
      <c r="D118" s="13" t="s">
        <v>1384</v>
      </c>
      <c r="E118" s="14"/>
      <c r="F118" s="15">
        <v>86400</v>
      </c>
      <c r="G118" s="16"/>
      <c r="H118" s="16">
        <v>0</v>
      </c>
      <c r="I118" s="16">
        <v>0</v>
      </c>
      <c r="J118" s="16">
        <v>0</v>
      </c>
      <c r="K118" s="17">
        <v>0</v>
      </c>
    </row>
    <row r="119" spans="1:11" x14ac:dyDescent="0.25">
      <c r="A119" s="18">
        <v>46043</v>
      </c>
      <c r="B119" s="19">
        <v>35</v>
      </c>
      <c r="C119" s="19" t="s">
        <v>1237</v>
      </c>
      <c r="D119" s="20" t="s">
        <v>1385</v>
      </c>
      <c r="E119" s="21">
        <v>7200</v>
      </c>
      <c r="F119" s="22"/>
      <c r="G119" s="23">
        <v>180000</v>
      </c>
      <c r="H119" s="23">
        <v>0</v>
      </c>
      <c r="I119" s="23">
        <v>180000</v>
      </c>
      <c r="J119" s="23">
        <v>0</v>
      </c>
      <c r="K119" s="24">
        <v>0</v>
      </c>
    </row>
    <row r="120" spans="1:11" x14ac:dyDescent="0.25">
      <c r="A120" s="11">
        <v>46044</v>
      </c>
      <c r="B120" s="12">
        <v>35</v>
      </c>
      <c r="C120" s="12" t="s">
        <v>1237</v>
      </c>
      <c r="D120" s="13" t="s">
        <v>1384</v>
      </c>
      <c r="E120" s="14"/>
      <c r="F120" s="15">
        <v>180000</v>
      </c>
      <c r="G120" s="16"/>
      <c r="H120" s="16">
        <v>0</v>
      </c>
      <c r="I120" s="16">
        <v>0</v>
      </c>
      <c r="J120" s="16">
        <v>0</v>
      </c>
      <c r="K120" s="17">
        <v>0</v>
      </c>
    </row>
    <row r="121" spans="1:11" x14ac:dyDescent="0.25">
      <c r="A121" s="18">
        <v>46051</v>
      </c>
      <c r="B121" s="19">
        <v>35</v>
      </c>
      <c r="C121" s="19" t="s">
        <v>1237</v>
      </c>
      <c r="D121" s="20" t="s">
        <v>1385</v>
      </c>
      <c r="E121" s="21">
        <v>7200</v>
      </c>
      <c r="F121" s="22"/>
      <c r="G121" s="23">
        <v>180000</v>
      </c>
      <c r="H121" s="23">
        <v>0</v>
      </c>
      <c r="I121" s="23">
        <v>180000</v>
      </c>
      <c r="J121" s="23">
        <v>0</v>
      </c>
      <c r="K121" s="24">
        <v>0</v>
      </c>
    </row>
    <row r="122" spans="1:11" x14ac:dyDescent="0.25">
      <c r="A122" s="11">
        <v>46053</v>
      </c>
      <c r="B122" s="12">
        <v>35</v>
      </c>
      <c r="C122" s="12" t="s">
        <v>1237</v>
      </c>
      <c r="D122" s="13" t="s">
        <v>1384</v>
      </c>
      <c r="E122" s="14"/>
      <c r="F122" s="15">
        <v>180000</v>
      </c>
      <c r="G122" s="16"/>
      <c r="H122" s="16">
        <v>0</v>
      </c>
      <c r="I122" s="16">
        <v>0</v>
      </c>
      <c r="J122" s="16">
        <v>0</v>
      </c>
      <c r="K122" s="17">
        <v>0</v>
      </c>
    </row>
    <row r="123" spans="1:11" x14ac:dyDescent="0.25">
      <c r="A123" s="18">
        <v>46062</v>
      </c>
      <c r="B123" s="19">
        <v>35</v>
      </c>
      <c r="C123" s="19" t="s">
        <v>1237</v>
      </c>
      <c r="D123" s="20" t="s">
        <v>1385</v>
      </c>
      <c r="E123" s="21">
        <v>1800</v>
      </c>
      <c r="F123" s="22"/>
      <c r="G123" s="23">
        <v>0</v>
      </c>
      <c r="H123" s="23">
        <v>0</v>
      </c>
      <c r="I123" s="23">
        <v>0</v>
      </c>
      <c r="J123" s="23">
        <v>0</v>
      </c>
      <c r="K123" s="24">
        <v>0</v>
      </c>
    </row>
    <row r="124" spans="1:11" x14ac:dyDescent="0.25">
      <c r="A124" s="11">
        <v>46066</v>
      </c>
      <c r="B124" s="12">
        <v>35</v>
      </c>
      <c r="C124" s="12" t="s">
        <v>1237</v>
      </c>
      <c r="D124" s="13" t="s">
        <v>1385</v>
      </c>
      <c r="E124" s="14">
        <v>5760</v>
      </c>
      <c r="F124" s="15"/>
      <c r="G124" s="16">
        <v>144000</v>
      </c>
      <c r="H124" s="16">
        <v>0</v>
      </c>
      <c r="I124" s="16">
        <v>144000</v>
      </c>
      <c r="J124" s="16">
        <v>0</v>
      </c>
      <c r="K124" s="17">
        <v>0</v>
      </c>
    </row>
    <row r="125" spans="1:11" x14ac:dyDescent="0.25">
      <c r="A125" s="18">
        <v>46070</v>
      </c>
      <c r="B125" s="19">
        <v>35</v>
      </c>
      <c r="C125" s="19" t="s">
        <v>1237</v>
      </c>
      <c r="D125" s="20" t="s">
        <v>1384</v>
      </c>
      <c r="E125" s="21"/>
      <c r="F125" s="22">
        <v>165000</v>
      </c>
      <c r="G125" s="23"/>
      <c r="H125" s="23">
        <v>21000</v>
      </c>
      <c r="I125" s="23">
        <v>0</v>
      </c>
      <c r="J125" s="23">
        <v>21000</v>
      </c>
      <c r="K125" s="24">
        <v>0</v>
      </c>
    </row>
    <row r="126" spans="1:11" x14ac:dyDescent="0.25">
      <c r="A126" s="11">
        <v>46039</v>
      </c>
      <c r="B126" s="12">
        <v>36</v>
      </c>
      <c r="C126" s="12" t="s">
        <v>1233</v>
      </c>
      <c r="D126" s="13"/>
      <c r="E126" s="14"/>
      <c r="F126" s="15">
        <v>140000</v>
      </c>
      <c r="G126" s="16"/>
      <c r="H126" s="16">
        <v>140000</v>
      </c>
      <c r="I126" s="16">
        <v>0</v>
      </c>
      <c r="J126" s="16">
        <v>0</v>
      </c>
      <c r="K126" s="17">
        <v>0</v>
      </c>
    </row>
    <row r="127" spans="1:11" x14ac:dyDescent="0.25">
      <c r="A127" s="18">
        <v>46041</v>
      </c>
      <c r="B127" s="19">
        <v>36</v>
      </c>
      <c r="C127" s="19" t="s">
        <v>1233</v>
      </c>
      <c r="D127" s="20" t="s">
        <v>1385</v>
      </c>
      <c r="E127" s="21">
        <v>2400</v>
      </c>
      <c r="F127" s="22"/>
      <c r="G127" s="23">
        <v>45600</v>
      </c>
      <c r="H127" s="23">
        <v>94400</v>
      </c>
      <c r="I127" s="23">
        <v>0</v>
      </c>
      <c r="J127" s="23">
        <v>0</v>
      </c>
      <c r="K127" s="24">
        <v>0</v>
      </c>
    </row>
    <row r="128" spans="1:11" x14ac:dyDescent="0.25">
      <c r="A128" s="11">
        <v>46041</v>
      </c>
      <c r="B128" s="12">
        <v>36</v>
      </c>
      <c r="C128" s="12" t="s">
        <v>1233</v>
      </c>
      <c r="D128" s="13" t="s">
        <v>1385</v>
      </c>
      <c r="E128" s="14">
        <v>9750</v>
      </c>
      <c r="F128" s="15"/>
      <c r="G128" s="16">
        <v>190000</v>
      </c>
      <c r="H128" s="16">
        <v>0</v>
      </c>
      <c r="I128" s="16">
        <v>95600</v>
      </c>
      <c r="J128" s="16">
        <v>0</v>
      </c>
      <c r="K128" s="17">
        <v>0</v>
      </c>
    </row>
    <row r="129" spans="1:11" x14ac:dyDescent="0.25">
      <c r="A129" s="18">
        <v>46041</v>
      </c>
      <c r="B129" s="19">
        <v>36</v>
      </c>
      <c r="C129" s="19" t="s">
        <v>1233</v>
      </c>
      <c r="D129" s="20" t="s">
        <v>1385</v>
      </c>
      <c r="E129" s="21">
        <v>3000</v>
      </c>
      <c r="F129" s="22"/>
      <c r="G129" s="23">
        <v>57000</v>
      </c>
      <c r="H129" s="23">
        <v>0</v>
      </c>
      <c r="I129" s="23">
        <v>152600</v>
      </c>
      <c r="J129" s="23">
        <v>0</v>
      </c>
      <c r="K129" s="24">
        <v>0</v>
      </c>
    </row>
    <row r="130" spans="1:11" x14ac:dyDescent="0.25">
      <c r="A130" s="11">
        <v>46041</v>
      </c>
      <c r="B130" s="12">
        <v>36</v>
      </c>
      <c r="C130" s="12" t="s">
        <v>1233</v>
      </c>
      <c r="D130" s="13" t="s">
        <v>1385</v>
      </c>
      <c r="E130" s="14">
        <v>3000</v>
      </c>
      <c r="F130" s="15"/>
      <c r="G130" s="16">
        <v>57000</v>
      </c>
      <c r="H130" s="16">
        <v>0</v>
      </c>
      <c r="I130" s="16">
        <v>209600</v>
      </c>
      <c r="J130" s="16">
        <v>0</v>
      </c>
      <c r="K130" s="17">
        <v>0</v>
      </c>
    </row>
    <row r="131" spans="1:11" x14ac:dyDescent="0.25">
      <c r="A131" s="18">
        <v>46041</v>
      </c>
      <c r="B131" s="19">
        <v>36</v>
      </c>
      <c r="C131" s="19" t="s">
        <v>1233</v>
      </c>
      <c r="D131" s="20" t="s">
        <v>1385</v>
      </c>
      <c r="E131" s="21">
        <v>10000</v>
      </c>
      <c r="F131" s="22"/>
      <c r="G131" s="23">
        <v>190000</v>
      </c>
      <c r="H131" s="23">
        <v>0</v>
      </c>
      <c r="I131" s="23">
        <v>399600</v>
      </c>
      <c r="J131" s="23">
        <v>0</v>
      </c>
      <c r="K131" s="24">
        <v>0</v>
      </c>
    </row>
    <row r="132" spans="1:11" x14ac:dyDescent="0.25">
      <c r="A132" s="11">
        <v>46041</v>
      </c>
      <c r="B132" s="12">
        <v>36</v>
      </c>
      <c r="C132" s="12" t="s">
        <v>1233</v>
      </c>
      <c r="D132" s="13" t="s">
        <v>1385</v>
      </c>
      <c r="E132" s="14">
        <v>9000</v>
      </c>
      <c r="F132" s="15"/>
      <c r="G132" s="16">
        <v>171000</v>
      </c>
      <c r="H132" s="16">
        <v>0</v>
      </c>
      <c r="I132" s="16">
        <v>570600</v>
      </c>
      <c r="J132" s="16">
        <v>0</v>
      </c>
      <c r="K132" s="17">
        <v>0</v>
      </c>
    </row>
    <row r="133" spans="1:11" x14ac:dyDescent="0.25">
      <c r="A133" s="18">
        <v>46041</v>
      </c>
      <c r="B133" s="19">
        <v>36</v>
      </c>
      <c r="C133" s="19" t="s">
        <v>1233</v>
      </c>
      <c r="D133" s="20" t="s">
        <v>1385</v>
      </c>
      <c r="E133" s="21">
        <v>12000</v>
      </c>
      <c r="F133" s="22"/>
      <c r="G133" s="23">
        <v>228000</v>
      </c>
      <c r="H133" s="23">
        <v>0</v>
      </c>
      <c r="I133" s="23">
        <v>798600</v>
      </c>
      <c r="J133" s="23">
        <v>0</v>
      </c>
      <c r="K133" s="24">
        <v>0</v>
      </c>
    </row>
    <row r="134" spans="1:11" x14ac:dyDescent="0.25">
      <c r="A134" s="11">
        <v>46043</v>
      </c>
      <c r="B134" s="12">
        <v>36</v>
      </c>
      <c r="C134" s="12" t="s">
        <v>1233</v>
      </c>
      <c r="D134" s="13" t="s">
        <v>1385</v>
      </c>
      <c r="E134" s="14">
        <v>2070</v>
      </c>
      <c r="F134" s="15"/>
      <c r="G134" s="16">
        <v>38000</v>
      </c>
      <c r="H134" s="16">
        <v>0</v>
      </c>
      <c r="I134" s="16">
        <v>836600</v>
      </c>
      <c r="J134" s="16">
        <v>0</v>
      </c>
      <c r="K134" s="17">
        <v>0</v>
      </c>
    </row>
    <row r="135" spans="1:11" x14ac:dyDescent="0.25">
      <c r="A135" s="18">
        <v>46043</v>
      </c>
      <c r="B135" s="19">
        <v>36</v>
      </c>
      <c r="C135" s="19" t="s">
        <v>1233</v>
      </c>
      <c r="D135" s="20" t="s">
        <v>1385</v>
      </c>
      <c r="E135" s="21">
        <v>4030</v>
      </c>
      <c r="F135" s="22"/>
      <c r="G135" s="23">
        <v>76000</v>
      </c>
      <c r="H135" s="23">
        <v>0</v>
      </c>
      <c r="I135" s="23">
        <v>912600</v>
      </c>
      <c r="J135" s="23">
        <v>0</v>
      </c>
      <c r="K135" s="24">
        <v>0</v>
      </c>
    </row>
    <row r="136" spans="1:11" x14ac:dyDescent="0.25">
      <c r="A136" s="11">
        <v>46044</v>
      </c>
      <c r="B136" s="12">
        <v>36</v>
      </c>
      <c r="C136" s="12" t="s">
        <v>1233</v>
      </c>
      <c r="D136" s="13" t="s">
        <v>1385</v>
      </c>
      <c r="E136" s="14">
        <v>10000</v>
      </c>
      <c r="F136" s="15"/>
      <c r="G136" s="16">
        <v>190000</v>
      </c>
      <c r="H136" s="16">
        <v>0</v>
      </c>
      <c r="I136" s="16">
        <v>1102600</v>
      </c>
      <c r="J136" s="16">
        <v>0</v>
      </c>
      <c r="K136" s="17">
        <v>0</v>
      </c>
    </row>
    <row r="137" spans="1:11" x14ac:dyDescent="0.25">
      <c r="A137" s="18">
        <v>46044</v>
      </c>
      <c r="B137" s="19">
        <v>36</v>
      </c>
      <c r="C137" s="19" t="s">
        <v>1233</v>
      </c>
      <c r="D137" s="20" t="s">
        <v>1385</v>
      </c>
      <c r="E137" s="21">
        <v>6000</v>
      </c>
      <c r="F137" s="22"/>
      <c r="G137" s="23">
        <v>114000</v>
      </c>
      <c r="H137" s="23">
        <v>0</v>
      </c>
      <c r="I137" s="23">
        <v>1216600</v>
      </c>
      <c r="J137" s="23">
        <v>0</v>
      </c>
      <c r="K137" s="24">
        <v>0</v>
      </c>
    </row>
    <row r="138" spans="1:11" x14ac:dyDescent="0.25">
      <c r="A138" s="11">
        <v>46044</v>
      </c>
      <c r="B138" s="12">
        <v>36</v>
      </c>
      <c r="C138" s="12" t="s">
        <v>1233</v>
      </c>
      <c r="D138" s="13" t="s">
        <v>1385</v>
      </c>
      <c r="E138" s="14">
        <v>8000</v>
      </c>
      <c r="F138" s="15"/>
      <c r="G138" s="16">
        <v>152000</v>
      </c>
      <c r="H138" s="16">
        <v>0</v>
      </c>
      <c r="I138" s="16">
        <v>1368600</v>
      </c>
      <c r="J138" s="16">
        <v>0</v>
      </c>
      <c r="K138" s="17">
        <v>0</v>
      </c>
    </row>
    <row r="139" spans="1:11" x14ac:dyDescent="0.25">
      <c r="A139" s="18">
        <v>46044</v>
      </c>
      <c r="B139" s="19">
        <v>36</v>
      </c>
      <c r="C139" s="19" t="s">
        <v>1233</v>
      </c>
      <c r="D139" s="20" t="s">
        <v>1385</v>
      </c>
      <c r="E139" s="21">
        <v>5950</v>
      </c>
      <c r="F139" s="22"/>
      <c r="G139" s="23">
        <v>114000</v>
      </c>
      <c r="H139" s="23">
        <v>0</v>
      </c>
      <c r="I139" s="23">
        <v>1482600</v>
      </c>
      <c r="J139" s="23">
        <v>0</v>
      </c>
      <c r="K139" s="24">
        <v>0</v>
      </c>
    </row>
    <row r="140" spans="1:11" x14ac:dyDescent="0.25">
      <c r="A140" s="11">
        <v>46044</v>
      </c>
      <c r="B140" s="12">
        <v>36</v>
      </c>
      <c r="C140" s="12" t="s">
        <v>1233</v>
      </c>
      <c r="D140" s="13" t="s">
        <v>1385</v>
      </c>
      <c r="E140" s="14">
        <v>3900</v>
      </c>
      <c r="F140" s="15"/>
      <c r="G140" s="16">
        <v>76000</v>
      </c>
      <c r="H140" s="16">
        <v>0</v>
      </c>
      <c r="I140" s="16">
        <v>1558600</v>
      </c>
      <c r="J140" s="16">
        <v>0</v>
      </c>
      <c r="K140" s="17">
        <v>0</v>
      </c>
    </row>
    <row r="141" spans="1:11" x14ac:dyDescent="0.25">
      <c r="A141" s="18">
        <v>46044</v>
      </c>
      <c r="B141" s="19">
        <v>36</v>
      </c>
      <c r="C141" s="19" t="s">
        <v>1233</v>
      </c>
      <c r="D141" s="20" t="s">
        <v>1385</v>
      </c>
      <c r="E141" s="21">
        <v>3000</v>
      </c>
      <c r="F141" s="22"/>
      <c r="G141" s="23">
        <v>57000</v>
      </c>
      <c r="H141" s="23">
        <v>0</v>
      </c>
      <c r="I141" s="23">
        <v>1615600</v>
      </c>
      <c r="J141" s="23">
        <v>0</v>
      </c>
      <c r="K141" s="24">
        <v>0</v>
      </c>
    </row>
    <row r="142" spans="1:11" x14ac:dyDescent="0.25">
      <c r="A142" s="11">
        <v>46044</v>
      </c>
      <c r="B142" s="12">
        <v>36</v>
      </c>
      <c r="C142" s="12" t="s">
        <v>1233</v>
      </c>
      <c r="D142" s="13" t="s">
        <v>1385</v>
      </c>
      <c r="E142" s="14">
        <v>6000</v>
      </c>
      <c r="F142" s="15"/>
      <c r="G142" s="16">
        <v>124000</v>
      </c>
      <c r="H142" s="16">
        <v>0</v>
      </c>
      <c r="I142" s="16">
        <v>1739600</v>
      </c>
      <c r="J142" s="16">
        <v>0</v>
      </c>
      <c r="K142" s="17">
        <v>0</v>
      </c>
    </row>
    <row r="143" spans="1:11" x14ac:dyDescent="0.25">
      <c r="A143" s="18">
        <v>46044</v>
      </c>
      <c r="B143" s="19">
        <v>36</v>
      </c>
      <c r="C143" s="19" t="s">
        <v>1233</v>
      </c>
      <c r="D143" s="20" t="s">
        <v>1385</v>
      </c>
      <c r="E143" s="21">
        <v>3040</v>
      </c>
      <c r="F143" s="22"/>
      <c r="G143" s="23">
        <v>57000</v>
      </c>
      <c r="H143" s="23">
        <v>0</v>
      </c>
      <c r="I143" s="23">
        <v>1796600</v>
      </c>
      <c r="J143" s="23">
        <v>0</v>
      </c>
      <c r="K143" s="24">
        <v>0</v>
      </c>
    </row>
    <row r="144" spans="1:11" x14ac:dyDescent="0.25">
      <c r="A144" s="11">
        <v>46045</v>
      </c>
      <c r="B144" s="12">
        <v>36</v>
      </c>
      <c r="C144" s="12" t="s">
        <v>1233</v>
      </c>
      <c r="D144" s="13" t="s">
        <v>1385</v>
      </c>
      <c r="E144" s="14">
        <v>2940</v>
      </c>
      <c r="F144" s="15"/>
      <c r="G144" s="16">
        <v>57000</v>
      </c>
      <c r="H144" s="16">
        <v>0</v>
      </c>
      <c r="I144" s="16">
        <v>1853600</v>
      </c>
      <c r="J144" s="16">
        <v>0</v>
      </c>
      <c r="K144" s="17">
        <v>0</v>
      </c>
    </row>
    <row r="145" spans="1:11" x14ac:dyDescent="0.25">
      <c r="A145" s="18">
        <v>46045</v>
      </c>
      <c r="B145" s="19">
        <v>36</v>
      </c>
      <c r="C145" s="19" t="s">
        <v>1233</v>
      </c>
      <c r="D145" s="20" t="s">
        <v>1385</v>
      </c>
      <c r="E145" s="21">
        <v>2025</v>
      </c>
      <c r="F145" s="22"/>
      <c r="G145" s="23">
        <v>38000</v>
      </c>
      <c r="H145" s="23">
        <v>0</v>
      </c>
      <c r="I145" s="23">
        <v>1891600</v>
      </c>
      <c r="J145" s="23">
        <v>0</v>
      </c>
      <c r="K145" s="24">
        <v>0</v>
      </c>
    </row>
    <row r="146" spans="1:11" x14ac:dyDescent="0.25">
      <c r="A146" s="11">
        <v>46045</v>
      </c>
      <c r="B146" s="12">
        <v>36</v>
      </c>
      <c r="C146" s="12" t="s">
        <v>1233</v>
      </c>
      <c r="D146" s="13" t="s">
        <v>1385</v>
      </c>
      <c r="E146" s="14">
        <v>3080</v>
      </c>
      <c r="F146" s="15"/>
      <c r="G146" s="16">
        <v>57000</v>
      </c>
      <c r="H146" s="16">
        <v>0</v>
      </c>
      <c r="I146" s="16">
        <v>1948600</v>
      </c>
      <c r="J146" s="16">
        <v>0</v>
      </c>
      <c r="K146" s="17">
        <v>0</v>
      </c>
    </row>
    <row r="147" spans="1:11" x14ac:dyDescent="0.25">
      <c r="A147" s="18">
        <v>46046</v>
      </c>
      <c r="B147" s="19">
        <v>36</v>
      </c>
      <c r="C147" s="19" t="s">
        <v>1233</v>
      </c>
      <c r="D147" s="20" t="s">
        <v>1385</v>
      </c>
      <c r="E147" s="21">
        <v>2000</v>
      </c>
      <c r="F147" s="22"/>
      <c r="G147" s="23">
        <v>38000</v>
      </c>
      <c r="H147" s="23">
        <v>0</v>
      </c>
      <c r="I147" s="23">
        <v>1986600</v>
      </c>
      <c r="J147" s="23">
        <v>0</v>
      </c>
      <c r="K147" s="24">
        <v>0</v>
      </c>
    </row>
    <row r="148" spans="1:11" x14ac:dyDescent="0.25">
      <c r="A148" s="11">
        <v>46046</v>
      </c>
      <c r="B148" s="12">
        <v>36</v>
      </c>
      <c r="C148" s="12" t="s">
        <v>1233</v>
      </c>
      <c r="D148" s="13" t="s">
        <v>1385</v>
      </c>
      <c r="E148" s="14">
        <v>5000</v>
      </c>
      <c r="F148" s="15"/>
      <c r="G148" s="16">
        <v>95000</v>
      </c>
      <c r="H148" s="16">
        <v>0</v>
      </c>
      <c r="I148" s="16">
        <v>2081600</v>
      </c>
      <c r="J148" s="16">
        <v>0</v>
      </c>
      <c r="K148" s="17">
        <v>0</v>
      </c>
    </row>
    <row r="149" spans="1:11" x14ac:dyDescent="0.25">
      <c r="A149" s="18">
        <v>46048</v>
      </c>
      <c r="B149" s="19">
        <v>36</v>
      </c>
      <c r="C149" s="19" t="s">
        <v>1233</v>
      </c>
      <c r="D149" s="20" t="s">
        <v>1385</v>
      </c>
      <c r="E149" s="21">
        <v>6000</v>
      </c>
      <c r="F149" s="22"/>
      <c r="G149" s="23">
        <v>114000</v>
      </c>
      <c r="H149" s="23">
        <v>0</v>
      </c>
      <c r="I149" s="23">
        <v>2195600</v>
      </c>
      <c r="J149" s="23">
        <v>0</v>
      </c>
      <c r="K149" s="24">
        <v>0</v>
      </c>
    </row>
    <row r="150" spans="1:11" x14ac:dyDescent="0.25">
      <c r="A150" s="11">
        <v>46048</v>
      </c>
      <c r="B150" s="12">
        <v>36</v>
      </c>
      <c r="C150" s="12" t="s">
        <v>1233</v>
      </c>
      <c r="D150" s="13" t="s">
        <v>1383</v>
      </c>
      <c r="E150" s="14">
        <v>1000</v>
      </c>
      <c r="F150" s="15"/>
      <c r="G150" s="16">
        <v>38000</v>
      </c>
      <c r="H150" s="16">
        <v>0</v>
      </c>
      <c r="I150" s="16">
        <v>2233600</v>
      </c>
      <c r="J150" s="16">
        <v>0</v>
      </c>
      <c r="K150" s="17">
        <v>0</v>
      </c>
    </row>
    <row r="151" spans="1:11" x14ac:dyDescent="0.25">
      <c r="A151" s="18">
        <v>46048</v>
      </c>
      <c r="B151" s="19">
        <v>36</v>
      </c>
      <c r="C151" s="19" t="s">
        <v>1233</v>
      </c>
      <c r="D151" s="20" t="s">
        <v>1385</v>
      </c>
      <c r="E151" s="21">
        <v>12000</v>
      </c>
      <c r="F151" s="22"/>
      <c r="G151" s="23">
        <v>228000</v>
      </c>
      <c r="H151" s="23">
        <v>0</v>
      </c>
      <c r="I151" s="23">
        <v>2461600</v>
      </c>
      <c r="J151" s="23">
        <v>0</v>
      </c>
      <c r="K151" s="24">
        <v>0</v>
      </c>
    </row>
    <row r="152" spans="1:11" x14ac:dyDescent="0.25">
      <c r="A152" s="11">
        <v>46048</v>
      </c>
      <c r="B152" s="12">
        <v>36</v>
      </c>
      <c r="C152" s="12" t="s">
        <v>1233</v>
      </c>
      <c r="D152" s="13" t="s">
        <v>1383</v>
      </c>
      <c r="E152" s="14">
        <v>2000</v>
      </c>
      <c r="F152" s="15"/>
      <c r="G152" s="16">
        <v>76000</v>
      </c>
      <c r="H152" s="16">
        <v>0</v>
      </c>
      <c r="I152" s="16">
        <v>2537600</v>
      </c>
      <c r="J152" s="16">
        <v>0</v>
      </c>
      <c r="K152" s="17">
        <v>0</v>
      </c>
    </row>
    <row r="153" spans="1:11" x14ac:dyDescent="0.25">
      <c r="A153" s="18">
        <v>46048</v>
      </c>
      <c r="B153" s="19">
        <v>36</v>
      </c>
      <c r="C153" s="19" t="s">
        <v>1233</v>
      </c>
      <c r="D153" s="20" t="s">
        <v>1385</v>
      </c>
      <c r="E153" s="21">
        <v>10000</v>
      </c>
      <c r="F153" s="22"/>
      <c r="G153" s="23">
        <v>190000</v>
      </c>
      <c r="H153" s="23">
        <v>0</v>
      </c>
      <c r="I153" s="23">
        <v>2727600</v>
      </c>
      <c r="J153" s="23">
        <v>0</v>
      </c>
      <c r="K153" s="24">
        <v>0</v>
      </c>
    </row>
    <row r="154" spans="1:11" x14ac:dyDescent="0.25">
      <c r="A154" s="11">
        <v>46048</v>
      </c>
      <c r="B154" s="12">
        <v>36</v>
      </c>
      <c r="C154" s="12" t="s">
        <v>1233</v>
      </c>
      <c r="D154" s="13" t="s">
        <v>1385</v>
      </c>
      <c r="E154" s="14">
        <v>9750</v>
      </c>
      <c r="F154" s="15"/>
      <c r="G154" s="16">
        <v>185250</v>
      </c>
      <c r="H154" s="16">
        <v>0</v>
      </c>
      <c r="I154" s="16">
        <v>2912850</v>
      </c>
      <c r="J154" s="16">
        <v>0</v>
      </c>
      <c r="K154" s="17">
        <v>0</v>
      </c>
    </row>
    <row r="155" spans="1:11" x14ac:dyDescent="0.25">
      <c r="A155" s="18">
        <v>46048</v>
      </c>
      <c r="B155" s="19">
        <v>36</v>
      </c>
      <c r="C155" s="19" t="s">
        <v>1233</v>
      </c>
      <c r="D155" s="20" t="s">
        <v>1385</v>
      </c>
      <c r="E155" s="21">
        <v>2040</v>
      </c>
      <c r="F155" s="22"/>
      <c r="G155" s="23">
        <v>38000</v>
      </c>
      <c r="H155" s="23">
        <v>0</v>
      </c>
      <c r="I155" s="23">
        <v>2950850</v>
      </c>
      <c r="J155" s="23">
        <v>0</v>
      </c>
      <c r="K155" s="24">
        <v>0</v>
      </c>
    </row>
    <row r="156" spans="1:11" x14ac:dyDescent="0.25">
      <c r="A156" s="11">
        <v>46048</v>
      </c>
      <c r="B156" s="12">
        <v>36</v>
      </c>
      <c r="C156" s="12" t="s">
        <v>1233</v>
      </c>
      <c r="D156" s="13" t="s">
        <v>1383</v>
      </c>
      <c r="E156" s="14">
        <v>4000</v>
      </c>
      <c r="F156" s="15"/>
      <c r="G156" s="16">
        <v>240000</v>
      </c>
      <c r="H156" s="16">
        <v>0</v>
      </c>
      <c r="I156" s="16">
        <v>3190850</v>
      </c>
      <c r="J156" s="16">
        <v>0</v>
      </c>
      <c r="K156" s="17">
        <v>0</v>
      </c>
    </row>
    <row r="157" spans="1:11" x14ac:dyDescent="0.25">
      <c r="A157" s="18">
        <v>46048</v>
      </c>
      <c r="B157" s="19">
        <v>36</v>
      </c>
      <c r="C157" s="19" t="s">
        <v>1233</v>
      </c>
      <c r="D157" s="20" t="s">
        <v>1385</v>
      </c>
      <c r="E157" s="21">
        <v>9000</v>
      </c>
      <c r="F157" s="22"/>
      <c r="G157" s="23">
        <v>171000</v>
      </c>
      <c r="H157" s="23">
        <v>0</v>
      </c>
      <c r="I157" s="23">
        <v>3361850</v>
      </c>
      <c r="J157" s="23">
        <v>0</v>
      </c>
      <c r="K157" s="24">
        <v>0</v>
      </c>
    </row>
    <row r="158" spans="1:11" x14ac:dyDescent="0.25">
      <c r="A158" s="11">
        <v>46050</v>
      </c>
      <c r="B158" s="12">
        <v>36</v>
      </c>
      <c r="C158" s="12" t="s">
        <v>1233</v>
      </c>
      <c r="D158" s="13" t="s">
        <v>1385</v>
      </c>
      <c r="E158" s="14">
        <v>1500</v>
      </c>
      <c r="F158" s="15"/>
      <c r="G158" s="16">
        <v>28500</v>
      </c>
      <c r="H158" s="16">
        <v>0</v>
      </c>
      <c r="I158" s="16">
        <v>3390350</v>
      </c>
      <c r="J158" s="16">
        <v>0</v>
      </c>
      <c r="K158" s="17">
        <v>0</v>
      </c>
    </row>
    <row r="159" spans="1:11" x14ac:dyDescent="0.25">
      <c r="A159" s="18">
        <v>46052</v>
      </c>
      <c r="B159" s="19">
        <v>36</v>
      </c>
      <c r="C159" s="19" t="s">
        <v>1233</v>
      </c>
      <c r="D159" s="20" t="s">
        <v>1384</v>
      </c>
      <c r="E159" s="21"/>
      <c r="F159" s="22">
        <v>3000000</v>
      </c>
      <c r="G159" s="23"/>
      <c r="H159" s="23">
        <v>0</v>
      </c>
      <c r="I159" s="23">
        <v>390350</v>
      </c>
      <c r="J159" s="23">
        <v>0</v>
      </c>
      <c r="K159" s="24">
        <v>0</v>
      </c>
    </row>
    <row r="160" spans="1:11" x14ac:dyDescent="0.25">
      <c r="A160" s="11">
        <v>46052</v>
      </c>
      <c r="B160" s="12">
        <v>36</v>
      </c>
      <c r="C160" s="12" t="s">
        <v>1233</v>
      </c>
      <c r="D160" s="13" t="s">
        <v>1385</v>
      </c>
      <c r="E160" s="14">
        <v>6000</v>
      </c>
      <c r="F160" s="15"/>
      <c r="G160" s="16">
        <v>114000</v>
      </c>
      <c r="H160" s="16">
        <v>0</v>
      </c>
      <c r="I160" s="16">
        <v>504350</v>
      </c>
      <c r="J160" s="16">
        <v>0</v>
      </c>
      <c r="K160" s="17">
        <v>0</v>
      </c>
    </row>
    <row r="161" spans="1:11" x14ac:dyDescent="0.25">
      <c r="A161" s="18">
        <v>46052</v>
      </c>
      <c r="B161" s="19">
        <v>36</v>
      </c>
      <c r="C161" s="19" t="s">
        <v>1233</v>
      </c>
      <c r="D161" s="20" t="s">
        <v>1385</v>
      </c>
      <c r="E161" s="21">
        <v>6020</v>
      </c>
      <c r="F161" s="22"/>
      <c r="G161" s="23">
        <v>114380</v>
      </c>
      <c r="H161" s="23">
        <v>0</v>
      </c>
      <c r="I161" s="23">
        <v>618730</v>
      </c>
      <c r="J161" s="23">
        <v>0</v>
      </c>
      <c r="K161" s="24">
        <v>0</v>
      </c>
    </row>
    <row r="162" spans="1:11" x14ac:dyDescent="0.25">
      <c r="A162" s="11">
        <v>46052</v>
      </c>
      <c r="B162" s="12">
        <v>36</v>
      </c>
      <c r="C162" s="12" t="s">
        <v>1233</v>
      </c>
      <c r="D162" s="13" t="s">
        <v>1385</v>
      </c>
      <c r="E162" s="14">
        <v>5950</v>
      </c>
      <c r="F162" s="15"/>
      <c r="G162" s="16">
        <v>113050</v>
      </c>
      <c r="H162" s="16">
        <v>0</v>
      </c>
      <c r="I162" s="16">
        <v>731780</v>
      </c>
      <c r="J162" s="16">
        <v>0</v>
      </c>
      <c r="K162" s="17">
        <v>0</v>
      </c>
    </row>
    <row r="163" spans="1:11" x14ac:dyDescent="0.25">
      <c r="A163" s="18">
        <v>46052</v>
      </c>
      <c r="B163" s="19">
        <v>36</v>
      </c>
      <c r="C163" s="19" t="s">
        <v>1233</v>
      </c>
      <c r="D163" s="20" t="s">
        <v>1385</v>
      </c>
      <c r="E163" s="21">
        <v>10000</v>
      </c>
      <c r="F163" s="22"/>
      <c r="G163" s="23">
        <v>190000</v>
      </c>
      <c r="H163" s="23">
        <v>0</v>
      </c>
      <c r="I163" s="23">
        <v>921780</v>
      </c>
      <c r="J163" s="23">
        <v>0</v>
      </c>
      <c r="K163" s="24">
        <v>0</v>
      </c>
    </row>
    <row r="164" spans="1:11" x14ac:dyDescent="0.25">
      <c r="A164" s="11">
        <v>46055</v>
      </c>
      <c r="B164" s="12">
        <v>36</v>
      </c>
      <c r="C164" s="12" t="s">
        <v>1233</v>
      </c>
      <c r="D164" s="13" t="s">
        <v>1385</v>
      </c>
      <c r="E164" s="14">
        <v>10000</v>
      </c>
      <c r="F164" s="15"/>
      <c r="G164" s="16">
        <v>190000</v>
      </c>
      <c r="H164" s="16">
        <v>0</v>
      </c>
      <c r="I164" s="16">
        <v>1111780</v>
      </c>
      <c r="J164" s="16">
        <v>0</v>
      </c>
      <c r="K164" s="17">
        <v>0</v>
      </c>
    </row>
    <row r="165" spans="1:11" x14ac:dyDescent="0.25">
      <c r="A165" s="18">
        <v>46055</v>
      </c>
      <c r="B165" s="19">
        <v>36</v>
      </c>
      <c r="C165" s="19" t="s">
        <v>1233</v>
      </c>
      <c r="D165" s="20" t="s">
        <v>1385</v>
      </c>
      <c r="E165" s="21">
        <v>6000</v>
      </c>
      <c r="F165" s="22"/>
      <c r="G165" s="23">
        <v>114000</v>
      </c>
      <c r="H165" s="23">
        <v>0</v>
      </c>
      <c r="I165" s="23">
        <v>1225780</v>
      </c>
      <c r="J165" s="23">
        <v>0</v>
      </c>
      <c r="K165" s="24">
        <v>0</v>
      </c>
    </row>
    <row r="166" spans="1:11" x14ac:dyDescent="0.25">
      <c r="A166" s="11">
        <v>46055</v>
      </c>
      <c r="B166" s="12">
        <v>36</v>
      </c>
      <c r="C166" s="12" t="s">
        <v>1233</v>
      </c>
      <c r="D166" s="13" t="s">
        <v>1385</v>
      </c>
      <c r="E166" s="14">
        <v>6000</v>
      </c>
      <c r="F166" s="15"/>
      <c r="G166" s="16">
        <v>114000</v>
      </c>
      <c r="H166" s="16">
        <v>0</v>
      </c>
      <c r="I166" s="16">
        <v>1339780</v>
      </c>
      <c r="J166" s="16">
        <v>0</v>
      </c>
      <c r="K166" s="17">
        <v>0</v>
      </c>
    </row>
    <row r="167" spans="1:11" x14ac:dyDescent="0.25">
      <c r="A167" s="18">
        <v>46055</v>
      </c>
      <c r="B167" s="19">
        <v>36</v>
      </c>
      <c r="C167" s="19" t="s">
        <v>1233</v>
      </c>
      <c r="D167" s="20" t="s">
        <v>1385</v>
      </c>
      <c r="E167" s="21">
        <v>9750</v>
      </c>
      <c r="F167" s="22"/>
      <c r="G167" s="23">
        <v>185250</v>
      </c>
      <c r="H167" s="23">
        <v>0</v>
      </c>
      <c r="I167" s="23">
        <v>1525030</v>
      </c>
      <c r="J167" s="23">
        <v>0</v>
      </c>
      <c r="K167" s="24">
        <v>0</v>
      </c>
    </row>
    <row r="168" spans="1:11" x14ac:dyDescent="0.25">
      <c r="A168" s="11">
        <v>46055</v>
      </c>
      <c r="B168" s="12">
        <v>36</v>
      </c>
      <c r="C168" s="12" t="s">
        <v>1233</v>
      </c>
      <c r="D168" s="13" t="s">
        <v>1385</v>
      </c>
      <c r="E168" s="14">
        <v>9000</v>
      </c>
      <c r="F168" s="15"/>
      <c r="G168" s="16">
        <v>171000</v>
      </c>
      <c r="H168" s="16">
        <v>0</v>
      </c>
      <c r="I168" s="16">
        <v>1696030</v>
      </c>
      <c r="J168" s="16">
        <v>0</v>
      </c>
      <c r="K168" s="17">
        <v>0</v>
      </c>
    </row>
    <row r="169" spans="1:11" x14ac:dyDescent="0.25">
      <c r="A169" s="18">
        <v>46055</v>
      </c>
      <c r="B169" s="19">
        <v>36</v>
      </c>
      <c r="C169" s="19" t="s">
        <v>1233</v>
      </c>
      <c r="D169" s="20" t="s">
        <v>1385</v>
      </c>
      <c r="E169" s="21">
        <v>10000</v>
      </c>
      <c r="F169" s="22"/>
      <c r="G169" s="23">
        <v>190000</v>
      </c>
      <c r="H169" s="23">
        <v>0</v>
      </c>
      <c r="I169" s="23">
        <v>1886030</v>
      </c>
      <c r="J169" s="23">
        <v>0</v>
      </c>
      <c r="K169" s="24">
        <v>0</v>
      </c>
    </row>
    <row r="170" spans="1:11" x14ac:dyDescent="0.25">
      <c r="A170" s="11">
        <v>46056</v>
      </c>
      <c r="B170" s="12">
        <v>36</v>
      </c>
      <c r="C170" s="12" t="s">
        <v>1233</v>
      </c>
      <c r="D170" s="13" t="s">
        <v>1392</v>
      </c>
      <c r="E170" s="14"/>
      <c r="F170" s="15">
        <v>0</v>
      </c>
      <c r="G170" s="16">
        <v>1500000</v>
      </c>
      <c r="H170" s="16">
        <v>0</v>
      </c>
      <c r="I170" s="16">
        <v>3386030</v>
      </c>
      <c r="J170" s="16">
        <v>0</v>
      </c>
      <c r="K170" s="17">
        <v>0</v>
      </c>
    </row>
    <row r="171" spans="1:11" x14ac:dyDescent="0.25">
      <c r="A171" s="18">
        <v>46058</v>
      </c>
      <c r="B171" s="19">
        <v>36</v>
      </c>
      <c r="C171" s="19" t="s">
        <v>1233</v>
      </c>
      <c r="D171" s="20" t="s">
        <v>1385</v>
      </c>
      <c r="E171" s="21">
        <v>5000</v>
      </c>
      <c r="F171" s="22"/>
      <c r="G171" s="23">
        <v>95000</v>
      </c>
      <c r="H171" s="23">
        <v>0</v>
      </c>
      <c r="I171" s="23">
        <v>3481030</v>
      </c>
      <c r="J171" s="23">
        <v>0</v>
      </c>
      <c r="K171" s="24">
        <v>0</v>
      </c>
    </row>
    <row r="172" spans="1:11" x14ac:dyDescent="0.25">
      <c r="A172" s="11">
        <v>46058</v>
      </c>
      <c r="B172" s="12">
        <v>36</v>
      </c>
      <c r="C172" s="12" t="s">
        <v>1233</v>
      </c>
      <c r="D172" s="13" t="s">
        <v>1385</v>
      </c>
      <c r="E172" s="14">
        <v>12000</v>
      </c>
      <c r="F172" s="15"/>
      <c r="G172" s="16">
        <v>228000</v>
      </c>
      <c r="H172" s="16">
        <v>0</v>
      </c>
      <c r="I172" s="16">
        <v>3709030</v>
      </c>
      <c r="J172" s="16">
        <v>0</v>
      </c>
      <c r="K172" s="17">
        <v>0</v>
      </c>
    </row>
    <row r="173" spans="1:11" x14ac:dyDescent="0.25">
      <c r="A173" s="18">
        <v>46058</v>
      </c>
      <c r="B173" s="19">
        <v>36</v>
      </c>
      <c r="C173" s="19" t="s">
        <v>1233</v>
      </c>
      <c r="D173" s="20" t="s">
        <v>1385</v>
      </c>
      <c r="E173" s="21">
        <v>9000</v>
      </c>
      <c r="F173" s="22"/>
      <c r="G173" s="23">
        <v>171000</v>
      </c>
      <c r="H173" s="23">
        <v>0</v>
      </c>
      <c r="I173" s="23">
        <v>3880030</v>
      </c>
      <c r="J173" s="23">
        <v>0</v>
      </c>
      <c r="K173" s="24">
        <v>0</v>
      </c>
    </row>
    <row r="174" spans="1:11" x14ac:dyDescent="0.25">
      <c r="A174" s="11">
        <v>46058</v>
      </c>
      <c r="B174" s="12">
        <v>36</v>
      </c>
      <c r="C174" s="12" t="s">
        <v>1233</v>
      </c>
      <c r="D174" s="13" t="s">
        <v>1385</v>
      </c>
      <c r="E174" s="14">
        <v>10000</v>
      </c>
      <c r="F174" s="15"/>
      <c r="G174" s="16">
        <v>190000</v>
      </c>
      <c r="H174" s="16">
        <v>0</v>
      </c>
      <c r="I174" s="16">
        <v>4070030</v>
      </c>
      <c r="J174" s="16">
        <v>0</v>
      </c>
      <c r="K174" s="17">
        <v>0</v>
      </c>
    </row>
    <row r="175" spans="1:11" x14ac:dyDescent="0.25">
      <c r="A175" s="18">
        <v>46058</v>
      </c>
      <c r="B175" s="19">
        <v>36</v>
      </c>
      <c r="C175" s="19" t="s">
        <v>1233</v>
      </c>
      <c r="D175" s="20" t="s">
        <v>1385</v>
      </c>
      <c r="E175" s="21">
        <v>2800</v>
      </c>
      <c r="F175" s="22"/>
      <c r="G175" s="23">
        <v>53200</v>
      </c>
      <c r="H175" s="23">
        <v>0</v>
      </c>
      <c r="I175" s="23">
        <v>4123230</v>
      </c>
      <c r="J175" s="23">
        <v>0</v>
      </c>
      <c r="K175" s="24">
        <v>0</v>
      </c>
    </row>
    <row r="176" spans="1:11" x14ac:dyDescent="0.25">
      <c r="A176" s="11">
        <v>46058</v>
      </c>
      <c r="B176" s="12">
        <v>36</v>
      </c>
      <c r="C176" s="12" t="s">
        <v>1233</v>
      </c>
      <c r="D176" s="13" t="s">
        <v>1385</v>
      </c>
      <c r="E176" s="14">
        <v>750</v>
      </c>
      <c r="F176" s="15"/>
      <c r="G176" s="16">
        <v>0</v>
      </c>
      <c r="H176" s="16">
        <v>0</v>
      </c>
      <c r="I176" s="16">
        <v>4123230</v>
      </c>
      <c r="J176" s="16">
        <v>0</v>
      </c>
      <c r="K176" s="17">
        <v>0</v>
      </c>
    </row>
    <row r="177" spans="1:11" x14ac:dyDescent="0.25">
      <c r="A177" s="18">
        <v>46058</v>
      </c>
      <c r="B177" s="19">
        <v>36</v>
      </c>
      <c r="C177" s="19" t="s">
        <v>1233</v>
      </c>
      <c r="D177" s="20" t="s">
        <v>1385</v>
      </c>
      <c r="E177" s="21">
        <v>9000</v>
      </c>
      <c r="F177" s="22"/>
      <c r="G177" s="23">
        <v>171000</v>
      </c>
      <c r="H177" s="23">
        <v>0</v>
      </c>
      <c r="I177" s="23">
        <v>4294230</v>
      </c>
      <c r="J177" s="23">
        <v>0</v>
      </c>
      <c r="K177" s="24">
        <v>0</v>
      </c>
    </row>
    <row r="178" spans="1:11" x14ac:dyDescent="0.25">
      <c r="A178" s="11">
        <v>46058</v>
      </c>
      <c r="B178" s="12">
        <v>36</v>
      </c>
      <c r="C178" s="12" t="s">
        <v>1233</v>
      </c>
      <c r="D178" s="13" t="s">
        <v>1385</v>
      </c>
      <c r="E178" s="14">
        <v>3220</v>
      </c>
      <c r="F178" s="15"/>
      <c r="G178" s="16">
        <v>61180</v>
      </c>
      <c r="H178" s="16">
        <v>0</v>
      </c>
      <c r="I178" s="16">
        <v>4355410</v>
      </c>
      <c r="J178" s="16">
        <v>0</v>
      </c>
      <c r="K178" s="17">
        <v>0</v>
      </c>
    </row>
    <row r="179" spans="1:11" x14ac:dyDescent="0.25">
      <c r="A179" s="18">
        <v>46058</v>
      </c>
      <c r="B179" s="19">
        <v>36</v>
      </c>
      <c r="C179" s="19" t="s">
        <v>1233</v>
      </c>
      <c r="D179" s="20" t="s">
        <v>1385</v>
      </c>
      <c r="E179" s="21">
        <v>11700</v>
      </c>
      <c r="F179" s="22"/>
      <c r="G179" s="23">
        <v>222300</v>
      </c>
      <c r="H179" s="23">
        <v>0</v>
      </c>
      <c r="I179" s="23">
        <v>4577710</v>
      </c>
      <c r="J179" s="23">
        <v>0</v>
      </c>
      <c r="K179" s="24">
        <v>0</v>
      </c>
    </row>
    <row r="180" spans="1:11" x14ac:dyDescent="0.25">
      <c r="A180" s="11">
        <v>46059</v>
      </c>
      <c r="B180" s="12">
        <v>36</v>
      </c>
      <c r="C180" s="12" t="s">
        <v>1233</v>
      </c>
      <c r="D180" s="13" t="s">
        <v>1390</v>
      </c>
      <c r="E180" s="14"/>
      <c r="F180" s="15">
        <v>42000</v>
      </c>
      <c r="G180" s="16"/>
      <c r="H180" s="16">
        <v>0</v>
      </c>
      <c r="I180" s="16">
        <v>4535710</v>
      </c>
      <c r="J180" s="16">
        <v>0</v>
      </c>
      <c r="K180" s="17">
        <v>0</v>
      </c>
    </row>
    <row r="181" spans="1:11" x14ac:dyDescent="0.25">
      <c r="A181" s="18">
        <v>46059</v>
      </c>
      <c r="B181" s="19">
        <v>36</v>
      </c>
      <c r="C181" s="19" t="s">
        <v>1233</v>
      </c>
      <c r="D181" s="20" t="s">
        <v>1385</v>
      </c>
      <c r="E181" s="21">
        <v>4030</v>
      </c>
      <c r="F181" s="22"/>
      <c r="G181" s="23">
        <v>76570</v>
      </c>
      <c r="H181" s="23">
        <v>0</v>
      </c>
      <c r="I181" s="23">
        <v>4612280</v>
      </c>
      <c r="J181" s="23">
        <v>0</v>
      </c>
      <c r="K181" s="24">
        <v>0</v>
      </c>
    </row>
    <row r="182" spans="1:11" x14ac:dyDescent="0.25">
      <c r="A182" s="11">
        <v>46059</v>
      </c>
      <c r="B182" s="12">
        <v>36</v>
      </c>
      <c r="C182" s="12" t="s">
        <v>1233</v>
      </c>
      <c r="D182" s="13" t="s">
        <v>1385</v>
      </c>
      <c r="E182" s="14">
        <v>6000</v>
      </c>
      <c r="F182" s="15"/>
      <c r="G182" s="16">
        <v>114000</v>
      </c>
      <c r="H182" s="16">
        <v>0</v>
      </c>
      <c r="I182" s="16">
        <v>4726280</v>
      </c>
      <c r="J182" s="16">
        <v>0</v>
      </c>
      <c r="K182" s="17">
        <v>0</v>
      </c>
    </row>
    <row r="183" spans="1:11" x14ac:dyDescent="0.25">
      <c r="A183" s="18">
        <v>46059</v>
      </c>
      <c r="B183" s="19">
        <v>36</v>
      </c>
      <c r="C183" s="19" t="s">
        <v>1233</v>
      </c>
      <c r="D183" s="20" t="s">
        <v>1385</v>
      </c>
      <c r="E183" s="21">
        <v>2000</v>
      </c>
      <c r="F183" s="22"/>
      <c r="G183" s="23">
        <v>38000</v>
      </c>
      <c r="H183" s="23">
        <v>0</v>
      </c>
      <c r="I183" s="23">
        <v>4764280</v>
      </c>
      <c r="J183" s="23">
        <v>0</v>
      </c>
      <c r="K183" s="24">
        <v>0</v>
      </c>
    </row>
    <row r="184" spans="1:11" x14ac:dyDescent="0.25">
      <c r="A184" s="11">
        <v>46059</v>
      </c>
      <c r="B184" s="12">
        <v>36</v>
      </c>
      <c r="C184" s="12" t="s">
        <v>1233</v>
      </c>
      <c r="D184" s="13" t="s">
        <v>1385</v>
      </c>
      <c r="E184" s="14">
        <v>2400</v>
      </c>
      <c r="F184" s="15"/>
      <c r="G184" s="16">
        <v>45600</v>
      </c>
      <c r="H184" s="16">
        <v>0</v>
      </c>
      <c r="I184" s="16">
        <v>4809880</v>
      </c>
      <c r="J184" s="16">
        <v>0</v>
      </c>
      <c r="K184" s="17">
        <v>0</v>
      </c>
    </row>
    <row r="185" spans="1:11" x14ac:dyDescent="0.25">
      <c r="A185" s="18">
        <v>46062</v>
      </c>
      <c r="B185" s="19">
        <v>36</v>
      </c>
      <c r="C185" s="19" t="s">
        <v>1233</v>
      </c>
      <c r="D185" s="20" t="s">
        <v>1385</v>
      </c>
      <c r="E185" s="21">
        <v>1955</v>
      </c>
      <c r="F185" s="22"/>
      <c r="G185" s="23">
        <v>37145</v>
      </c>
      <c r="H185" s="23">
        <v>0</v>
      </c>
      <c r="I185" s="23">
        <v>4847025</v>
      </c>
      <c r="J185" s="23">
        <v>0</v>
      </c>
      <c r="K185" s="24">
        <v>0</v>
      </c>
    </row>
    <row r="186" spans="1:11" x14ac:dyDescent="0.25">
      <c r="A186" s="11">
        <v>46062</v>
      </c>
      <c r="B186" s="12">
        <v>36</v>
      </c>
      <c r="C186" s="12" t="s">
        <v>1233</v>
      </c>
      <c r="D186" s="13" t="s">
        <v>1385</v>
      </c>
      <c r="E186" s="14">
        <v>11700</v>
      </c>
      <c r="F186" s="15"/>
      <c r="G186" s="16">
        <v>222300</v>
      </c>
      <c r="H186" s="16">
        <v>0</v>
      </c>
      <c r="I186" s="16">
        <v>5069325</v>
      </c>
      <c r="J186" s="16">
        <v>0</v>
      </c>
      <c r="K186" s="17">
        <v>0</v>
      </c>
    </row>
    <row r="187" spans="1:11" x14ac:dyDescent="0.25">
      <c r="A187" s="18">
        <v>46062</v>
      </c>
      <c r="B187" s="19">
        <v>36</v>
      </c>
      <c r="C187" s="19" t="s">
        <v>1233</v>
      </c>
      <c r="D187" s="20" t="s">
        <v>1385</v>
      </c>
      <c r="E187" s="21">
        <v>5950</v>
      </c>
      <c r="F187" s="22"/>
      <c r="G187" s="23">
        <v>113050</v>
      </c>
      <c r="H187" s="23">
        <v>0</v>
      </c>
      <c r="I187" s="23">
        <v>5182375</v>
      </c>
      <c r="J187" s="23">
        <v>0</v>
      </c>
      <c r="K187" s="24">
        <v>0</v>
      </c>
    </row>
    <row r="188" spans="1:11" x14ac:dyDescent="0.25">
      <c r="A188" s="11">
        <v>46062</v>
      </c>
      <c r="B188" s="12">
        <v>36</v>
      </c>
      <c r="C188" s="12" t="s">
        <v>1233</v>
      </c>
      <c r="D188" s="13" t="s">
        <v>1385</v>
      </c>
      <c r="E188" s="14">
        <v>6000</v>
      </c>
      <c r="F188" s="15"/>
      <c r="G188" s="16">
        <v>124000</v>
      </c>
      <c r="H188" s="16">
        <v>0</v>
      </c>
      <c r="I188" s="16">
        <v>5306375</v>
      </c>
      <c r="J188" s="16">
        <v>0</v>
      </c>
      <c r="K188" s="17">
        <v>0</v>
      </c>
    </row>
    <row r="189" spans="1:11" x14ac:dyDescent="0.25">
      <c r="A189" s="18">
        <v>46062</v>
      </c>
      <c r="B189" s="19">
        <v>36</v>
      </c>
      <c r="C189" s="19" t="s">
        <v>1233</v>
      </c>
      <c r="D189" s="20" t="s">
        <v>1385</v>
      </c>
      <c r="E189" s="21">
        <v>3040</v>
      </c>
      <c r="F189" s="22"/>
      <c r="G189" s="23">
        <v>57760</v>
      </c>
      <c r="H189" s="23">
        <v>0</v>
      </c>
      <c r="I189" s="23">
        <v>5364135</v>
      </c>
      <c r="J189" s="23">
        <v>0</v>
      </c>
      <c r="K189" s="24">
        <v>0</v>
      </c>
    </row>
    <row r="190" spans="1:11" x14ac:dyDescent="0.25">
      <c r="A190" s="11">
        <v>46062</v>
      </c>
      <c r="B190" s="12">
        <v>36</v>
      </c>
      <c r="C190" s="12" t="s">
        <v>1233</v>
      </c>
      <c r="D190" s="13" t="s">
        <v>1385</v>
      </c>
      <c r="E190" s="14">
        <v>3000</v>
      </c>
      <c r="F190" s="15"/>
      <c r="G190" s="16">
        <v>57000</v>
      </c>
      <c r="H190" s="16">
        <v>0</v>
      </c>
      <c r="I190" s="16">
        <v>5421135</v>
      </c>
      <c r="J190" s="16">
        <v>0</v>
      </c>
      <c r="K190" s="17">
        <v>0</v>
      </c>
    </row>
    <row r="191" spans="1:11" x14ac:dyDescent="0.25">
      <c r="A191" s="18">
        <v>46062</v>
      </c>
      <c r="B191" s="19">
        <v>36</v>
      </c>
      <c r="C191" s="19" t="s">
        <v>1233</v>
      </c>
      <c r="D191" s="20" t="s">
        <v>1385</v>
      </c>
      <c r="E191" s="21">
        <v>10000</v>
      </c>
      <c r="F191" s="22"/>
      <c r="G191" s="23">
        <v>190000</v>
      </c>
      <c r="H191" s="23">
        <v>0</v>
      </c>
      <c r="I191" s="23">
        <v>5611135</v>
      </c>
      <c r="J191" s="23">
        <v>0</v>
      </c>
      <c r="K191" s="24">
        <v>0</v>
      </c>
    </row>
    <row r="192" spans="1:11" x14ac:dyDescent="0.25">
      <c r="A192" s="11">
        <v>46063</v>
      </c>
      <c r="B192" s="12">
        <v>36</v>
      </c>
      <c r="C192" s="12" t="s">
        <v>1233</v>
      </c>
      <c r="D192" s="13" t="s">
        <v>1385</v>
      </c>
      <c r="E192" s="14">
        <v>4000</v>
      </c>
      <c r="F192" s="15"/>
      <c r="G192" s="16">
        <v>76000</v>
      </c>
      <c r="H192" s="16">
        <v>0</v>
      </c>
      <c r="I192" s="16">
        <v>5687135</v>
      </c>
      <c r="J192" s="16">
        <v>0</v>
      </c>
      <c r="K192" s="17">
        <v>0</v>
      </c>
    </row>
    <row r="193" spans="1:11" x14ac:dyDescent="0.25">
      <c r="A193" s="18">
        <v>46063</v>
      </c>
      <c r="B193" s="19">
        <v>36</v>
      </c>
      <c r="C193" s="19" t="s">
        <v>1233</v>
      </c>
      <c r="D193" s="20" t="s">
        <v>1385</v>
      </c>
      <c r="E193" s="21">
        <v>2040</v>
      </c>
      <c r="F193" s="22"/>
      <c r="G193" s="23">
        <v>38760</v>
      </c>
      <c r="H193" s="23">
        <v>0</v>
      </c>
      <c r="I193" s="23">
        <v>5725895</v>
      </c>
      <c r="J193" s="23">
        <v>0</v>
      </c>
      <c r="K193" s="24">
        <v>0</v>
      </c>
    </row>
    <row r="194" spans="1:11" x14ac:dyDescent="0.25">
      <c r="A194" s="11">
        <v>46064</v>
      </c>
      <c r="B194" s="12">
        <v>36</v>
      </c>
      <c r="C194" s="12" t="s">
        <v>1233</v>
      </c>
      <c r="D194" s="13" t="s">
        <v>1393</v>
      </c>
      <c r="E194" s="14"/>
      <c r="F194" s="15">
        <v>1500000</v>
      </c>
      <c r="G194" s="16">
        <v>0</v>
      </c>
      <c r="H194" s="16">
        <v>0</v>
      </c>
      <c r="I194" s="16">
        <v>4225895</v>
      </c>
      <c r="J194" s="16">
        <v>0</v>
      </c>
      <c r="K194" s="17">
        <v>0</v>
      </c>
    </row>
    <row r="195" spans="1:11" x14ac:dyDescent="0.25">
      <c r="A195" s="18">
        <v>46064</v>
      </c>
      <c r="B195" s="19">
        <v>36</v>
      </c>
      <c r="C195" s="19" t="s">
        <v>1233</v>
      </c>
      <c r="D195" s="20" t="s">
        <v>1384</v>
      </c>
      <c r="E195" s="21"/>
      <c r="F195" s="22">
        <v>1600000</v>
      </c>
      <c r="G195" s="23"/>
      <c r="H195" s="23">
        <v>0</v>
      </c>
      <c r="I195" s="23">
        <v>2625895</v>
      </c>
      <c r="J195" s="23">
        <v>0</v>
      </c>
      <c r="K195" s="24">
        <v>0</v>
      </c>
    </row>
    <row r="196" spans="1:11" x14ac:dyDescent="0.25">
      <c r="A196" s="11">
        <v>46066</v>
      </c>
      <c r="B196" s="12">
        <v>36</v>
      </c>
      <c r="C196" s="12" t="s">
        <v>1233</v>
      </c>
      <c r="D196" s="13" t="s">
        <v>1385</v>
      </c>
      <c r="E196" s="14">
        <v>10000</v>
      </c>
      <c r="F196" s="15"/>
      <c r="G196" s="16">
        <v>190000</v>
      </c>
      <c r="H196" s="16">
        <v>0</v>
      </c>
      <c r="I196" s="16">
        <v>2815895</v>
      </c>
      <c r="J196" s="16">
        <v>0</v>
      </c>
      <c r="K196" s="17">
        <v>0</v>
      </c>
    </row>
    <row r="197" spans="1:11" x14ac:dyDescent="0.25">
      <c r="A197" s="18">
        <v>46066</v>
      </c>
      <c r="B197" s="19">
        <v>36</v>
      </c>
      <c r="C197" s="19" t="s">
        <v>1233</v>
      </c>
      <c r="D197" s="20" t="s">
        <v>1385</v>
      </c>
      <c r="E197" s="21">
        <v>3900</v>
      </c>
      <c r="F197" s="22"/>
      <c r="G197" s="23">
        <v>74100</v>
      </c>
      <c r="H197" s="23">
        <v>0</v>
      </c>
      <c r="I197" s="23">
        <v>2889995</v>
      </c>
      <c r="J197" s="23">
        <v>0</v>
      </c>
      <c r="K197" s="24">
        <v>0</v>
      </c>
    </row>
    <row r="198" spans="1:11" x14ac:dyDescent="0.25">
      <c r="A198" s="11">
        <v>46066</v>
      </c>
      <c r="B198" s="12">
        <v>36</v>
      </c>
      <c r="C198" s="12" t="s">
        <v>1233</v>
      </c>
      <c r="D198" s="13" t="s">
        <v>1385</v>
      </c>
      <c r="E198" s="14">
        <v>9000</v>
      </c>
      <c r="F198" s="15"/>
      <c r="G198" s="16">
        <v>171000</v>
      </c>
      <c r="H198" s="16">
        <v>0</v>
      </c>
      <c r="I198" s="16">
        <v>3060995</v>
      </c>
      <c r="J198" s="16">
        <v>0</v>
      </c>
      <c r="K198" s="17">
        <v>0</v>
      </c>
    </row>
    <row r="199" spans="1:11" x14ac:dyDescent="0.25">
      <c r="A199" s="18">
        <v>46066</v>
      </c>
      <c r="B199" s="19">
        <v>36</v>
      </c>
      <c r="C199" s="19" t="s">
        <v>1233</v>
      </c>
      <c r="D199" s="20" t="s">
        <v>1385</v>
      </c>
      <c r="E199" s="21">
        <v>5000</v>
      </c>
      <c r="F199" s="22"/>
      <c r="G199" s="23">
        <v>95000</v>
      </c>
      <c r="H199" s="23">
        <v>0</v>
      </c>
      <c r="I199" s="23">
        <v>3155995</v>
      </c>
      <c r="J199" s="23">
        <v>0</v>
      </c>
      <c r="K199" s="24">
        <v>0</v>
      </c>
    </row>
    <row r="200" spans="1:11" x14ac:dyDescent="0.25">
      <c r="A200" s="11">
        <v>46066</v>
      </c>
      <c r="B200" s="12">
        <v>36</v>
      </c>
      <c r="C200" s="12" t="s">
        <v>1233</v>
      </c>
      <c r="D200" s="13" t="s">
        <v>1385</v>
      </c>
      <c r="E200" s="14">
        <v>5000</v>
      </c>
      <c r="F200" s="15"/>
      <c r="G200" s="16">
        <v>95000</v>
      </c>
      <c r="H200" s="16">
        <v>0</v>
      </c>
      <c r="I200" s="16">
        <v>3250995</v>
      </c>
      <c r="J200" s="16">
        <v>0</v>
      </c>
      <c r="K200" s="17">
        <v>0</v>
      </c>
    </row>
    <row r="201" spans="1:11" x14ac:dyDescent="0.25">
      <c r="A201" s="18">
        <v>46069</v>
      </c>
      <c r="B201" s="19">
        <v>36</v>
      </c>
      <c r="C201" s="19" t="s">
        <v>1233</v>
      </c>
      <c r="D201" s="20" t="s">
        <v>1383</v>
      </c>
      <c r="E201" s="21">
        <v>400</v>
      </c>
      <c r="F201" s="22"/>
      <c r="G201" s="23">
        <v>0</v>
      </c>
      <c r="H201" s="23">
        <v>0</v>
      </c>
      <c r="I201" s="23">
        <v>3250995</v>
      </c>
      <c r="J201" s="23">
        <v>0</v>
      </c>
      <c r="K201" s="24">
        <v>0</v>
      </c>
    </row>
    <row r="202" spans="1:11" x14ac:dyDescent="0.25">
      <c r="A202" s="11">
        <v>46069</v>
      </c>
      <c r="B202" s="12">
        <v>36</v>
      </c>
      <c r="C202" s="12" t="s">
        <v>1233</v>
      </c>
      <c r="D202" s="13" t="s">
        <v>1390</v>
      </c>
      <c r="E202" s="14"/>
      <c r="F202" s="15">
        <v>40000</v>
      </c>
      <c r="G202" s="16"/>
      <c r="H202" s="16">
        <v>0</v>
      </c>
      <c r="I202" s="16">
        <v>3210995</v>
      </c>
      <c r="J202" s="16">
        <v>0</v>
      </c>
      <c r="K202" s="17">
        <v>0</v>
      </c>
    </row>
    <row r="203" spans="1:11" x14ac:dyDescent="0.25">
      <c r="A203" s="18">
        <v>46069</v>
      </c>
      <c r="B203" s="19">
        <v>36</v>
      </c>
      <c r="C203" s="19" t="s">
        <v>1233</v>
      </c>
      <c r="D203" s="20" t="s">
        <v>1385</v>
      </c>
      <c r="E203" s="21">
        <v>6000</v>
      </c>
      <c r="F203" s="22"/>
      <c r="G203" s="23">
        <v>114000</v>
      </c>
      <c r="H203" s="23">
        <v>0</v>
      </c>
      <c r="I203" s="23">
        <v>3324995</v>
      </c>
      <c r="J203" s="23">
        <v>0</v>
      </c>
      <c r="K203" s="24">
        <v>0</v>
      </c>
    </row>
    <row r="204" spans="1:11" x14ac:dyDescent="0.25">
      <c r="A204" s="11">
        <v>46069</v>
      </c>
      <c r="B204" s="12">
        <v>36</v>
      </c>
      <c r="C204" s="12" t="s">
        <v>1233</v>
      </c>
      <c r="D204" s="13" t="s">
        <v>1390</v>
      </c>
      <c r="E204" s="14"/>
      <c r="F204" s="15">
        <v>720000</v>
      </c>
      <c r="G204" s="16"/>
      <c r="H204" s="16">
        <v>0</v>
      </c>
      <c r="I204" s="16">
        <v>2604995</v>
      </c>
      <c r="J204" s="16">
        <v>0</v>
      </c>
      <c r="K204" s="17">
        <v>0</v>
      </c>
    </row>
    <row r="205" spans="1:11" x14ac:dyDescent="0.25">
      <c r="A205" s="18">
        <v>46069</v>
      </c>
      <c r="B205" s="19">
        <v>36</v>
      </c>
      <c r="C205" s="19" t="s">
        <v>1233</v>
      </c>
      <c r="D205" s="20" t="s">
        <v>1385</v>
      </c>
      <c r="E205" s="21">
        <v>6000</v>
      </c>
      <c r="F205" s="22"/>
      <c r="G205" s="23">
        <v>114000</v>
      </c>
      <c r="H205" s="23">
        <v>0</v>
      </c>
      <c r="I205" s="23">
        <v>2718995</v>
      </c>
      <c r="J205" s="23">
        <v>0</v>
      </c>
      <c r="K205" s="24">
        <v>0</v>
      </c>
    </row>
    <row r="206" spans="1:11" x14ac:dyDescent="0.25">
      <c r="A206" s="11">
        <v>46069</v>
      </c>
      <c r="B206" s="12">
        <v>36</v>
      </c>
      <c r="C206" s="12" t="s">
        <v>1233</v>
      </c>
      <c r="D206" s="13" t="s">
        <v>1390</v>
      </c>
      <c r="E206" s="14"/>
      <c r="F206" s="15">
        <v>1000000</v>
      </c>
      <c r="G206" s="16"/>
      <c r="H206" s="16">
        <v>0</v>
      </c>
      <c r="I206" s="16">
        <v>1718995</v>
      </c>
      <c r="J206" s="16">
        <v>0</v>
      </c>
      <c r="K206" s="17">
        <v>0</v>
      </c>
    </row>
    <row r="207" spans="1:11" x14ac:dyDescent="0.25">
      <c r="A207" s="18">
        <v>46069</v>
      </c>
      <c r="B207" s="19">
        <v>36</v>
      </c>
      <c r="C207" s="19" t="s">
        <v>1233</v>
      </c>
      <c r="D207" s="20" t="s">
        <v>1385</v>
      </c>
      <c r="E207" s="21">
        <v>9000</v>
      </c>
      <c r="F207" s="22"/>
      <c r="G207" s="23">
        <v>171000</v>
      </c>
      <c r="H207" s="23">
        <v>0</v>
      </c>
      <c r="I207" s="23">
        <v>1889995</v>
      </c>
      <c r="J207" s="23">
        <v>0</v>
      </c>
      <c r="K207" s="24">
        <v>0</v>
      </c>
    </row>
    <row r="208" spans="1:11" x14ac:dyDescent="0.25">
      <c r="A208" s="11">
        <v>46069</v>
      </c>
      <c r="B208" s="12">
        <v>36</v>
      </c>
      <c r="C208" s="12" t="s">
        <v>1233</v>
      </c>
      <c r="D208" s="13" t="s">
        <v>1385</v>
      </c>
      <c r="E208" s="14">
        <v>5850</v>
      </c>
      <c r="F208" s="15"/>
      <c r="G208" s="16">
        <v>111150</v>
      </c>
      <c r="H208" s="16">
        <v>0</v>
      </c>
      <c r="I208" s="16">
        <v>2001145</v>
      </c>
      <c r="J208" s="16">
        <v>0</v>
      </c>
      <c r="K208" s="17">
        <v>0</v>
      </c>
    </row>
    <row r="209" spans="1:11" x14ac:dyDescent="0.25">
      <c r="A209" s="18">
        <v>46069</v>
      </c>
      <c r="B209" s="19">
        <v>36</v>
      </c>
      <c r="C209" s="19" t="s">
        <v>1233</v>
      </c>
      <c r="D209" s="20" t="s">
        <v>1385</v>
      </c>
      <c r="E209" s="21">
        <v>5950</v>
      </c>
      <c r="F209" s="22"/>
      <c r="G209" s="23">
        <v>113050</v>
      </c>
      <c r="H209" s="23">
        <v>0</v>
      </c>
      <c r="I209" s="23">
        <v>2114195</v>
      </c>
      <c r="J209" s="23">
        <v>0</v>
      </c>
      <c r="K209" s="24">
        <v>0</v>
      </c>
    </row>
    <row r="210" spans="1:11" x14ac:dyDescent="0.25">
      <c r="A210" s="11">
        <v>46069</v>
      </c>
      <c r="B210" s="12">
        <v>36</v>
      </c>
      <c r="C210" s="12" t="s">
        <v>1233</v>
      </c>
      <c r="D210" s="13" t="s">
        <v>1385</v>
      </c>
      <c r="E210" s="14">
        <v>12000</v>
      </c>
      <c r="F210" s="15"/>
      <c r="G210" s="16">
        <v>228000</v>
      </c>
      <c r="H210" s="16">
        <v>0</v>
      </c>
      <c r="I210" s="16">
        <v>2342195</v>
      </c>
      <c r="J210" s="16">
        <v>0</v>
      </c>
      <c r="K210" s="17">
        <v>0</v>
      </c>
    </row>
    <row r="211" spans="1:11" x14ac:dyDescent="0.25">
      <c r="A211" s="18">
        <v>46069</v>
      </c>
      <c r="B211" s="19">
        <v>36</v>
      </c>
      <c r="C211" s="19" t="s">
        <v>1233</v>
      </c>
      <c r="D211" s="20" t="s">
        <v>1385</v>
      </c>
      <c r="E211" s="21">
        <v>10000</v>
      </c>
      <c r="F211" s="22"/>
      <c r="G211" s="23">
        <v>190000</v>
      </c>
      <c r="H211" s="23">
        <v>0</v>
      </c>
      <c r="I211" s="23">
        <v>2532195</v>
      </c>
      <c r="J211" s="23">
        <v>0</v>
      </c>
      <c r="K211" s="24">
        <v>0</v>
      </c>
    </row>
    <row r="212" spans="1:11" x14ac:dyDescent="0.25">
      <c r="A212" s="11">
        <v>46069</v>
      </c>
      <c r="B212" s="12">
        <v>36</v>
      </c>
      <c r="C212" s="12" t="s">
        <v>1233</v>
      </c>
      <c r="D212" s="13" t="s">
        <v>1385</v>
      </c>
      <c r="E212" s="14">
        <v>2000</v>
      </c>
      <c r="F212" s="15"/>
      <c r="G212" s="16">
        <v>38000</v>
      </c>
      <c r="H212" s="16">
        <v>0</v>
      </c>
      <c r="I212" s="16">
        <v>2570195</v>
      </c>
      <c r="J212" s="16">
        <v>0</v>
      </c>
      <c r="K212" s="17">
        <v>0</v>
      </c>
    </row>
    <row r="213" spans="1:11" x14ac:dyDescent="0.25">
      <c r="A213" s="18">
        <v>46070</v>
      </c>
      <c r="B213" s="19">
        <v>36</v>
      </c>
      <c r="C213" s="19" t="s">
        <v>1233</v>
      </c>
      <c r="D213" s="20" t="s">
        <v>1385</v>
      </c>
      <c r="E213" s="21">
        <v>3000</v>
      </c>
      <c r="F213" s="22"/>
      <c r="G213" s="23">
        <v>57000</v>
      </c>
      <c r="H213" s="23">
        <v>0</v>
      </c>
      <c r="I213" s="23">
        <v>2627195</v>
      </c>
      <c r="J213" s="23">
        <v>0</v>
      </c>
      <c r="K213" s="24">
        <v>0</v>
      </c>
    </row>
    <row r="214" spans="1:11" x14ac:dyDescent="0.25">
      <c r="A214" s="11">
        <v>46071</v>
      </c>
      <c r="B214" s="12">
        <v>36</v>
      </c>
      <c r="C214" s="12" t="s">
        <v>1233</v>
      </c>
      <c r="D214" s="13" t="s">
        <v>1385</v>
      </c>
      <c r="E214" s="14">
        <v>6020</v>
      </c>
      <c r="F214" s="15"/>
      <c r="G214" s="16">
        <v>114380</v>
      </c>
      <c r="H214" s="16">
        <v>0</v>
      </c>
      <c r="I214" s="16">
        <v>2741575</v>
      </c>
      <c r="J214" s="16">
        <v>0</v>
      </c>
      <c r="K214" s="17">
        <v>2741575</v>
      </c>
    </row>
    <row r="215" spans="1:11" x14ac:dyDescent="0.25">
      <c r="A215" s="18">
        <v>46039</v>
      </c>
      <c r="B215" s="19">
        <v>39</v>
      </c>
      <c r="C215" s="19" t="s">
        <v>1221</v>
      </c>
      <c r="D215" s="20"/>
      <c r="E215" s="21"/>
      <c r="F215" s="22"/>
      <c r="G215" s="23">
        <v>16000</v>
      </c>
      <c r="H215" s="23">
        <v>0</v>
      </c>
      <c r="I215" s="23">
        <v>16000</v>
      </c>
      <c r="J215" s="23">
        <v>0</v>
      </c>
      <c r="K215" s="24">
        <v>0</v>
      </c>
    </row>
    <row r="216" spans="1:11" x14ac:dyDescent="0.25">
      <c r="A216" s="11">
        <v>46039</v>
      </c>
      <c r="B216" s="12">
        <v>39</v>
      </c>
      <c r="C216" s="12" t="s">
        <v>1221</v>
      </c>
      <c r="D216" s="13" t="s">
        <v>1384</v>
      </c>
      <c r="E216" s="14"/>
      <c r="F216" s="15">
        <v>16000</v>
      </c>
      <c r="G216" s="16"/>
      <c r="H216" s="16">
        <v>0</v>
      </c>
      <c r="I216" s="16">
        <v>0</v>
      </c>
      <c r="J216" s="16">
        <v>0</v>
      </c>
      <c r="K216" s="17">
        <v>0</v>
      </c>
    </row>
    <row r="217" spans="1:11" x14ac:dyDescent="0.25">
      <c r="A217" s="18">
        <v>46043</v>
      </c>
      <c r="B217" s="19">
        <v>39</v>
      </c>
      <c r="C217" s="19" t="s">
        <v>1221</v>
      </c>
      <c r="D217" s="20" t="s">
        <v>1384</v>
      </c>
      <c r="E217" s="21"/>
      <c r="F217" s="22">
        <v>88000</v>
      </c>
      <c r="G217" s="23"/>
      <c r="H217" s="23">
        <v>88000</v>
      </c>
      <c r="I217" s="23">
        <v>0</v>
      </c>
      <c r="J217" s="23">
        <v>0</v>
      </c>
      <c r="K217" s="24">
        <v>0</v>
      </c>
    </row>
    <row r="218" spans="1:11" x14ac:dyDescent="0.25">
      <c r="A218" s="11">
        <v>46043</v>
      </c>
      <c r="B218" s="12">
        <v>39</v>
      </c>
      <c r="C218" s="12" t="s">
        <v>1221</v>
      </c>
      <c r="D218" s="13" t="s">
        <v>1385</v>
      </c>
      <c r="E218" s="14">
        <v>4200</v>
      </c>
      <c r="F218" s="15"/>
      <c r="G218" s="16">
        <v>88000</v>
      </c>
      <c r="H218" s="16">
        <v>0</v>
      </c>
      <c r="I218" s="16">
        <v>0</v>
      </c>
      <c r="J218" s="16">
        <v>0</v>
      </c>
      <c r="K218" s="17">
        <v>0</v>
      </c>
    </row>
    <row r="219" spans="1:11" x14ac:dyDescent="0.25">
      <c r="A219" s="18">
        <v>46045</v>
      </c>
      <c r="B219" s="19">
        <v>39</v>
      </c>
      <c r="C219" s="19" t="s">
        <v>1221</v>
      </c>
      <c r="D219" s="20" t="s">
        <v>1385</v>
      </c>
      <c r="E219" s="21">
        <v>4200</v>
      </c>
      <c r="F219" s="22"/>
      <c r="G219" s="23">
        <v>88000</v>
      </c>
      <c r="H219" s="23">
        <v>0</v>
      </c>
      <c r="I219" s="23">
        <v>88000</v>
      </c>
      <c r="J219" s="23">
        <v>0</v>
      </c>
      <c r="K219" s="24">
        <v>0</v>
      </c>
    </row>
    <row r="220" spans="1:11" x14ac:dyDescent="0.25">
      <c r="A220" s="11">
        <v>46052</v>
      </c>
      <c r="B220" s="12">
        <v>39</v>
      </c>
      <c r="C220" s="12" t="s">
        <v>1221</v>
      </c>
      <c r="D220" s="13" t="s">
        <v>1384</v>
      </c>
      <c r="E220" s="14"/>
      <c r="F220" s="15">
        <v>88000</v>
      </c>
      <c r="G220" s="16"/>
      <c r="H220" s="16">
        <v>0</v>
      </c>
      <c r="I220" s="16">
        <v>0</v>
      </c>
      <c r="J220" s="16">
        <v>0</v>
      </c>
      <c r="K220" s="17">
        <v>0</v>
      </c>
    </row>
    <row r="221" spans="1:11" x14ac:dyDescent="0.25">
      <c r="A221" s="18">
        <v>46052</v>
      </c>
      <c r="B221" s="19">
        <v>39</v>
      </c>
      <c r="C221" s="19" t="s">
        <v>1221</v>
      </c>
      <c r="D221" s="20" t="s">
        <v>1385</v>
      </c>
      <c r="E221" s="21">
        <v>4200</v>
      </c>
      <c r="F221" s="22"/>
      <c r="G221" s="23">
        <v>88000</v>
      </c>
      <c r="H221" s="23">
        <v>0</v>
      </c>
      <c r="I221" s="23">
        <v>88000</v>
      </c>
      <c r="J221" s="23">
        <v>0</v>
      </c>
      <c r="K221" s="24">
        <v>0</v>
      </c>
    </row>
    <row r="222" spans="1:11" x14ac:dyDescent="0.25">
      <c r="A222" s="11">
        <v>46052</v>
      </c>
      <c r="B222" s="12">
        <v>39</v>
      </c>
      <c r="C222" s="12" t="s">
        <v>1221</v>
      </c>
      <c r="D222" s="13" t="s">
        <v>1384</v>
      </c>
      <c r="E222" s="14"/>
      <c r="F222" s="15">
        <v>88000</v>
      </c>
      <c r="G222" s="16"/>
      <c r="H222" s="16">
        <v>0</v>
      </c>
      <c r="I222" s="16">
        <v>0</v>
      </c>
      <c r="J222" s="16">
        <v>0</v>
      </c>
      <c r="K222" s="17">
        <v>0</v>
      </c>
    </row>
    <row r="223" spans="1:11" x14ac:dyDescent="0.25">
      <c r="A223" s="18">
        <v>46056</v>
      </c>
      <c r="B223" s="19">
        <v>39</v>
      </c>
      <c r="C223" s="19" t="s">
        <v>1221</v>
      </c>
      <c r="D223" s="20" t="s">
        <v>1385</v>
      </c>
      <c r="E223" s="21">
        <v>6000</v>
      </c>
      <c r="F223" s="22"/>
      <c r="G223" s="23">
        <v>66000</v>
      </c>
      <c r="H223" s="23">
        <v>0</v>
      </c>
      <c r="I223" s="23">
        <v>66000</v>
      </c>
      <c r="J223" s="23">
        <v>0</v>
      </c>
      <c r="K223" s="24">
        <v>0</v>
      </c>
    </row>
    <row r="224" spans="1:11" x14ac:dyDescent="0.25">
      <c r="A224" s="11">
        <v>46056</v>
      </c>
      <c r="B224" s="12">
        <v>39</v>
      </c>
      <c r="C224" s="12" t="s">
        <v>1221</v>
      </c>
      <c r="D224" s="13" t="s">
        <v>1390</v>
      </c>
      <c r="E224" s="14"/>
      <c r="F224" s="15">
        <v>66000</v>
      </c>
      <c r="G224" s="16"/>
      <c r="H224" s="16">
        <v>0</v>
      </c>
      <c r="I224" s="16">
        <v>0</v>
      </c>
      <c r="J224" s="16">
        <v>0</v>
      </c>
      <c r="K224" s="17">
        <v>0</v>
      </c>
    </row>
    <row r="225" spans="1:11" x14ac:dyDescent="0.25">
      <c r="A225" s="18">
        <v>46063</v>
      </c>
      <c r="B225" s="19">
        <v>39</v>
      </c>
      <c r="C225" s="19" t="s">
        <v>1221</v>
      </c>
      <c r="D225" s="20" t="s">
        <v>1384</v>
      </c>
      <c r="E225" s="21"/>
      <c r="F225" s="22">
        <v>88000</v>
      </c>
      <c r="G225" s="23"/>
      <c r="H225" s="23">
        <v>88000</v>
      </c>
      <c r="I225" s="23">
        <v>0</v>
      </c>
      <c r="J225" s="23">
        <v>0</v>
      </c>
      <c r="K225" s="24">
        <v>0</v>
      </c>
    </row>
    <row r="226" spans="1:11" x14ac:dyDescent="0.25">
      <c r="A226" s="11">
        <v>46063</v>
      </c>
      <c r="B226" s="12">
        <v>39</v>
      </c>
      <c r="C226" s="12" t="s">
        <v>1221</v>
      </c>
      <c r="D226" s="13" t="s">
        <v>1385</v>
      </c>
      <c r="E226" s="14">
        <v>4200</v>
      </c>
      <c r="F226" s="15"/>
      <c r="G226" s="16">
        <v>88000</v>
      </c>
      <c r="H226" s="16">
        <v>0</v>
      </c>
      <c r="I226" s="16">
        <v>0</v>
      </c>
      <c r="J226" s="16">
        <v>0</v>
      </c>
      <c r="K226" s="17">
        <v>0</v>
      </c>
    </row>
    <row r="227" spans="1:11" x14ac:dyDescent="0.25">
      <c r="A227" s="18">
        <v>46070</v>
      </c>
      <c r="B227" s="19">
        <v>39</v>
      </c>
      <c r="C227" s="19" t="s">
        <v>1221</v>
      </c>
      <c r="D227" s="20" t="s">
        <v>1390</v>
      </c>
      <c r="E227" s="21"/>
      <c r="F227" s="22">
        <v>88000</v>
      </c>
      <c r="G227" s="23"/>
      <c r="H227" s="23">
        <v>88000</v>
      </c>
      <c r="I227" s="23">
        <v>0</v>
      </c>
      <c r="J227" s="23">
        <v>0</v>
      </c>
      <c r="K227" s="24">
        <v>0</v>
      </c>
    </row>
    <row r="228" spans="1:11" x14ac:dyDescent="0.25">
      <c r="A228" s="11">
        <v>46070</v>
      </c>
      <c r="B228" s="12">
        <v>39</v>
      </c>
      <c r="C228" s="12" t="s">
        <v>1221</v>
      </c>
      <c r="D228" s="13" t="s">
        <v>1385</v>
      </c>
      <c r="E228" s="14">
        <v>4200</v>
      </c>
      <c r="F228" s="15"/>
      <c r="G228" s="16">
        <v>88000</v>
      </c>
      <c r="H228" s="16">
        <v>0</v>
      </c>
      <c r="I228" s="16">
        <v>0</v>
      </c>
      <c r="J228" s="16">
        <v>0</v>
      </c>
      <c r="K228" s="17">
        <v>0</v>
      </c>
    </row>
    <row r="229" spans="1:11" x14ac:dyDescent="0.25">
      <c r="A229" s="18">
        <v>46039</v>
      </c>
      <c r="B229" s="19">
        <v>41</v>
      </c>
      <c r="C229" s="19" t="s">
        <v>49</v>
      </c>
      <c r="D229" s="20"/>
      <c r="E229" s="21"/>
      <c r="F229" s="22">
        <v>0</v>
      </c>
      <c r="G229" s="23"/>
      <c r="H229" s="23">
        <v>0</v>
      </c>
      <c r="I229" s="23">
        <v>0</v>
      </c>
      <c r="J229" s="23">
        <v>0</v>
      </c>
      <c r="K229" s="24">
        <v>0</v>
      </c>
    </row>
    <row r="230" spans="1:11" x14ac:dyDescent="0.25">
      <c r="A230" s="11">
        <v>46039</v>
      </c>
      <c r="B230" s="12">
        <v>42</v>
      </c>
      <c r="C230" s="12" t="s">
        <v>1211</v>
      </c>
      <c r="D230" s="13"/>
      <c r="E230" s="14"/>
      <c r="F230" s="15"/>
      <c r="G230" s="16">
        <v>66000</v>
      </c>
      <c r="H230" s="16">
        <v>0</v>
      </c>
      <c r="I230" s="16">
        <v>66000</v>
      </c>
      <c r="J230" s="16">
        <v>0</v>
      </c>
      <c r="K230" s="17">
        <v>0</v>
      </c>
    </row>
    <row r="231" spans="1:11" x14ac:dyDescent="0.25">
      <c r="A231" s="18">
        <v>46051</v>
      </c>
      <c r="B231" s="19">
        <v>42</v>
      </c>
      <c r="C231" s="19" t="s">
        <v>1211</v>
      </c>
      <c r="D231" s="20" t="s">
        <v>1385</v>
      </c>
      <c r="E231" s="21">
        <v>1500</v>
      </c>
      <c r="F231" s="22"/>
      <c r="G231" s="23">
        <v>37500</v>
      </c>
      <c r="H231" s="23">
        <v>0</v>
      </c>
      <c r="I231" s="23">
        <v>103500</v>
      </c>
      <c r="J231" s="23">
        <v>0</v>
      </c>
      <c r="K231" s="24">
        <v>0</v>
      </c>
    </row>
    <row r="232" spans="1:11" x14ac:dyDescent="0.25">
      <c r="A232" s="11">
        <v>46067</v>
      </c>
      <c r="B232" s="12">
        <v>42</v>
      </c>
      <c r="C232" s="12" t="s">
        <v>1211</v>
      </c>
      <c r="D232" s="13" t="s">
        <v>1384</v>
      </c>
      <c r="E232" s="14"/>
      <c r="F232" s="15">
        <v>37500</v>
      </c>
      <c r="G232" s="16"/>
      <c r="H232" s="16">
        <v>0</v>
      </c>
      <c r="I232" s="16">
        <v>66000</v>
      </c>
      <c r="J232" s="16">
        <v>0</v>
      </c>
      <c r="K232" s="17">
        <v>0</v>
      </c>
    </row>
    <row r="233" spans="1:11" x14ac:dyDescent="0.25">
      <c r="A233" s="18">
        <v>46070</v>
      </c>
      <c r="B233" s="19">
        <v>42</v>
      </c>
      <c r="C233" s="19" t="s">
        <v>1211</v>
      </c>
      <c r="D233" s="20" t="s">
        <v>1385</v>
      </c>
      <c r="E233" s="21">
        <v>1500</v>
      </c>
      <c r="F233" s="22"/>
      <c r="G233" s="23">
        <v>37500</v>
      </c>
      <c r="H233" s="23">
        <v>0</v>
      </c>
      <c r="I233" s="23">
        <v>103500</v>
      </c>
      <c r="J233" s="23">
        <v>0</v>
      </c>
      <c r="K233" s="24">
        <v>103500</v>
      </c>
    </row>
    <row r="234" spans="1:11" x14ac:dyDescent="0.25">
      <c r="A234" s="11">
        <v>46039</v>
      </c>
      <c r="B234" s="12">
        <v>43</v>
      </c>
      <c r="C234" s="12" t="s">
        <v>1208</v>
      </c>
      <c r="D234" s="13"/>
      <c r="E234" s="14"/>
      <c r="F234" s="15">
        <v>0</v>
      </c>
      <c r="G234" s="16"/>
      <c r="H234" s="16">
        <v>0</v>
      </c>
      <c r="I234" s="16">
        <v>0</v>
      </c>
      <c r="J234" s="16">
        <v>0</v>
      </c>
      <c r="K234" s="17">
        <v>0</v>
      </c>
    </row>
    <row r="235" spans="1:11" x14ac:dyDescent="0.25">
      <c r="A235" s="18">
        <v>46041</v>
      </c>
      <c r="B235" s="19">
        <v>43</v>
      </c>
      <c r="C235" s="19" t="s">
        <v>1208</v>
      </c>
      <c r="D235" s="20" t="s">
        <v>1384</v>
      </c>
      <c r="E235" s="21"/>
      <c r="F235" s="22">
        <v>247000</v>
      </c>
      <c r="G235" s="23"/>
      <c r="H235" s="23">
        <v>247000</v>
      </c>
      <c r="I235" s="23">
        <v>0</v>
      </c>
      <c r="J235" s="23">
        <v>0</v>
      </c>
      <c r="K235" s="24">
        <v>0</v>
      </c>
    </row>
    <row r="236" spans="1:11" x14ac:dyDescent="0.25">
      <c r="A236" s="11">
        <v>46041</v>
      </c>
      <c r="B236" s="12">
        <v>43</v>
      </c>
      <c r="C236" s="12" t="s">
        <v>1208</v>
      </c>
      <c r="D236" s="13" t="s">
        <v>1385</v>
      </c>
      <c r="E236" s="14">
        <v>4500</v>
      </c>
      <c r="F236" s="15"/>
      <c r="G236" s="16">
        <v>130500</v>
      </c>
      <c r="H236" s="16">
        <v>116500</v>
      </c>
      <c r="I236" s="16">
        <v>0</v>
      </c>
      <c r="J236" s="16">
        <v>0</v>
      </c>
      <c r="K236" s="17">
        <v>0</v>
      </c>
    </row>
    <row r="237" spans="1:11" x14ac:dyDescent="0.25">
      <c r="A237" s="18">
        <v>46041</v>
      </c>
      <c r="B237" s="19">
        <v>43</v>
      </c>
      <c r="C237" s="19" t="s">
        <v>1394</v>
      </c>
      <c r="D237" s="20" t="s">
        <v>1385</v>
      </c>
      <c r="E237" s="21">
        <v>4050</v>
      </c>
      <c r="F237" s="22"/>
      <c r="G237" s="23">
        <v>116500</v>
      </c>
      <c r="H237" s="23">
        <v>0</v>
      </c>
      <c r="I237" s="23">
        <v>0</v>
      </c>
      <c r="J237" s="23">
        <v>0</v>
      </c>
      <c r="K237" s="24">
        <v>0</v>
      </c>
    </row>
    <row r="238" spans="1:11" x14ac:dyDescent="0.25">
      <c r="A238" s="11">
        <v>46055</v>
      </c>
      <c r="B238" s="12">
        <v>43</v>
      </c>
      <c r="C238" s="12" t="s">
        <v>1208</v>
      </c>
      <c r="D238" s="13" t="s">
        <v>1384</v>
      </c>
      <c r="E238" s="14"/>
      <c r="F238" s="15">
        <v>247000</v>
      </c>
      <c r="G238" s="16"/>
      <c r="H238" s="16">
        <v>247000</v>
      </c>
      <c r="I238" s="16">
        <v>0</v>
      </c>
      <c r="J238" s="16">
        <v>0</v>
      </c>
      <c r="K238" s="17">
        <v>0</v>
      </c>
    </row>
    <row r="239" spans="1:11" x14ac:dyDescent="0.25">
      <c r="A239" s="18">
        <v>46055</v>
      </c>
      <c r="B239" s="19">
        <v>43</v>
      </c>
      <c r="C239" s="19" t="s">
        <v>1208</v>
      </c>
      <c r="D239" s="20" t="s">
        <v>1385</v>
      </c>
      <c r="E239" s="21">
        <v>4500</v>
      </c>
      <c r="F239" s="22"/>
      <c r="G239" s="23">
        <v>130500</v>
      </c>
      <c r="H239" s="23">
        <v>116500</v>
      </c>
      <c r="I239" s="23">
        <v>0</v>
      </c>
      <c r="J239" s="23">
        <v>0</v>
      </c>
      <c r="K239" s="24">
        <v>0</v>
      </c>
    </row>
    <row r="240" spans="1:11" x14ac:dyDescent="0.25">
      <c r="A240" s="11">
        <v>46055</v>
      </c>
      <c r="B240" s="12">
        <v>43</v>
      </c>
      <c r="C240" s="12" t="s">
        <v>1394</v>
      </c>
      <c r="D240" s="13" t="s">
        <v>1385</v>
      </c>
      <c r="E240" s="14">
        <v>4050</v>
      </c>
      <c r="F240" s="15"/>
      <c r="G240" s="16">
        <v>116500</v>
      </c>
      <c r="H240" s="16">
        <v>0</v>
      </c>
      <c r="I240" s="16">
        <v>0</v>
      </c>
      <c r="J240" s="16">
        <v>0</v>
      </c>
      <c r="K240" s="17">
        <v>0</v>
      </c>
    </row>
    <row r="241" spans="1:11" x14ac:dyDescent="0.25">
      <c r="A241" s="18">
        <v>46071</v>
      </c>
      <c r="B241" s="19">
        <v>43</v>
      </c>
      <c r="C241" s="19" t="s">
        <v>1208</v>
      </c>
      <c r="D241" s="20" t="s">
        <v>1385</v>
      </c>
      <c r="E241" s="21">
        <v>4500</v>
      </c>
      <c r="F241" s="22"/>
      <c r="G241" s="23">
        <v>135000</v>
      </c>
      <c r="H241" s="23">
        <v>0</v>
      </c>
      <c r="I241" s="23">
        <v>135000</v>
      </c>
      <c r="J241" s="23">
        <v>0</v>
      </c>
      <c r="K241" s="24">
        <v>0</v>
      </c>
    </row>
    <row r="242" spans="1:11" x14ac:dyDescent="0.25">
      <c r="A242" s="11">
        <v>46071</v>
      </c>
      <c r="B242" s="12">
        <v>43</v>
      </c>
      <c r="C242" s="12" t="s">
        <v>1394</v>
      </c>
      <c r="D242" s="13" t="s">
        <v>1385</v>
      </c>
      <c r="E242" s="14">
        <v>4050</v>
      </c>
      <c r="F242" s="15"/>
      <c r="G242" s="16">
        <v>121500</v>
      </c>
      <c r="H242" s="16">
        <v>0</v>
      </c>
      <c r="I242" s="16">
        <v>256500</v>
      </c>
      <c r="J242" s="16">
        <v>0</v>
      </c>
      <c r="K242" s="17">
        <v>256500</v>
      </c>
    </row>
    <row r="243" spans="1:11" x14ac:dyDescent="0.25">
      <c r="A243" s="18">
        <v>46048</v>
      </c>
      <c r="B243" s="19">
        <v>44</v>
      </c>
      <c r="C243" s="19" t="s">
        <v>1204</v>
      </c>
      <c r="D243" s="20" t="s">
        <v>1385</v>
      </c>
      <c r="E243" s="21">
        <v>4500</v>
      </c>
      <c r="F243" s="22"/>
      <c r="G243" s="23">
        <v>162000</v>
      </c>
      <c r="H243" s="23">
        <v>0</v>
      </c>
      <c r="I243" s="23">
        <v>162000</v>
      </c>
      <c r="J243" s="23">
        <v>0</v>
      </c>
      <c r="K243" s="24">
        <v>0</v>
      </c>
    </row>
    <row r="244" spans="1:11" x14ac:dyDescent="0.25">
      <c r="A244" s="11">
        <v>46052</v>
      </c>
      <c r="B244" s="12">
        <v>44</v>
      </c>
      <c r="C244" s="12" t="s">
        <v>1204</v>
      </c>
      <c r="D244" s="13" t="s">
        <v>1384</v>
      </c>
      <c r="E244" s="14"/>
      <c r="F244" s="15">
        <v>162000</v>
      </c>
      <c r="G244" s="16"/>
      <c r="H244" s="16">
        <v>0</v>
      </c>
      <c r="I244" s="16">
        <v>0</v>
      </c>
      <c r="J244" s="16">
        <v>0</v>
      </c>
      <c r="K244" s="17">
        <v>0</v>
      </c>
    </row>
    <row r="245" spans="1:11" x14ac:dyDescent="0.25">
      <c r="A245" s="18">
        <v>46069</v>
      </c>
      <c r="B245" s="19">
        <v>44</v>
      </c>
      <c r="C245" s="19" t="s">
        <v>1204</v>
      </c>
      <c r="D245" s="20" t="s">
        <v>1385</v>
      </c>
      <c r="E245" s="21">
        <v>4500</v>
      </c>
      <c r="F245" s="22"/>
      <c r="G245" s="23">
        <v>162000</v>
      </c>
      <c r="H245" s="23">
        <v>0</v>
      </c>
      <c r="I245" s="23">
        <v>162000</v>
      </c>
      <c r="J245" s="23">
        <v>0</v>
      </c>
      <c r="K245" s="24">
        <v>162000</v>
      </c>
    </row>
    <row r="246" spans="1:11" x14ac:dyDescent="0.25">
      <c r="A246" s="11">
        <v>46044</v>
      </c>
      <c r="B246" s="12">
        <v>45</v>
      </c>
      <c r="C246" s="12" t="s">
        <v>1199</v>
      </c>
      <c r="D246" s="13" t="s">
        <v>1383</v>
      </c>
      <c r="E246" s="14">
        <v>500</v>
      </c>
      <c r="F246" s="15"/>
      <c r="G246" s="16">
        <v>35000</v>
      </c>
      <c r="H246" s="16">
        <v>0</v>
      </c>
      <c r="I246" s="16">
        <v>35000</v>
      </c>
      <c r="J246" s="16">
        <v>0</v>
      </c>
      <c r="K246" s="17">
        <v>0</v>
      </c>
    </row>
    <row r="247" spans="1:11" x14ac:dyDescent="0.25">
      <c r="A247" s="18">
        <v>46044</v>
      </c>
      <c r="B247" s="19">
        <v>45</v>
      </c>
      <c r="C247" s="19" t="s">
        <v>1199</v>
      </c>
      <c r="D247" s="20" t="s">
        <v>1385</v>
      </c>
      <c r="E247" s="21">
        <v>7950</v>
      </c>
      <c r="F247" s="22"/>
      <c r="G247" s="23">
        <v>238500</v>
      </c>
      <c r="H247" s="23">
        <v>0</v>
      </c>
      <c r="I247" s="23">
        <v>273500</v>
      </c>
      <c r="J247" s="23">
        <v>0</v>
      </c>
      <c r="K247" s="24">
        <v>0</v>
      </c>
    </row>
    <row r="248" spans="1:11" x14ac:dyDescent="0.25">
      <c r="A248" s="11">
        <v>46053</v>
      </c>
      <c r="B248" s="12">
        <v>45</v>
      </c>
      <c r="C248" s="12" t="s">
        <v>1199</v>
      </c>
      <c r="D248" s="13" t="s">
        <v>1384</v>
      </c>
      <c r="E248" s="14"/>
      <c r="F248" s="15">
        <v>273500</v>
      </c>
      <c r="G248" s="16"/>
      <c r="H248" s="16">
        <v>0</v>
      </c>
      <c r="I248" s="16">
        <v>0</v>
      </c>
      <c r="J248" s="16">
        <v>0</v>
      </c>
      <c r="K248" s="17">
        <v>0</v>
      </c>
    </row>
    <row r="249" spans="1:11" x14ac:dyDescent="0.25">
      <c r="A249" s="18">
        <v>46057</v>
      </c>
      <c r="B249" s="19">
        <v>45</v>
      </c>
      <c r="C249" s="19" t="s">
        <v>1199</v>
      </c>
      <c r="D249" s="20" t="s">
        <v>1385</v>
      </c>
      <c r="E249" s="21">
        <v>3975</v>
      </c>
      <c r="F249" s="22"/>
      <c r="G249" s="23">
        <v>119250</v>
      </c>
      <c r="H249" s="23">
        <v>0</v>
      </c>
      <c r="I249" s="23">
        <v>119250</v>
      </c>
      <c r="J249" s="23">
        <v>0</v>
      </c>
      <c r="K249" s="24">
        <v>0</v>
      </c>
    </row>
    <row r="250" spans="1:11" x14ac:dyDescent="0.25">
      <c r="A250" s="11">
        <v>46057</v>
      </c>
      <c r="B250" s="12">
        <v>45</v>
      </c>
      <c r="C250" s="12" t="s">
        <v>1199</v>
      </c>
      <c r="D250" s="13" t="s">
        <v>1384</v>
      </c>
      <c r="E250" s="14"/>
      <c r="F250" s="15">
        <v>238500</v>
      </c>
      <c r="G250" s="16"/>
      <c r="H250" s="16">
        <v>119250</v>
      </c>
      <c r="I250" s="16">
        <v>0</v>
      </c>
      <c r="J250" s="16">
        <v>0</v>
      </c>
      <c r="K250" s="17">
        <v>0</v>
      </c>
    </row>
    <row r="251" spans="1:11" x14ac:dyDescent="0.25">
      <c r="A251" s="18">
        <v>46058</v>
      </c>
      <c r="B251" s="19">
        <v>45</v>
      </c>
      <c r="C251" s="19" t="s">
        <v>1199</v>
      </c>
      <c r="D251" s="20" t="s">
        <v>1383</v>
      </c>
      <c r="E251" s="21">
        <v>400</v>
      </c>
      <c r="F251" s="22"/>
      <c r="G251" s="23">
        <v>19000</v>
      </c>
      <c r="H251" s="23">
        <v>100250</v>
      </c>
      <c r="I251" s="23">
        <v>0</v>
      </c>
      <c r="J251" s="23">
        <v>0</v>
      </c>
      <c r="K251" s="24">
        <v>0</v>
      </c>
    </row>
    <row r="252" spans="1:11" x14ac:dyDescent="0.25">
      <c r="A252" s="11">
        <v>46058</v>
      </c>
      <c r="B252" s="12">
        <v>45</v>
      </c>
      <c r="C252" s="12" t="s">
        <v>1199</v>
      </c>
      <c r="D252" s="13" t="s">
        <v>1385</v>
      </c>
      <c r="E252" s="14">
        <v>3975</v>
      </c>
      <c r="F252" s="15"/>
      <c r="G252" s="16">
        <v>119250</v>
      </c>
      <c r="H252" s="16">
        <v>0</v>
      </c>
      <c r="I252" s="16">
        <v>19000</v>
      </c>
      <c r="J252" s="16">
        <v>0</v>
      </c>
      <c r="K252" s="17">
        <v>19000</v>
      </c>
    </row>
    <row r="253" spans="1:11" x14ac:dyDescent="0.25">
      <c r="A253" s="18">
        <v>46041</v>
      </c>
      <c r="B253" s="19">
        <v>47</v>
      </c>
      <c r="C253" s="19" t="s">
        <v>1193</v>
      </c>
      <c r="D253" s="20" t="s">
        <v>1384</v>
      </c>
      <c r="E253" s="21"/>
      <c r="F253" s="22">
        <v>168000</v>
      </c>
      <c r="G253" s="23"/>
      <c r="H253" s="23">
        <v>168000</v>
      </c>
      <c r="I253" s="23">
        <v>0</v>
      </c>
      <c r="J253" s="23">
        <v>0</v>
      </c>
      <c r="K253" s="24">
        <v>0</v>
      </c>
    </row>
    <row r="254" spans="1:11" x14ac:dyDescent="0.25">
      <c r="A254" s="11">
        <v>46041</v>
      </c>
      <c r="B254" s="12">
        <v>47</v>
      </c>
      <c r="C254" s="12" t="s">
        <v>1193</v>
      </c>
      <c r="D254" s="13" t="s">
        <v>1385</v>
      </c>
      <c r="E254" s="14">
        <v>6000</v>
      </c>
      <c r="F254" s="15"/>
      <c r="G254" s="16">
        <v>168000</v>
      </c>
      <c r="H254" s="16">
        <v>0</v>
      </c>
      <c r="I254" s="16">
        <v>0</v>
      </c>
      <c r="J254" s="16">
        <v>0</v>
      </c>
      <c r="K254" s="17">
        <v>0</v>
      </c>
    </row>
    <row r="255" spans="1:11" x14ac:dyDescent="0.25">
      <c r="A255" s="18">
        <v>46069</v>
      </c>
      <c r="B255" s="19">
        <v>47</v>
      </c>
      <c r="C255" s="19" t="s">
        <v>1193</v>
      </c>
      <c r="D255" s="20" t="s">
        <v>1384</v>
      </c>
      <c r="E255" s="21"/>
      <c r="F255" s="22">
        <v>168000</v>
      </c>
      <c r="G255" s="23"/>
      <c r="H255" s="23">
        <v>168000</v>
      </c>
      <c r="I255" s="23">
        <v>0</v>
      </c>
      <c r="J255" s="23">
        <v>0</v>
      </c>
      <c r="K255" s="24">
        <v>0</v>
      </c>
    </row>
    <row r="256" spans="1:11" x14ac:dyDescent="0.25">
      <c r="A256" s="11">
        <v>46069</v>
      </c>
      <c r="B256" s="12">
        <v>47</v>
      </c>
      <c r="C256" s="12" t="s">
        <v>1193</v>
      </c>
      <c r="D256" s="13" t="s">
        <v>1385</v>
      </c>
      <c r="E256" s="14">
        <v>6000</v>
      </c>
      <c r="F256" s="15"/>
      <c r="G256" s="16">
        <v>168000</v>
      </c>
      <c r="H256" s="16">
        <v>0</v>
      </c>
      <c r="I256" s="16">
        <v>0</v>
      </c>
      <c r="J256" s="16">
        <v>0</v>
      </c>
      <c r="K256" s="17">
        <v>0</v>
      </c>
    </row>
    <row r="257" spans="1:11" x14ac:dyDescent="0.25">
      <c r="A257" s="18">
        <v>46039</v>
      </c>
      <c r="B257" s="19">
        <v>49</v>
      </c>
      <c r="C257" s="19" t="s">
        <v>1185</v>
      </c>
      <c r="D257" s="20"/>
      <c r="E257" s="21"/>
      <c r="F257" s="22">
        <v>0</v>
      </c>
      <c r="G257" s="23"/>
      <c r="H257" s="23">
        <v>0</v>
      </c>
      <c r="I257" s="23">
        <v>0</v>
      </c>
      <c r="J257" s="23">
        <v>0</v>
      </c>
      <c r="K257" s="24">
        <v>0</v>
      </c>
    </row>
    <row r="258" spans="1:11" x14ac:dyDescent="0.25">
      <c r="A258" s="11">
        <v>46045</v>
      </c>
      <c r="B258" s="12">
        <v>49</v>
      </c>
      <c r="C258" s="12" t="s">
        <v>1185</v>
      </c>
      <c r="D258" s="13" t="s">
        <v>1390</v>
      </c>
      <c r="E258" s="14"/>
      <c r="F258" s="15">
        <v>148500</v>
      </c>
      <c r="G258" s="16"/>
      <c r="H258" s="16">
        <v>148500</v>
      </c>
      <c r="I258" s="16">
        <v>0</v>
      </c>
      <c r="J258" s="16">
        <v>0</v>
      </c>
      <c r="K258" s="17">
        <v>0</v>
      </c>
    </row>
    <row r="259" spans="1:11" x14ac:dyDescent="0.25">
      <c r="A259" s="18">
        <v>46045</v>
      </c>
      <c r="B259" s="19">
        <v>49</v>
      </c>
      <c r="C259" s="19" t="s">
        <v>1185</v>
      </c>
      <c r="D259" s="20" t="s">
        <v>1385</v>
      </c>
      <c r="E259" s="21">
        <v>4950</v>
      </c>
      <c r="F259" s="22"/>
      <c r="G259" s="23">
        <v>148500</v>
      </c>
      <c r="H259" s="23">
        <v>0</v>
      </c>
      <c r="I259" s="23">
        <v>0</v>
      </c>
      <c r="J259" s="23">
        <v>0</v>
      </c>
      <c r="K259" s="24">
        <v>0</v>
      </c>
    </row>
    <row r="260" spans="1:11" x14ac:dyDescent="0.25">
      <c r="A260" s="11">
        <v>46071</v>
      </c>
      <c r="B260" s="12">
        <v>49</v>
      </c>
      <c r="C260" s="12" t="s">
        <v>1185</v>
      </c>
      <c r="D260" s="13" t="s">
        <v>1384</v>
      </c>
      <c r="E260" s="14"/>
      <c r="F260" s="15">
        <v>50000</v>
      </c>
      <c r="G260" s="16"/>
      <c r="H260" s="16">
        <v>50000</v>
      </c>
      <c r="I260" s="16">
        <v>0</v>
      </c>
      <c r="J260" s="16">
        <v>0</v>
      </c>
      <c r="K260" s="17">
        <v>0</v>
      </c>
    </row>
    <row r="261" spans="1:11" x14ac:dyDescent="0.25">
      <c r="A261" s="18">
        <v>46071</v>
      </c>
      <c r="B261" s="19">
        <v>49</v>
      </c>
      <c r="C261" s="19" t="s">
        <v>1395</v>
      </c>
      <c r="D261" s="20" t="s">
        <v>1383</v>
      </c>
      <c r="E261" s="21">
        <v>500</v>
      </c>
      <c r="F261" s="22"/>
      <c r="G261" s="23">
        <v>50000</v>
      </c>
      <c r="H261" s="23">
        <v>0</v>
      </c>
      <c r="I261" s="23">
        <v>0</v>
      </c>
      <c r="J261" s="23">
        <v>0</v>
      </c>
      <c r="K261" s="24">
        <v>0</v>
      </c>
    </row>
    <row r="262" spans="1:11" x14ac:dyDescent="0.25">
      <c r="A262" s="11">
        <v>46041</v>
      </c>
      <c r="B262" s="12">
        <v>51</v>
      </c>
      <c r="C262" s="12" t="s">
        <v>1177</v>
      </c>
      <c r="D262" s="13" t="s">
        <v>1385</v>
      </c>
      <c r="E262" s="14">
        <v>2310</v>
      </c>
      <c r="F262" s="15"/>
      <c r="G262" s="16">
        <v>0</v>
      </c>
      <c r="H262" s="16">
        <v>0</v>
      </c>
      <c r="I262" s="16">
        <v>0</v>
      </c>
      <c r="J262" s="16">
        <v>0</v>
      </c>
      <c r="K262" s="17">
        <v>0</v>
      </c>
    </row>
    <row r="263" spans="1:11" x14ac:dyDescent="0.25">
      <c r="A263" s="18">
        <v>46041</v>
      </c>
      <c r="B263" s="19">
        <v>51</v>
      </c>
      <c r="C263" s="19" t="s">
        <v>1396</v>
      </c>
      <c r="D263" s="20" t="s">
        <v>1385</v>
      </c>
      <c r="E263" s="21">
        <v>5040</v>
      </c>
      <c r="F263" s="22"/>
      <c r="G263" s="23">
        <v>0</v>
      </c>
      <c r="H263" s="23">
        <v>0</v>
      </c>
      <c r="I263" s="23">
        <v>0</v>
      </c>
      <c r="J263" s="23">
        <v>0</v>
      </c>
      <c r="K263" s="24">
        <v>0</v>
      </c>
    </row>
    <row r="264" spans="1:11" x14ac:dyDescent="0.25">
      <c r="A264" s="11">
        <v>46052</v>
      </c>
      <c r="B264" s="12">
        <v>51</v>
      </c>
      <c r="C264" s="12" t="s">
        <v>1177</v>
      </c>
      <c r="D264" s="13" t="s">
        <v>1385</v>
      </c>
      <c r="E264" s="14">
        <v>2400</v>
      </c>
      <c r="F264" s="15"/>
      <c r="G264" s="16">
        <v>0</v>
      </c>
      <c r="H264" s="16">
        <v>0</v>
      </c>
      <c r="I264" s="16">
        <v>0</v>
      </c>
      <c r="J264" s="16">
        <v>0</v>
      </c>
      <c r="K264" s="17">
        <v>0</v>
      </c>
    </row>
    <row r="265" spans="1:11" x14ac:dyDescent="0.25">
      <c r="A265" s="18">
        <v>46052</v>
      </c>
      <c r="B265" s="19">
        <v>51</v>
      </c>
      <c r="C265" s="19" t="s">
        <v>1396</v>
      </c>
      <c r="D265" s="20" t="s">
        <v>1385</v>
      </c>
      <c r="E265" s="21">
        <v>7500</v>
      </c>
      <c r="F265" s="22"/>
      <c r="G265" s="23">
        <v>0</v>
      </c>
      <c r="H265" s="23">
        <v>0</v>
      </c>
      <c r="I265" s="23">
        <v>0</v>
      </c>
      <c r="J265" s="23">
        <v>0</v>
      </c>
      <c r="K265" s="24">
        <v>0</v>
      </c>
    </row>
    <row r="266" spans="1:11" x14ac:dyDescent="0.25">
      <c r="A266" s="11">
        <v>46063</v>
      </c>
      <c r="B266" s="12">
        <v>51</v>
      </c>
      <c r="C266" s="12" t="s">
        <v>1177</v>
      </c>
      <c r="D266" s="13" t="s">
        <v>1385</v>
      </c>
      <c r="E266" s="14">
        <v>3600</v>
      </c>
      <c r="F266" s="15"/>
      <c r="G266" s="16">
        <v>0</v>
      </c>
      <c r="H266" s="16">
        <v>0</v>
      </c>
      <c r="I266" s="16">
        <v>0</v>
      </c>
      <c r="J266" s="16">
        <v>0</v>
      </c>
      <c r="K266" s="17">
        <v>0</v>
      </c>
    </row>
    <row r="267" spans="1:11" x14ac:dyDescent="0.25">
      <c r="A267" s="18">
        <v>46063</v>
      </c>
      <c r="B267" s="19">
        <v>51</v>
      </c>
      <c r="C267" s="19" t="s">
        <v>1396</v>
      </c>
      <c r="D267" s="20" t="s">
        <v>1385</v>
      </c>
      <c r="E267" s="21">
        <v>7500</v>
      </c>
      <c r="F267" s="22"/>
      <c r="G267" s="23">
        <v>0</v>
      </c>
      <c r="H267" s="23">
        <v>0</v>
      </c>
      <c r="I267" s="23">
        <v>0</v>
      </c>
      <c r="J267" s="23">
        <v>0</v>
      </c>
      <c r="K267" s="24">
        <v>0</v>
      </c>
    </row>
    <row r="268" spans="1:11" x14ac:dyDescent="0.25">
      <c r="A268" s="11">
        <v>46039</v>
      </c>
      <c r="B268" s="12">
        <v>53</v>
      </c>
      <c r="C268" s="12" t="s">
        <v>1171</v>
      </c>
      <c r="D268" s="13"/>
      <c r="E268" s="14"/>
      <c r="F268" s="15"/>
      <c r="G268" s="16">
        <v>75600</v>
      </c>
      <c r="H268" s="16">
        <v>0</v>
      </c>
      <c r="I268" s="16">
        <v>75600</v>
      </c>
      <c r="J268" s="16">
        <v>0</v>
      </c>
      <c r="K268" s="17">
        <v>0</v>
      </c>
    </row>
    <row r="269" spans="1:11" x14ac:dyDescent="0.25">
      <c r="A269" s="18">
        <v>46039</v>
      </c>
      <c r="B269" s="19">
        <v>53</v>
      </c>
      <c r="C269" s="19" t="s">
        <v>1171</v>
      </c>
      <c r="D269" s="20"/>
      <c r="E269" s="21"/>
      <c r="F269" s="22">
        <v>0</v>
      </c>
      <c r="G269" s="23"/>
      <c r="H269" s="23">
        <v>0</v>
      </c>
      <c r="I269" s="23">
        <v>75600</v>
      </c>
      <c r="J269" s="23">
        <v>0</v>
      </c>
      <c r="K269" s="24">
        <v>0</v>
      </c>
    </row>
    <row r="270" spans="1:11" x14ac:dyDescent="0.25">
      <c r="A270" s="11">
        <v>46039</v>
      </c>
      <c r="B270" s="12">
        <v>53</v>
      </c>
      <c r="C270" s="12" t="s">
        <v>1171</v>
      </c>
      <c r="D270" s="13" t="s">
        <v>1384</v>
      </c>
      <c r="E270" s="14"/>
      <c r="F270" s="15">
        <v>75600</v>
      </c>
      <c r="G270" s="16"/>
      <c r="H270" s="16">
        <v>0</v>
      </c>
      <c r="I270" s="16">
        <v>0</v>
      </c>
      <c r="J270" s="16">
        <v>0</v>
      </c>
      <c r="K270" s="17">
        <v>0</v>
      </c>
    </row>
    <row r="271" spans="1:11" x14ac:dyDescent="0.25">
      <c r="A271" s="18">
        <v>46052</v>
      </c>
      <c r="B271" s="19">
        <v>53</v>
      </c>
      <c r="C271" s="19" t="s">
        <v>1171</v>
      </c>
      <c r="D271" s="20" t="s">
        <v>1384</v>
      </c>
      <c r="E271" s="21"/>
      <c r="F271" s="22">
        <v>75600</v>
      </c>
      <c r="G271" s="23"/>
      <c r="H271" s="23">
        <v>75600</v>
      </c>
      <c r="I271" s="23">
        <v>0</v>
      </c>
      <c r="J271" s="23">
        <v>0</v>
      </c>
      <c r="K271" s="24">
        <v>0</v>
      </c>
    </row>
    <row r="272" spans="1:11" x14ac:dyDescent="0.25">
      <c r="A272" s="11">
        <v>46052</v>
      </c>
      <c r="B272" s="12">
        <v>53</v>
      </c>
      <c r="C272" s="12" t="s">
        <v>1171</v>
      </c>
      <c r="D272" s="13" t="s">
        <v>1385</v>
      </c>
      <c r="E272" s="14">
        <v>1800</v>
      </c>
      <c r="F272" s="15"/>
      <c r="G272" s="16">
        <v>75600</v>
      </c>
      <c r="H272" s="16">
        <v>0</v>
      </c>
      <c r="I272" s="16">
        <v>0</v>
      </c>
      <c r="J272" s="16">
        <v>0</v>
      </c>
      <c r="K272" s="17">
        <v>0</v>
      </c>
    </row>
    <row r="273" spans="1:11" x14ac:dyDescent="0.25">
      <c r="A273" s="18">
        <v>46066</v>
      </c>
      <c r="B273" s="19">
        <v>53</v>
      </c>
      <c r="C273" s="19" t="s">
        <v>1171</v>
      </c>
      <c r="D273" s="20" t="s">
        <v>1385</v>
      </c>
      <c r="E273" s="21">
        <v>1800</v>
      </c>
      <c r="F273" s="22"/>
      <c r="G273" s="23">
        <v>75600</v>
      </c>
      <c r="H273" s="23">
        <v>0</v>
      </c>
      <c r="I273" s="23">
        <v>75600</v>
      </c>
      <c r="J273" s="23">
        <v>0</v>
      </c>
      <c r="K273" s="24">
        <v>0</v>
      </c>
    </row>
    <row r="274" spans="1:11" x14ac:dyDescent="0.25">
      <c r="A274" s="11">
        <v>46069</v>
      </c>
      <c r="B274" s="12">
        <v>53</v>
      </c>
      <c r="C274" s="12" t="s">
        <v>1171</v>
      </c>
      <c r="D274" s="13" t="s">
        <v>1384</v>
      </c>
      <c r="E274" s="14"/>
      <c r="F274" s="15">
        <v>69100</v>
      </c>
      <c r="G274" s="16"/>
      <c r="H274" s="16">
        <v>0</v>
      </c>
      <c r="I274" s="16">
        <v>6500</v>
      </c>
      <c r="J274" s="16">
        <v>0</v>
      </c>
      <c r="K274" s="17">
        <v>6500</v>
      </c>
    </row>
    <row r="275" spans="1:11" x14ac:dyDescent="0.25">
      <c r="A275" s="18">
        <v>46042</v>
      </c>
      <c r="B275" s="19">
        <v>54</v>
      </c>
      <c r="C275" s="19" t="s">
        <v>1167</v>
      </c>
      <c r="D275" s="20" t="s">
        <v>1385</v>
      </c>
      <c r="E275" s="21">
        <v>3300</v>
      </c>
      <c r="F275" s="22"/>
      <c r="G275" s="23">
        <v>120267</v>
      </c>
      <c r="H275" s="23">
        <v>0</v>
      </c>
      <c r="I275" s="23">
        <v>120267</v>
      </c>
      <c r="J275" s="23">
        <v>0</v>
      </c>
      <c r="K275" s="24">
        <v>0</v>
      </c>
    </row>
    <row r="276" spans="1:11" x14ac:dyDescent="0.25">
      <c r="A276" s="11">
        <v>46042</v>
      </c>
      <c r="B276" s="12">
        <v>54</v>
      </c>
      <c r="C276" s="12" t="s">
        <v>1167</v>
      </c>
      <c r="D276" s="13" t="s">
        <v>1385</v>
      </c>
      <c r="E276" s="14">
        <v>3450</v>
      </c>
      <c r="F276" s="15"/>
      <c r="G276" s="16">
        <v>125733</v>
      </c>
      <c r="H276" s="16">
        <v>0</v>
      </c>
      <c r="I276" s="16">
        <v>246000</v>
      </c>
      <c r="J276" s="16">
        <v>0</v>
      </c>
      <c r="K276" s="17">
        <v>0</v>
      </c>
    </row>
    <row r="277" spans="1:11" x14ac:dyDescent="0.25">
      <c r="A277" s="18">
        <v>46043</v>
      </c>
      <c r="B277" s="19">
        <v>54</v>
      </c>
      <c r="C277" s="19" t="s">
        <v>1167</v>
      </c>
      <c r="D277" s="20" t="s">
        <v>1384</v>
      </c>
      <c r="E277" s="21"/>
      <c r="F277" s="22">
        <v>246000</v>
      </c>
      <c r="G277" s="23"/>
      <c r="H277" s="23">
        <v>0</v>
      </c>
      <c r="I277" s="23">
        <v>0</v>
      </c>
      <c r="J277" s="23">
        <v>0</v>
      </c>
      <c r="K277" s="24">
        <v>0</v>
      </c>
    </row>
    <row r="278" spans="1:11" x14ac:dyDescent="0.25">
      <c r="A278" s="11">
        <v>46062</v>
      </c>
      <c r="B278" s="12">
        <v>54</v>
      </c>
      <c r="C278" s="12" t="s">
        <v>1167</v>
      </c>
      <c r="D278" s="13" t="s">
        <v>1385</v>
      </c>
      <c r="E278" s="14">
        <v>3450</v>
      </c>
      <c r="F278" s="15"/>
      <c r="G278" s="16">
        <v>125733</v>
      </c>
      <c r="H278" s="16">
        <v>0</v>
      </c>
      <c r="I278" s="16">
        <v>125733</v>
      </c>
      <c r="J278" s="16">
        <v>0</v>
      </c>
      <c r="K278" s="17">
        <v>0</v>
      </c>
    </row>
    <row r="279" spans="1:11" x14ac:dyDescent="0.25">
      <c r="A279" s="18">
        <v>46062</v>
      </c>
      <c r="B279" s="19">
        <v>54</v>
      </c>
      <c r="C279" s="19" t="s">
        <v>1167</v>
      </c>
      <c r="D279" s="20" t="s">
        <v>1385</v>
      </c>
      <c r="E279" s="21">
        <v>3300</v>
      </c>
      <c r="F279" s="22"/>
      <c r="G279" s="23">
        <v>120267</v>
      </c>
      <c r="H279" s="23">
        <v>0</v>
      </c>
      <c r="I279" s="23">
        <v>246000</v>
      </c>
      <c r="J279" s="23">
        <v>0</v>
      </c>
      <c r="K279" s="24">
        <v>0</v>
      </c>
    </row>
    <row r="280" spans="1:11" x14ac:dyDescent="0.25">
      <c r="A280" s="11">
        <v>46071</v>
      </c>
      <c r="B280" s="12">
        <v>54</v>
      </c>
      <c r="C280" s="12" t="s">
        <v>1167</v>
      </c>
      <c r="D280" s="13" t="s">
        <v>1384</v>
      </c>
      <c r="E280" s="14"/>
      <c r="F280" s="15">
        <v>246000</v>
      </c>
      <c r="G280" s="16"/>
      <c r="H280" s="16">
        <v>0</v>
      </c>
      <c r="I280" s="16">
        <v>0</v>
      </c>
      <c r="J280" s="16">
        <v>0</v>
      </c>
      <c r="K280" s="17">
        <v>0</v>
      </c>
    </row>
    <row r="281" spans="1:11" x14ac:dyDescent="0.25">
      <c r="A281" s="18">
        <v>46039</v>
      </c>
      <c r="B281" s="19">
        <v>56</v>
      </c>
      <c r="C281" s="19" t="s">
        <v>1159</v>
      </c>
      <c r="D281" s="20"/>
      <c r="E281" s="21"/>
      <c r="F281" s="22"/>
      <c r="G281" s="23">
        <v>174000</v>
      </c>
      <c r="H281" s="23">
        <v>0</v>
      </c>
      <c r="I281" s="23">
        <v>174000</v>
      </c>
      <c r="J281" s="23">
        <v>0</v>
      </c>
      <c r="K281" s="24">
        <v>0</v>
      </c>
    </row>
    <row r="282" spans="1:11" x14ac:dyDescent="0.25">
      <c r="A282" s="11">
        <v>46051</v>
      </c>
      <c r="B282" s="12">
        <v>56</v>
      </c>
      <c r="C282" s="12" t="s">
        <v>1159</v>
      </c>
      <c r="D282" s="13" t="s">
        <v>1385</v>
      </c>
      <c r="E282" s="14">
        <v>4500</v>
      </c>
      <c r="F282" s="15"/>
      <c r="G282" s="16">
        <v>130500</v>
      </c>
      <c r="H282" s="16">
        <v>0</v>
      </c>
      <c r="I282" s="16">
        <v>304500</v>
      </c>
      <c r="J282" s="16">
        <v>0</v>
      </c>
      <c r="K282" s="17">
        <v>0</v>
      </c>
    </row>
    <row r="283" spans="1:11" x14ac:dyDescent="0.25">
      <c r="A283" s="18">
        <v>46051</v>
      </c>
      <c r="B283" s="19">
        <v>56</v>
      </c>
      <c r="C283" s="19" t="s">
        <v>1397</v>
      </c>
      <c r="D283" s="20" t="s">
        <v>1385</v>
      </c>
      <c r="E283" s="21">
        <v>1500</v>
      </c>
      <c r="F283" s="22"/>
      <c r="G283" s="23">
        <v>43500</v>
      </c>
      <c r="H283" s="23">
        <v>0</v>
      </c>
      <c r="I283" s="23">
        <v>348000</v>
      </c>
      <c r="J283" s="23">
        <v>0</v>
      </c>
      <c r="K283" s="24">
        <v>0</v>
      </c>
    </row>
    <row r="284" spans="1:11" x14ac:dyDescent="0.25">
      <c r="A284" s="11">
        <v>46056</v>
      </c>
      <c r="B284" s="12">
        <v>56</v>
      </c>
      <c r="C284" s="12" t="s">
        <v>1159</v>
      </c>
      <c r="D284" s="13" t="s">
        <v>1384</v>
      </c>
      <c r="E284" s="14"/>
      <c r="F284" s="15">
        <v>348000</v>
      </c>
      <c r="G284" s="16"/>
      <c r="H284" s="16">
        <v>0</v>
      </c>
      <c r="I284" s="16">
        <v>0</v>
      </c>
      <c r="J284" s="16">
        <v>0</v>
      </c>
      <c r="K284" s="17">
        <v>0</v>
      </c>
    </row>
    <row r="285" spans="1:11" x14ac:dyDescent="0.25">
      <c r="A285" s="18">
        <v>46066</v>
      </c>
      <c r="B285" s="19">
        <v>56</v>
      </c>
      <c r="C285" s="19" t="s">
        <v>1159</v>
      </c>
      <c r="D285" s="20" t="s">
        <v>1385</v>
      </c>
      <c r="E285" s="21">
        <v>4500</v>
      </c>
      <c r="F285" s="22"/>
      <c r="G285" s="23">
        <v>130500</v>
      </c>
      <c r="H285" s="23">
        <v>0</v>
      </c>
      <c r="I285" s="23">
        <v>130500</v>
      </c>
      <c r="J285" s="23">
        <v>0</v>
      </c>
      <c r="K285" s="24">
        <v>0</v>
      </c>
    </row>
    <row r="286" spans="1:11" x14ac:dyDescent="0.25">
      <c r="A286" s="11">
        <v>46066</v>
      </c>
      <c r="B286" s="12">
        <v>56</v>
      </c>
      <c r="C286" s="12" t="s">
        <v>1397</v>
      </c>
      <c r="D286" s="13" t="s">
        <v>1385</v>
      </c>
      <c r="E286" s="14">
        <v>1500</v>
      </c>
      <c r="F286" s="15"/>
      <c r="G286" s="16">
        <v>43500</v>
      </c>
      <c r="H286" s="16">
        <v>0</v>
      </c>
      <c r="I286" s="16">
        <v>174000</v>
      </c>
      <c r="J286" s="16">
        <v>0</v>
      </c>
      <c r="K286" s="17">
        <v>174000</v>
      </c>
    </row>
    <row r="287" spans="1:11" x14ac:dyDescent="0.25">
      <c r="A287" s="18">
        <v>46040</v>
      </c>
      <c r="B287" s="19">
        <v>61</v>
      </c>
      <c r="C287" s="19" t="s">
        <v>1142</v>
      </c>
      <c r="D287" s="20" t="s">
        <v>1385</v>
      </c>
      <c r="E287" s="21">
        <v>8100</v>
      </c>
      <c r="F287" s="22"/>
      <c r="G287" s="23">
        <v>210600</v>
      </c>
      <c r="H287" s="23">
        <v>0</v>
      </c>
      <c r="I287" s="23">
        <v>210600</v>
      </c>
      <c r="J287" s="23">
        <v>0</v>
      </c>
      <c r="K287" s="24">
        <v>0</v>
      </c>
    </row>
    <row r="288" spans="1:11" x14ac:dyDescent="0.25">
      <c r="A288" s="11">
        <v>46043</v>
      </c>
      <c r="B288" s="12">
        <v>61</v>
      </c>
      <c r="C288" s="12" t="s">
        <v>1142</v>
      </c>
      <c r="D288" s="13" t="s">
        <v>1384</v>
      </c>
      <c r="E288" s="14"/>
      <c r="F288" s="15">
        <v>210600</v>
      </c>
      <c r="G288" s="16"/>
      <c r="H288" s="16">
        <v>0</v>
      </c>
      <c r="I288" s="16">
        <v>0</v>
      </c>
      <c r="J288" s="16">
        <v>0</v>
      </c>
      <c r="K288" s="17">
        <v>0</v>
      </c>
    </row>
    <row r="289" spans="1:11" x14ac:dyDescent="0.25">
      <c r="A289" s="18">
        <v>46055</v>
      </c>
      <c r="B289" s="19">
        <v>61</v>
      </c>
      <c r="C289" s="19" t="s">
        <v>1142</v>
      </c>
      <c r="D289" s="20" t="s">
        <v>1385</v>
      </c>
      <c r="E289" s="21">
        <v>8100</v>
      </c>
      <c r="F289" s="22"/>
      <c r="G289" s="23">
        <v>210600</v>
      </c>
      <c r="H289" s="23">
        <v>0</v>
      </c>
      <c r="I289" s="23">
        <v>210600</v>
      </c>
      <c r="J289" s="23">
        <v>0</v>
      </c>
      <c r="K289" s="24">
        <v>0</v>
      </c>
    </row>
    <row r="290" spans="1:11" x14ac:dyDescent="0.25">
      <c r="A290" s="11">
        <v>46058</v>
      </c>
      <c r="B290" s="12">
        <v>61</v>
      </c>
      <c r="C290" s="12" t="s">
        <v>1142</v>
      </c>
      <c r="D290" s="13" t="s">
        <v>1384</v>
      </c>
      <c r="E290" s="14"/>
      <c r="F290" s="15">
        <v>210600</v>
      </c>
      <c r="G290" s="16"/>
      <c r="H290" s="16">
        <v>0</v>
      </c>
      <c r="I290" s="16">
        <v>0</v>
      </c>
      <c r="J290" s="16">
        <v>0</v>
      </c>
      <c r="K290" s="17">
        <v>0</v>
      </c>
    </row>
    <row r="291" spans="1:11" x14ac:dyDescent="0.25">
      <c r="A291" s="18">
        <v>46070</v>
      </c>
      <c r="B291" s="19">
        <v>61</v>
      </c>
      <c r="C291" s="19" t="s">
        <v>1142</v>
      </c>
      <c r="D291" s="20" t="s">
        <v>1385</v>
      </c>
      <c r="E291" s="21">
        <v>8100</v>
      </c>
      <c r="F291" s="22"/>
      <c r="G291" s="23">
        <v>210600</v>
      </c>
      <c r="H291" s="23">
        <v>0</v>
      </c>
      <c r="I291" s="23">
        <v>210600</v>
      </c>
      <c r="J291" s="23">
        <v>0</v>
      </c>
      <c r="K291" s="24">
        <v>210600</v>
      </c>
    </row>
    <row r="292" spans="1:11" x14ac:dyDescent="0.25">
      <c r="A292" s="11">
        <v>46041</v>
      </c>
      <c r="B292" s="12">
        <v>63</v>
      </c>
      <c r="C292" s="12" t="s">
        <v>1137</v>
      </c>
      <c r="D292" s="13" t="s">
        <v>1385</v>
      </c>
      <c r="E292" s="14">
        <v>12600</v>
      </c>
      <c r="F292" s="15"/>
      <c r="G292" s="16">
        <v>340200</v>
      </c>
      <c r="H292" s="16">
        <v>0</v>
      </c>
      <c r="I292" s="16">
        <v>340200</v>
      </c>
      <c r="J292" s="16">
        <v>0</v>
      </c>
      <c r="K292" s="17">
        <v>0</v>
      </c>
    </row>
    <row r="293" spans="1:11" x14ac:dyDescent="0.25">
      <c r="A293" s="18">
        <v>46043</v>
      </c>
      <c r="B293" s="19">
        <v>63</v>
      </c>
      <c r="C293" s="19" t="s">
        <v>1137</v>
      </c>
      <c r="D293" s="20" t="s">
        <v>1387</v>
      </c>
      <c r="E293" s="21"/>
      <c r="F293" s="22">
        <v>340200</v>
      </c>
      <c r="G293" s="23"/>
      <c r="H293" s="23">
        <v>0</v>
      </c>
      <c r="I293" s="23">
        <v>0</v>
      </c>
      <c r="J293" s="23">
        <v>0</v>
      </c>
      <c r="K293" s="24">
        <v>0</v>
      </c>
    </row>
    <row r="294" spans="1:11" x14ac:dyDescent="0.25">
      <c r="A294" s="11">
        <v>46056</v>
      </c>
      <c r="B294" s="12">
        <v>63</v>
      </c>
      <c r="C294" s="12" t="s">
        <v>1137</v>
      </c>
      <c r="D294" s="13" t="s">
        <v>1385</v>
      </c>
      <c r="E294" s="14">
        <v>12600</v>
      </c>
      <c r="F294" s="15"/>
      <c r="G294" s="16">
        <v>340200</v>
      </c>
      <c r="H294" s="16">
        <v>0</v>
      </c>
      <c r="I294" s="16">
        <v>340200</v>
      </c>
      <c r="J294" s="16">
        <v>0</v>
      </c>
      <c r="K294" s="17">
        <v>0</v>
      </c>
    </row>
    <row r="295" spans="1:11" x14ac:dyDescent="0.25">
      <c r="A295" s="18">
        <v>46059</v>
      </c>
      <c r="B295" s="19">
        <v>63</v>
      </c>
      <c r="C295" s="19" t="s">
        <v>1137</v>
      </c>
      <c r="D295" s="20" t="s">
        <v>1384</v>
      </c>
      <c r="E295" s="21"/>
      <c r="F295" s="22">
        <v>305200</v>
      </c>
      <c r="G295" s="23"/>
      <c r="H295" s="23">
        <v>0</v>
      </c>
      <c r="I295" s="23">
        <v>35000</v>
      </c>
      <c r="J295" s="23">
        <v>0</v>
      </c>
      <c r="K295" s="24">
        <v>0</v>
      </c>
    </row>
    <row r="296" spans="1:11" x14ac:dyDescent="0.25">
      <c r="A296" s="11">
        <v>46071</v>
      </c>
      <c r="B296" s="12">
        <v>63</v>
      </c>
      <c r="C296" s="12" t="s">
        <v>1137</v>
      </c>
      <c r="D296" s="13" t="s">
        <v>1385</v>
      </c>
      <c r="E296" s="14">
        <v>3220</v>
      </c>
      <c r="F296" s="15"/>
      <c r="G296" s="16">
        <v>86940</v>
      </c>
      <c r="H296" s="16">
        <v>0</v>
      </c>
      <c r="I296" s="16">
        <v>121940</v>
      </c>
      <c r="J296" s="16">
        <v>0</v>
      </c>
      <c r="K296" s="17">
        <v>0</v>
      </c>
    </row>
    <row r="297" spans="1:11" x14ac:dyDescent="0.25">
      <c r="A297" s="18">
        <v>46071</v>
      </c>
      <c r="B297" s="19">
        <v>63</v>
      </c>
      <c r="C297" s="19" t="s">
        <v>1137</v>
      </c>
      <c r="D297" s="20" t="s">
        <v>1385</v>
      </c>
      <c r="E297" s="21">
        <v>3080</v>
      </c>
      <c r="F297" s="22"/>
      <c r="G297" s="23">
        <v>83160</v>
      </c>
      <c r="H297" s="23">
        <v>0</v>
      </c>
      <c r="I297" s="23">
        <v>205100</v>
      </c>
      <c r="J297" s="23">
        <v>0</v>
      </c>
      <c r="K297" s="24">
        <v>0</v>
      </c>
    </row>
    <row r="298" spans="1:11" x14ac:dyDescent="0.25">
      <c r="A298" s="11">
        <v>46071</v>
      </c>
      <c r="B298" s="12">
        <v>63</v>
      </c>
      <c r="C298" s="12" t="s">
        <v>1398</v>
      </c>
      <c r="D298" s="13" t="s">
        <v>1385</v>
      </c>
      <c r="E298" s="14">
        <v>3220</v>
      </c>
      <c r="F298" s="15"/>
      <c r="G298" s="16">
        <v>86940</v>
      </c>
      <c r="H298" s="16">
        <v>0</v>
      </c>
      <c r="I298" s="16">
        <v>292040</v>
      </c>
      <c r="J298" s="16">
        <v>0</v>
      </c>
      <c r="K298" s="17">
        <v>0</v>
      </c>
    </row>
    <row r="299" spans="1:11" x14ac:dyDescent="0.25">
      <c r="A299" s="18">
        <v>46071</v>
      </c>
      <c r="B299" s="19">
        <v>63</v>
      </c>
      <c r="C299" s="19" t="s">
        <v>1398</v>
      </c>
      <c r="D299" s="20" t="s">
        <v>1385</v>
      </c>
      <c r="E299" s="21">
        <v>3080</v>
      </c>
      <c r="F299" s="22"/>
      <c r="G299" s="23">
        <v>83160</v>
      </c>
      <c r="H299" s="23">
        <v>0</v>
      </c>
      <c r="I299" s="23">
        <v>375200</v>
      </c>
      <c r="J299" s="23">
        <v>0</v>
      </c>
      <c r="K299" s="24">
        <v>375200</v>
      </c>
    </row>
    <row r="300" spans="1:11" x14ac:dyDescent="0.25">
      <c r="A300" s="11">
        <v>46039</v>
      </c>
      <c r="B300" s="12">
        <v>64</v>
      </c>
      <c r="C300" s="12" t="s">
        <v>1133</v>
      </c>
      <c r="D300" s="13"/>
      <c r="E300" s="14"/>
      <c r="F300" s="15"/>
      <c r="G300" s="16">
        <v>99000</v>
      </c>
      <c r="H300" s="16">
        <v>0</v>
      </c>
      <c r="I300" s="16">
        <v>99000</v>
      </c>
      <c r="J300" s="16">
        <v>0</v>
      </c>
      <c r="K300" s="17">
        <v>0</v>
      </c>
    </row>
    <row r="301" spans="1:11" x14ac:dyDescent="0.25">
      <c r="A301" s="18">
        <v>46041</v>
      </c>
      <c r="B301" s="19">
        <v>64</v>
      </c>
      <c r="C301" s="19" t="s">
        <v>1133</v>
      </c>
      <c r="D301" s="20" t="s">
        <v>1384</v>
      </c>
      <c r="E301" s="21"/>
      <c r="F301" s="22">
        <v>99000</v>
      </c>
      <c r="G301" s="23"/>
      <c r="H301" s="23">
        <v>0</v>
      </c>
      <c r="I301" s="23">
        <v>0</v>
      </c>
      <c r="J301" s="23">
        <v>0</v>
      </c>
      <c r="K301" s="24">
        <v>0</v>
      </c>
    </row>
    <row r="302" spans="1:11" x14ac:dyDescent="0.25">
      <c r="A302" s="11">
        <v>46051</v>
      </c>
      <c r="B302" s="12">
        <v>64</v>
      </c>
      <c r="C302" s="12" t="s">
        <v>1133</v>
      </c>
      <c r="D302" s="13" t="s">
        <v>1390</v>
      </c>
      <c r="E302" s="14"/>
      <c r="F302" s="15">
        <v>99500</v>
      </c>
      <c r="G302" s="16"/>
      <c r="H302" s="16">
        <v>99500</v>
      </c>
      <c r="I302" s="16">
        <v>0</v>
      </c>
      <c r="J302" s="16">
        <v>0</v>
      </c>
      <c r="K302" s="17">
        <v>0</v>
      </c>
    </row>
    <row r="303" spans="1:11" x14ac:dyDescent="0.25">
      <c r="A303" s="18">
        <v>46051</v>
      </c>
      <c r="B303" s="19">
        <v>64</v>
      </c>
      <c r="C303" s="19" t="s">
        <v>1133</v>
      </c>
      <c r="D303" s="20" t="s">
        <v>1385</v>
      </c>
      <c r="E303" s="21">
        <v>3300</v>
      </c>
      <c r="F303" s="22"/>
      <c r="G303" s="23">
        <v>99500</v>
      </c>
      <c r="H303" s="23">
        <v>0</v>
      </c>
      <c r="I303" s="23">
        <v>0</v>
      </c>
      <c r="J303" s="23">
        <v>0</v>
      </c>
      <c r="K303" s="24">
        <v>0</v>
      </c>
    </row>
    <row r="304" spans="1:11" x14ac:dyDescent="0.25">
      <c r="A304" s="11">
        <v>46069</v>
      </c>
      <c r="B304" s="12">
        <v>64</v>
      </c>
      <c r="C304" s="12" t="s">
        <v>1133</v>
      </c>
      <c r="D304" s="13" t="s">
        <v>1385</v>
      </c>
      <c r="E304" s="14">
        <v>3300</v>
      </c>
      <c r="F304" s="15"/>
      <c r="G304" s="16">
        <v>99500</v>
      </c>
      <c r="H304" s="16">
        <v>0</v>
      </c>
      <c r="I304" s="16">
        <v>99500</v>
      </c>
      <c r="J304" s="16">
        <v>0</v>
      </c>
      <c r="K304" s="17">
        <v>0</v>
      </c>
    </row>
    <row r="305" spans="1:11" x14ac:dyDescent="0.25">
      <c r="A305" s="18">
        <v>46069</v>
      </c>
      <c r="B305" s="19">
        <v>64</v>
      </c>
      <c r="C305" s="19" t="s">
        <v>1133</v>
      </c>
      <c r="D305" s="20" t="s">
        <v>1390</v>
      </c>
      <c r="E305" s="21"/>
      <c r="F305" s="22">
        <v>99500</v>
      </c>
      <c r="G305" s="23"/>
      <c r="H305" s="23">
        <v>0</v>
      </c>
      <c r="I305" s="23">
        <v>0</v>
      </c>
      <c r="J305" s="23">
        <v>0</v>
      </c>
      <c r="K305" s="24">
        <v>0</v>
      </c>
    </row>
    <row r="306" spans="1:11" x14ac:dyDescent="0.25">
      <c r="A306" s="11">
        <v>46039</v>
      </c>
      <c r="B306" s="12">
        <v>66</v>
      </c>
      <c r="C306" s="12" t="s">
        <v>1125</v>
      </c>
      <c r="D306" s="13"/>
      <c r="E306" s="14"/>
      <c r="F306" s="15"/>
      <c r="G306" s="16">
        <v>97200</v>
      </c>
      <c r="H306" s="16">
        <v>0</v>
      </c>
      <c r="I306" s="16">
        <v>97200</v>
      </c>
      <c r="J306" s="16">
        <v>0</v>
      </c>
      <c r="K306" s="17">
        <v>0</v>
      </c>
    </row>
    <row r="307" spans="1:11" x14ac:dyDescent="0.25">
      <c r="A307" s="18">
        <v>46041</v>
      </c>
      <c r="B307" s="19">
        <v>66</v>
      </c>
      <c r="C307" s="19" t="s">
        <v>1125</v>
      </c>
      <c r="D307" s="20" t="s">
        <v>1385</v>
      </c>
      <c r="E307" s="21">
        <v>3360</v>
      </c>
      <c r="F307" s="22"/>
      <c r="G307" s="23">
        <v>104400</v>
      </c>
      <c r="H307" s="23">
        <v>0</v>
      </c>
      <c r="I307" s="23">
        <v>201600</v>
      </c>
      <c r="J307" s="23">
        <v>0</v>
      </c>
      <c r="K307" s="24">
        <v>0</v>
      </c>
    </row>
    <row r="308" spans="1:11" x14ac:dyDescent="0.25">
      <c r="A308" s="11">
        <v>46041</v>
      </c>
      <c r="B308" s="12">
        <v>66</v>
      </c>
      <c r="C308" s="12" t="s">
        <v>1125</v>
      </c>
      <c r="D308" s="13" t="s">
        <v>1399</v>
      </c>
      <c r="E308" s="14"/>
      <c r="F308" s="15">
        <v>201600</v>
      </c>
      <c r="G308" s="16"/>
      <c r="H308" s="16">
        <v>0</v>
      </c>
      <c r="I308" s="16">
        <v>0</v>
      </c>
      <c r="J308" s="16">
        <v>0</v>
      </c>
      <c r="K308" s="17">
        <v>0</v>
      </c>
    </row>
    <row r="309" spans="1:11" x14ac:dyDescent="0.25">
      <c r="A309" s="18">
        <v>46052</v>
      </c>
      <c r="B309" s="19">
        <v>66</v>
      </c>
      <c r="C309" s="19" t="s">
        <v>1125</v>
      </c>
      <c r="D309" s="20" t="s">
        <v>1385</v>
      </c>
      <c r="E309" s="21">
        <v>6160</v>
      </c>
      <c r="F309" s="22"/>
      <c r="G309" s="23">
        <v>184800</v>
      </c>
      <c r="H309" s="23">
        <v>0</v>
      </c>
      <c r="I309" s="23">
        <v>184800</v>
      </c>
      <c r="J309" s="23">
        <v>0</v>
      </c>
      <c r="K309" s="24">
        <v>0</v>
      </c>
    </row>
    <row r="310" spans="1:11" x14ac:dyDescent="0.25">
      <c r="A310" s="11">
        <v>46058</v>
      </c>
      <c r="B310" s="12">
        <v>66</v>
      </c>
      <c r="C310" s="12" t="s">
        <v>1125</v>
      </c>
      <c r="D310" s="13" t="s">
        <v>1399</v>
      </c>
      <c r="E310" s="14"/>
      <c r="F310" s="15">
        <v>184800</v>
      </c>
      <c r="G310" s="16"/>
      <c r="H310" s="16">
        <v>0</v>
      </c>
      <c r="I310" s="16">
        <v>0</v>
      </c>
      <c r="J310" s="16">
        <v>0</v>
      </c>
      <c r="K310" s="17">
        <v>0</v>
      </c>
    </row>
    <row r="311" spans="1:11" x14ac:dyDescent="0.25">
      <c r="A311" s="18">
        <v>46065</v>
      </c>
      <c r="B311" s="19">
        <v>66</v>
      </c>
      <c r="C311" s="19" t="s">
        <v>1125</v>
      </c>
      <c r="D311" s="20" t="s">
        <v>1399</v>
      </c>
      <c r="E311" s="21"/>
      <c r="F311" s="22">
        <v>184800</v>
      </c>
      <c r="G311" s="23"/>
      <c r="H311" s="23">
        <v>184800</v>
      </c>
      <c r="I311" s="23">
        <v>0</v>
      </c>
      <c r="J311" s="23">
        <v>0</v>
      </c>
      <c r="K311" s="24">
        <v>0</v>
      </c>
    </row>
    <row r="312" spans="1:11" x14ac:dyDescent="0.25">
      <c r="A312" s="11">
        <v>46065</v>
      </c>
      <c r="B312" s="12">
        <v>66</v>
      </c>
      <c r="C312" s="12" t="s">
        <v>1125</v>
      </c>
      <c r="D312" s="13" t="s">
        <v>1385</v>
      </c>
      <c r="E312" s="14">
        <v>880</v>
      </c>
      <c r="F312" s="15"/>
      <c r="G312" s="16">
        <v>0</v>
      </c>
      <c r="H312" s="16">
        <v>184800</v>
      </c>
      <c r="I312" s="16">
        <v>0</v>
      </c>
      <c r="J312" s="16">
        <v>0</v>
      </c>
      <c r="K312" s="17">
        <v>0</v>
      </c>
    </row>
    <row r="313" spans="1:11" x14ac:dyDescent="0.25">
      <c r="A313" s="18">
        <v>46065</v>
      </c>
      <c r="B313" s="19">
        <v>66</v>
      </c>
      <c r="C313" s="19" t="s">
        <v>1125</v>
      </c>
      <c r="D313" s="20" t="s">
        <v>1385</v>
      </c>
      <c r="E313" s="21">
        <v>6160</v>
      </c>
      <c r="F313" s="22"/>
      <c r="G313" s="23">
        <v>184800</v>
      </c>
      <c r="H313" s="23">
        <v>0</v>
      </c>
      <c r="I313" s="23">
        <v>0</v>
      </c>
      <c r="J313" s="23">
        <v>0</v>
      </c>
      <c r="K313" s="24">
        <v>0</v>
      </c>
    </row>
    <row r="314" spans="1:11" x14ac:dyDescent="0.25">
      <c r="A314" s="11">
        <v>46048</v>
      </c>
      <c r="B314" s="12">
        <v>67</v>
      </c>
      <c r="C314" s="12" t="s">
        <v>1121</v>
      </c>
      <c r="D314" s="13" t="s">
        <v>1385</v>
      </c>
      <c r="E314" s="14">
        <v>3720</v>
      </c>
      <c r="F314" s="15"/>
      <c r="G314" s="16">
        <v>159600</v>
      </c>
      <c r="H314" s="16">
        <v>0</v>
      </c>
      <c r="I314" s="16">
        <v>159600</v>
      </c>
      <c r="J314" s="16">
        <v>0</v>
      </c>
      <c r="K314" s="17">
        <v>0</v>
      </c>
    </row>
    <row r="315" spans="1:11" x14ac:dyDescent="0.25">
      <c r="A315" s="18">
        <v>46056</v>
      </c>
      <c r="B315" s="19">
        <v>67</v>
      </c>
      <c r="C315" s="19" t="s">
        <v>1121</v>
      </c>
      <c r="D315" s="20" t="s">
        <v>1384</v>
      </c>
      <c r="E315" s="21"/>
      <c r="F315" s="22">
        <v>160000</v>
      </c>
      <c r="G315" s="23"/>
      <c r="H315" s="23">
        <v>400</v>
      </c>
      <c r="I315" s="23">
        <v>0</v>
      </c>
      <c r="J315" s="23">
        <v>400</v>
      </c>
      <c r="K315" s="24">
        <v>0</v>
      </c>
    </row>
    <row r="316" spans="1:11" x14ac:dyDescent="0.25">
      <c r="A316" s="11">
        <v>46041</v>
      </c>
      <c r="B316" s="12">
        <v>68</v>
      </c>
      <c r="C316" s="12" t="s">
        <v>1117</v>
      </c>
      <c r="D316" s="13" t="s">
        <v>1385</v>
      </c>
      <c r="E316" s="14">
        <v>4800</v>
      </c>
      <c r="F316" s="15"/>
      <c r="G316" s="16">
        <v>182400</v>
      </c>
      <c r="H316" s="16">
        <v>0</v>
      </c>
      <c r="I316" s="16">
        <v>182400</v>
      </c>
      <c r="J316" s="16">
        <v>0</v>
      </c>
      <c r="K316" s="17">
        <v>0</v>
      </c>
    </row>
    <row r="317" spans="1:11" x14ac:dyDescent="0.25">
      <c r="A317" s="18">
        <v>46041</v>
      </c>
      <c r="B317" s="19">
        <v>68</v>
      </c>
      <c r="C317" s="19" t="s">
        <v>1117</v>
      </c>
      <c r="D317" s="20" t="s">
        <v>1384</v>
      </c>
      <c r="E317" s="21"/>
      <c r="F317" s="22">
        <v>182400</v>
      </c>
      <c r="G317" s="23"/>
      <c r="H317" s="23">
        <v>0</v>
      </c>
      <c r="I317" s="23">
        <v>0</v>
      </c>
      <c r="J317" s="23">
        <v>0</v>
      </c>
      <c r="K317" s="24">
        <v>0</v>
      </c>
    </row>
    <row r="318" spans="1:11" x14ac:dyDescent="0.25">
      <c r="A318" s="11">
        <v>46056</v>
      </c>
      <c r="B318" s="12">
        <v>68</v>
      </c>
      <c r="C318" s="12" t="s">
        <v>1117</v>
      </c>
      <c r="D318" s="13" t="s">
        <v>1385</v>
      </c>
      <c r="E318" s="14">
        <v>4800</v>
      </c>
      <c r="F318" s="15"/>
      <c r="G318" s="16">
        <v>182400</v>
      </c>
      <c r="H318" s="16">
        <v>0</v>
      </c>
      <c r="I318" s="16">
        <v>182400</v>
      </c>
      <c r="J318" s="16">
        <v>0</v>
      </c>
      <c r="K318" s="17">
        <v>0</v>
      </c>
    </row>
    <row r="319" spans="1:11" x14ac:dyDescent="0.25">
      <c r="A319" s="18">
        <v>46056</v>
      </c>
      <c r="B319" s="19">
        <v>68</v>
      </c>
      <c r="C319" s="19" t="s">
        <v>1117</v>
      </c>
      <c r="D319" s="20" t="s">
        <v>1384</v>
      </c>
      <c r="E319" s="21"/>
      <c r="F319" s="22">
        <v>182400</v>
      </c>
      <c r="G319" s="23"/>
      <c r="H319" s="23">
        <v>0</v>
      </c>
      <c r="I319" s="23">
        <v>0</v>
      </c>
      <c r="J319" s="23">
        <v>0</v>
      </c>
      <c r="K319" s="24">
        <v>0</v>
      </c>
    </row>
    <row r="320" spans="1:11" x14ac:dyDescent="0.25">
      <c r="A320" s="11">
        <v>46039</v>
      </c>
      <c r="B320" s="12">
        <v>69</v>
      </c>
      <c r="C320" s="12" t="s">
        <v>1113</v>
      </c>
      <c r="D320" s="13"/>
      <c r="E320" s="14"/>
      <c r="F320" s="15"/>
      <c r="G320" s="16">
        <v>484000</v>
      </c>
      <c r="H320" s="16">
        <v>0</v>
      </c>
      <c r="I320" s="16">
        <v>484000</v>
      </c>
      <c r="J320" s="16">
        <v>0</v>
      </c>
      <c r="K320" s="17">
        <v>0</v>
      </c>
    </row>
    <row r="321" spans="1:11" x14ac:dyDescent="0.25">
      <c r="A321" s="18">
        <v>46045</v>
      </c>
      <c r="B321" s="19">
        <v>69</v>
      </c>
      <c r="C321" s="19" t="s">
        <v>1113</v>
      </c>
      <c r="D321" s="20" t="s">
        <v>1385</v>
      </c>
      <c r="E321" s="21">
        <v>4500</v>
      </c>
      <c r="F321" s="22"/>
      <c r="G321" s="23">
        <v>157500</v>
      </c>
      <c r="H321" s="23">
        <v>0</v>
      </c>
      <c r="I321" s="23">
        <v>641500</v>
      </c>
      <c r="J321" s="23">
        <v>0</v>
      </c>
      <c r="K321" s="24">
        <v>0</v>
      </c>
    </row>
    <row r="322" spans="1:11" x14ac:dyDescent="0.25">
      <c r="A322" s="11">
        <v>46063</v>
      </c>
      <c r="B322" s="12">
        <v>69</v>
      </c>
      <c r="C322" s="12" t="s">
        <v>1113</v>
      </c>
      <c r="D322" s="13" t="s">
        <v>1385</v>
      </c>
      <c r="E322" s="14">
        <v>4500</v>
      </c>
      <c r="F322" s="15"/>
      <c r="G322" s="16">
        <v>157500</v>
      </c>
      <c r="H322" s="16">
        <v>0</v>
      </c>
      <c r="I322" s="16">
        <v>799000</v>
      </c>
      <c r="J322" s="16">
        <v>0</v>
      </c>
      <c r="K322" s="17">
        <v>799000</v>
      </c>
    </row>
    <row r="323" spans="1:11" x14ac:dyDescent="0.25">
      <c r="A323" s="18">
        <v>46056</v>
      </c>
      <c r="B323" s="19">
        <v>71</v>
      </c>
      <c r="C323" s="19" t="s">
        <v>1103</v>
      </c>
      <c r="D323" s="20" t="s">
        <v>1385</v>
      </c>
      <c r="E323" s="21">
        <v>5400</v>
      </c>
      <c r="F323" s="22"/>
      <c r="G323" s="23">
        <v>172500</v>
      </c>
      <c r="H323" s="23">
        <v>0</v>
      </c>
      <c r="I323" s="23">
        <v>172500</v>
      </c>
      <c r="J323" s="23">
        <v>0</v>
      </c>
      <c r="K323" s="24">
        <v>0</v>
      </c>
    </row>
    <row r="324" spans="1:11" x14ac:dyDescent="0.25">
      <c r="A324" s="11">
        <v>46057</v>
      </c>
      <c r="B324" s="12">
        <v>71</v>
      </c>
      <c r="C324" s="12" t="s">
        <v>1103</v>
      </c>
      <c r="D324" s="13" t="s">
        <v>1384</v>
      </c>
      <c r="E324" s="14"/>
      <c r="F324" s="15">
        <v>161000</v>
      </c>
      <c r="G324" s="16"/>
      <c r="H324" s="16">
        <v>0</v>
      </c>
      <c r="I324" s="16">
        <v>11500</v>
      </c>
      <c r="J324" s="16">
        <v>0</v>
      </c>
      <c r="K324" s="17">
        <v>0</v>
      </c>
    </row>
    <row r="325" spans="1:11" x14ac:dyDescent="0.25">
      <c r="A325" s="18">
        <v>46066</v>
      </c>
      <c r="B325" s="19">
        <v>71</v>
      </c>
      <c r="C325" s="19" t="s">
        <v>1103</v>
      </c>
      <c r="D325" s="20" t="s">
        <v>1384</v>
      </c>
      <c r="E325" s="21"/>
      <c r="F325" s="22">
        <v>304300</v>
      </c>
      <c r="G325" s="23"/>
      <c r="H325" s="23">
        <v>292800</v>
      </c>
      <c r="I325" s="23">
        <v>0</v>
      </c>
      <c r="J325" s="23">
        <v>0</v>
      </c>
      <c r="K325" s="24">
        <v>0</v>
      </c>
    </row>
    <row r="326" spans="1:11" x14ac:dyDescent="0.25">
      <c r="A326" s="11">
        <v>46066</v>
      </c>
      <c r="B326" s="12">
        <v>71</v>
      </c>
      <c r="C326" s="12" t="s">
        <v>1103</v>
      </c>
      <c r="D326" s="13" t="s">
        <v>1385</v>
      </c>
      <c r="E326" s="14">
        <v>5040</v>
      </c>
      <c r="F326" s="15"/>
      <c r="G326" s="16">
        <v>161000</v>
      </c>
      <c r="H326" s="16">
        <v>131800</v>
      </c>
      <c r="I326" s="16">
        <v>0</v>
      </c>
      <c r="J326" s="16">
        <v>0</v>
      </c>
      <c r="K326" s="17">
        <v>0</v>
      </c>
    </row>
    <row r="327" spans="1:11" x14ac:dyDescent="0.25">
      <c r="A327" s="18">
        <v>46066</v>
      </c>
      <c r="B327" s="19">
        <v>71</v>
      </c>
      <c r="C327" s="19" t="s">
        <v>1103</v>
      </c>
      <c r="D327" s="20" t="s">
        <v>1383</v>
      </c>
      <c r="E327" s="21">
        <v>200</v>
      </c>
      <c r="F327" s="22"/>
      <c r="G327" s="23">
        <v>0</v>
      </c>
      <c r="H327" s="23">
        <v>131800</v>
      </c>
      <c r="I327" s="23">
        <v>0</v>
      </c>
      <c r="J327" s="23">
        <v>131800</v>
      </c>
      <c r="K327" s="24">
        <v>0</v>
      </c>
    </row>
    <row r="328" spans="1:11" x14ac:dyDescent="0.25">
      <c r="A328" s="11">
        <v>46041</v>
      </c>
      <c r="B328" s="12">
        <v>72</v>
      </c>
      <c r="C328" s="12" t="s">
        <v>1101</v>
      </c>
      <c r="D328" s="13" t="s">
        <v>1385</v>
      </c>
      <c r="E328" s="14">
        <v>3000</v>
      </c>
      <c r="F328" s="15"/>
      <c r="G328" s="16">
        <v>114000</v>
      </c>
      <c r="H328" s="16">
        <v>0</v>
      </c>
      <c r="I328" s="16">
        <v>114000</v>
      </c>
      <c r="J328" s="16">
        <v>0</v>
      </c>
      <c r="K328" s="17">
        <v>0</v>
      </c>
    </row>
    <row r="329" spans="1:11" x14ac:dyDescent="0.25">
      <c r="A329" s="18">
        <v>46041</v>
      </c>
      <c r="B329" s="19">
        <v>72</v>
      </c>
      <c r="C329" s="19" t="s">
        <v>1101</v>
      </c>
      <c r="D329" s="20" t="s">
        <v>1384</v>
      </c>
      <c r="E329" s="21"/>
      <c r="F329" s="22">
        <v>114000</v>
      </c>
      <c r="G329" s="23"/>
      <c r="H329" s="23">
        <v>0</v>
      </c>
      <c r="I329" s="23">
        <v>0</v>
      </c>
      <c r="J329" s="23">
        <v>0</v>
      </c>
      <c r="K329" s="24">
        <v>0</v>
      </c>
    </row>
    <row r="330" spans="1:11" x14ac:dyDescent="0.25">
      <c r="A330" s="11">
        <v>46055</v>
      </c>
      <c r="B330" s="12">
        <v>72</v>
      </c>
      <c r="C330" s="12" t="s">
        <v>1101</v>
      </c>
      <c r="D330" s="13" t="s">
        <v>1390</v>
      </c>
      <c r="E330" s="14"/>
      <c r="F330" s="15">
        <v>119400</v>
      </c>
      <c r="G330" s="16"/>
      <c r="H330" s="16">
        <v>119400</v>
      </c>
      <c r="I330" s="16">
        <v>0</v>
      </c>
      <c r="J330" s="16">
        <v>0</v>
      </c>
      <c r="K330" s="17">
        <v>0</v>
      </c>
    </row>
    <row r="331" spans="1:11" x14ac:dyDescent="0.25">
      <c r="A331" s="18">
        <v>46055</v>
      </c>
      <c r="B331" s="19">
        <v>72</v>
      </c>
      <c r="C331" s="19" t="s">
        <v>1101</v>
      </c>
      <c r="D331" s="20" t="s">
        <v>1385</v>
      </c>
      <c r="E331" s="21">
        <v>3000</v>
      </c>
      <c r="F331" s="22"/>
      <c r="G331" s="23">
        <v>126000</v>
      </c>
      <c r="H331" s="23">
        <v>0</v>
      </c>
      <c r="I331" s="23">
        <v>6600</v>
      </c>
      <c r="J331" s="23">
        <v>0</v>
      </c>
      <c r="K331" s="24">
        <v>0</v>
      </c>
    </row>
    <row r="332" spans="1:11" x14ac:dyDescent="0.25">
      <c r="A332" s="11">
        <v>46055</v>
      </c>
      <c r="B332" s="12">
        <v>72</v>
      </c>
      <c r="C332" s="12" t="s">
        <v>1101</v>
      </c>
      <c r="D332" s="13" t="s">
        <v>1384</v>
      </c>
      <c r="E332" s="14"/>
      <c r="F332" s="15">
        <v>120000</v>
      </c>
      <c r="G332" s="16"/>
      <c r="H332" s="16">
        <v>113400</v>
      </c>
      <c r="I332" s="16">
        <v>0</v>
      </c>
      <c r="J332" s="16">
        <v>0</v>
      </c>
      <c r="K332" s="17">
        <v>0</v>
      </c>
    </row>
    <row r="333" spans="1:11" x14ac:dyDescent="0.25">
      <c r="A333" s="18">
        <v>46070</v>
      </c>
      <c r="B333" s="19">
        <v>72</v>
      </c>
      <c r="C333" s="19" t="s">
        <v>1101</v>
      </c>
      <c r="D333" s="20" t="s">
        <v>1384</v>
      </c>
      <c r="E333" s="21"/>
      <c r="F333" s="22">
        <v>120000</v>
      </c>
      <c r="G333" s="23"/>
      <c r="H333" s="23">
        <v>233400</v>
      </c>
      <c r="I333" s="23">
        <v>0</v>
      </c>
      <c r="J333" s="23">
        <v>0</v>
      </c>
      <c r="K333" s="24">
        <v>0</v>
      </c>
    </row>
    <row r="334" spans="1:11" x14ac:dyDescent="0.25">
      <c r="A334" s="11">
        <v>46070</v>
      </c>
      <c r="B334" s="12">
        <v>72</v>
      </c>
      <c r="C334" s="12" t="s">
        <v>1101</v>
      </c>
      <c r="D334" s="13" t="s">
        <v>1385</v>
      </c>
      <c r="E334" s="14">
        <v>3000</v>
      </c>
      <c r="F334" s="15"/>
      <c r="G334" s="16">
        <v>126000</v>
      </c>
      <c r="H334" s="16">
        <v>107400</v>
      </c>
      <c r="I334" s="16">
        <v>0</v>
      </c>
      <c r="J334" s="16">
        <v>107400</v>
      </c>
      <c r="K334" s="17">
        <v>0</v>
      </c>
    </row>
    <row r="335" spans="1:11" x14ac:dyDescent="0.25">
      <c r="A335" s="18">
        <v>46043</v>
      </c>
      <c r="B335" s="19">
        <v>73</v>
      </c>
      <c r="C335" s="19" t="s">
        <v>1097</v>
      </c>
      <c r="D335" s="20" t="s">
        <v>1385</v>
      </c>
      <c r="E335" s="21">
        <v>3150</v>
      </c>
      <c r="F335" s="22"/>
      <c r="G335" s="23">
        <v>119400</v>
      </c>
      <c r="H335" s="23">
        <v>0</v>
      </c>
      <c r="I335" s="23">
        <v>119400</v>
      </c>
      <c r="J335" s="23">
        <v>0</v>
      </c>
      <c r="K335" s="24">
        <v>0</v>
      </c>
    </row>
    <row r="336" spans="1:11" x14ac:dyDescent="0.25">
      <c r="A336" s="11">
        <v>46043</v>
      </c>
      <c r="B336" s="12">
        <v>73</v>
      </c>
      <c r="C336" s="12" t="s">
        <v>1097</v>
      </c>
      <c r="D336" s="13" t="s">
        <v>1384</v>
      </c>
      <c r="E336" s="14"/>
      <c r="F336" s="15">
        <v>119400</v>
      </c>
      <c r="G336" s="16"/>
      <c r="H336" s="16">
        <v>0</v>
      </c>
      <c r="I336" s="16">
        <v>0</v>
      </c>
      <c r="J336" s="16">
        <v>0</v>
      </c>
      <c r="K336" s="17">
        <v>0</v>
      </c>
    </row>
    <row r="337" spans="1:11" x14ac:dyDescent="0.25">
      <c r="A337" s="18">
        <v>46055</v>
      </c>
      <c r="B337" s="19">
        <v>73</v>
      </c>
      <c r="C337" s="19" t="s">
        <v>1097</v>
      </c>
      <c r="D337" s="20" t="s">
        <v>1385</v>
      </c>
      <c r="E337" s="21">
        <v>3150</v>
      </c>
      <c r="F337" s="22"/>
      <c r="G337" s="23">
        <v>119400</v>
      </c>
      <c r="H337" s="23">
        <v>0</v>
      </c>
      <c r="I337" s="23">
        <v>119400</v>
      </c>
      <c r="J337" s="23">
        <v>0</v>
      </c>
      <c r="K337" s="24">
        <v>0</v>
      </c>
    </row>
    <row r="338" spans="1:11" x14ac:dyDescent="0.25">
      <c r="A338" s="11">
        <v>46071</v>
      </c>
      <c r="B338" s="12">
        <v>73</v>
      </c>
      <c r="C338" s="12" t="s">
        <v>1097</v>
      </c>
      <c r="D338" s="13" t="s">
        <v>1385</v>
      </c>
      <c r="E338" s="14">
        <v>3150</v>
      </c>
      <c r="F338" s="15"/>
      <c r="G338" s="16">
        <v>119400</v>
      </c>
      <c r="H338" s="16">
        <v>0</v>
      </c>
      <c r="I338" s="16">
        <v>238800</v>
      </c>
      <c r="J338" s="16">
        <v>0</v>
      </c>
      <c r="K338" s="17">
        <v>238800</v>
      </c>
    </row>
    <row r="339" spans="1:11" x14ac:dyDescent="0.25">
      <c r="A339" s="18">
        <v>46052</v>
      </c>
      <c r="B339" s="19">
        <v>74</v>
      </c>
      <c r="C339" s="19" t="s">
        <v>1092</v>
      </c>
      <c r="D339" s="20" t="s">
        <v>1385</v>
      </c>
      <c r="E339" s="21">
        <v>9000</v>
      </c>
      <c r="F339" s="22"/>
      <c r="G339" s="23">
        <v>225000</v>
      </c>
      <c r="H339" s="23">
        <v>0</v>
      </c>
      <c r="I339" s="23">
        <v>225000</v>
      </c>
      <c r="J339" s="23">
        <v>0</v>
      </c>
      <c r="K339" s="24">
        <v>0</v>
      </c>
    </row>
    <row r="340" spans="1:11" x14ac:dyDescent="0.25">
      <c r="A340" s="11">
        <v>46055</v>
      </c>
      <c r="B340" s="12">
        <v>74</v>
      </c>
      <c r="C340" s="12" t="s">
        <v>1092</v>
      </c>
      <c r="D340" s="13" t="s">
        <v>1384</v>
      </c>
      <c r="E340" s="14"/>
      <c r="F340" s="15">
        <v>225000</v>
      </c>
      <c r="G340" s="16"/>
      <c r="H340" s="16">
        <v>0</v>
      </c>
      <c r="I340" s="16">
        <v>0</v>
      </c>
      <c r="J340" s="16">
        <v>0</v>
      </c>
      <c r="K340" s="17">
        <v>0</v>
      </c>
    </row>
    <row r="341" spans="1:11" x14ac:dyDescent="0.25">
      <c r="A341" s="18">
        <v>46065</v>
      </c>
      <c r="B341" s="19">
        <v>74</v>
      </c>
      <c r="C341" s="19" t="s">
        <v>1092</v>
      </c>
      <c r="D341" s="20" t="s">
        <v>1385</v>
      </c>
      <c r="E341" s="21">
        <v>9000</v>
      </c>
      <c r="F341" s="22"/>
      <c r="G341" s="23">
        <v>225000</v>
      </c>
      <c r="H341" s="23">
        <v>0</v>
      </c>
      <c r="I341" s="23">
        <v>225000</v>
      </c>
      <c r="J341" s="23">
        <v>0</v>
      </c>
      <c r="K341" s="24">
        <v>0</v>
      </c>
    </row>
    <row r="342" spans="1:11" x14ac:dyDescent="0.25">
      <c r="A342" s="11">
        <v>46068</v>
      </c>
      <c r="B342" s="12">
        <v>74</v>
      </c>
      <c r="C342" s="12" t="s">
        <v>1092</v>
      </c>
      <c r="D342" s="13" t="s">
        <v>1384</v>
      </c>
      <c r="E342" s="14"/>
      <c r="F342" s="15">
        <v>225000</v>
      </c>
      <c r="G342" s="16"/>
      <c r="H342" s="16">
        <v>0</v>
      </c>
      <c r="I342" s="16">
        <v>0</v>
      </c>
      <c r="J342" s="16">
        <v>0</v>
      </c>
      <c r="K342" s="17">
        <v>0</v>
      </c>
    </row>
    <row r="343" spans="1:11" x14ac:dyDescent="0.25">
      <c r="A343" s="18">
        <v>46039</v>
      </c>
      <c r="B343" s="19">
        <v>75</v>
      </c>
      <c r="C343" s="19" t="s">
        <v>1088</v>
      </c>
      <c r="D343" s="20"/>
      <c r="E343" s="21"/>
      <c r="F343" s="22"/>
      <c r="G343" s="23">
        <v>582800</v>
      </c>
      <c r="H343" s="23">
        <v>0</v>
      </c>
      <c r="I343" s="23">
        <v>582800</v>
      </c>
      <c r="J343" s="23">
        <v>0</v>
      </c>
      <c r="K343" s="24">
        <v>0</v>
      </c>
    </row>
    <row r="344" spans="1:11" x14ac:dyDescent="0.25">
      <c r="A344" s="11">
        <v>46052</v>
      </c>
      <c r="B344" s="12">
        <v>75</v>
      </c>
      <c r="C344" s="12" t="s">
        <v>1088</v>
      </c>
      <c r="D344" s="13" t="s">
        <v>1385</v>
      </c>
      <c r="E344" s="14">
        <v>5400</v>
      </c>
      <c r="F344" s="15"/>
      <c r="G344" s="16">
        <v>118800</v>
      </c>
      <c r="H344" s="16">
        <v>0</v>
      </c>
      <c r="I344" s="16">
        <v>701600</v>
      </c>
      <c r="J344" s="16">
        <v>0</v>
      </c>
      <c r="K344" s="17">
        <v>0</v>
      </c>
    </row>
    <row r="345" spans="1:11" x14ac:dyDescent="0.25">
      <c r="A345" s="18">
        <v>46052</v>
      </c>
      <c r="B345" s="19">
        <v>75</v>
      </c>
      <c r="C345" s="19" t="s">
        <v>1400</v>
      </c>
      <c r="D345" s="20" t="s">
        <v>1385</v>
      </c>
      <c r="E345" s="21">
        <v>9000</v>
      </c>
      <c r="F345" s="22"/>
      <c r="G345" s="23">
        <v>198000</v>
      </c>
      <c r="H345" s="23">
        <v>0</v>
      </c>
      <c r="I345" s="23">
        <v>899600</v>
      </c>
      <c r="J345" s="23">
        <v>0</v>
      </c>
      <c r="K345" s="24">
        <v>0</v>
      </c>
    </row>
    <row r="346" spans="1:11" x14ac:dyDescent="0.25">
      <c r="A346" s="11">
        <v>46052</v>
      </c>
      <c r="B346" s="12">
        <v>75</v>
      </c>
      <c r="C346" s="12" t="s">
        <v>1401</v>
      </c>
      <c r="D346" s="13" t="s">
        <v>1385</v>
      </c>
      <c r="E346" s="14">
        <v>10500</v>
      </c>
      <c r="F346" s="15"/>
      <c r="G346" s="16">
        <v>231000</v>
      </c>
      <c r="H346" s="16">
        <v>0</v>
      </c>
      <c r="I346" s="16">
        <v>1130600</v>
      </c>
      <c r="J346" s="16">
        <v>0</v>
      </c>
      <c r="K346" s="17">
        <v>0</v>
      </c>
    </row>
    <row r="347" spans="1:11" x14ac:dyDescent="0.25">
      <c r="A347" s="18">
        <v>46068</v>
      </c>
      <c r="B347" s="19">
        <v>75</v>
      </c>
      <c r="C347" s="19" t="s">
        <v>1088</v>
      </c>
      <c r="D347" s="20" t="s">
        <v>1384</v>
      </c>
      <c r="E347" s="21"/>
      <c r="F347" s="22">
        <v>1130000</v>
      </c>
      <c r="G347" s="23"/>
      <c r="H347" s="23">
        <v>0</v>
      </c>
      <c r="I347" s="23">
        <v>600</v>
      </c>
      <c r="J347" s="23">
        <v>0</v>
      </c>
      <c r="K347" s="24">
        <v>0</v>
      </c>
    </row>
    <row r="348" spans="1:11" x14ac:dyDescent="0.25">
      <c r="A348" s="11">
        <v>46069</v>
      </c>
      <c r="B348" s="12">
        <v>75</v>
      </c>
      <c r="C348" s="12" t="s">
        <v>1088</v>
      </c>
      <c r="D348" s="13" t="s">
        <v>1385</v>
      </c>
      <c r="E348" s="14">
        <v>5400</v>
      </c>
      <c r="F348" s="15"/>
      <c r="G348" s="16">
        <v>138275</v>
      </c>
      <c r="H348" s="16">
        <v>0</v>
      </c>
      <c r="I348" s="16">
        <v>138875</v>
      </c>
      <c r="J348" s="16">
        <v>0</v>
      </c>
      <c r="K348" s="17">
        <v>0</v>
      </c>
    </row>
    <row r="349" spans="1:11" x14ac:dyDescent="0.25">
      <c r="A349" s="18">
        <v>46069</v>
      </c>
      <c r="B349" s="19">
        <v>75</v>
      </c>
      <c r="C349" s="19" t="s">
        <v>1400</v>
      </c>
      <c r="D349" s="20" t="s">
        <v>1385</v>
      </c>
      <c r="E349" s="21">
        <v>9000</v>
      </c>
      <c r="F349" s="22"/>
      <c r="G349" s="23">
        <v>230458</v>
      </c>
      <c r="H349" s="23">
        <v>0</v>
      </c>
      <c r="I349" s="23">
        <v>369333</v>
      </c>
      <c r="J349" s="23">
        <v>0</v>
      </c>
      <c r="K349" s="24">
        <v>0</v>
      </c>
    </row>
    <row r="350" spans="1:11" x14ac:dyDescent="0.25">
      <c r="A350" s="11">
        <v>46069</v>
      </c>
      <c r="B350" s="12">
        <v>75</v>
      </c>
      <c r="C350" s="12" t="s">
        <v>1401</v>
      </c>
      <c r="D350" s="13" t="s">
        <v>1383</v>
      </c>
      <c r="E350" s="14">
        <v>500</v>
      </c>
      <c r="F350" s="15"/>
      <c r="G350" s="16">
        <v>40000</v>
      </c>
      <c r="H350" s="16">
        <v>0</v>
      </c>
      <c r="I350" s="16">
        <v>409333</v>
      </c>
      <c r="J350" s="16">
        <v>0</v>
      </c>
      <c r="K350" s="17">
        <v>0</v>
      </c>
    </row>
    <row r="351" spans="1:11" x14ac:dyDescent="0.25">
      <c r="A351" s="18">
        <v>46069</v>
      </c>
      <c r="B351" s="19">
        <v>75</v>
      </c>
      <c r="C351" s="19" t="s">
        <v>1401</v>
      </c>
      <c r="D351" s="20" t="s">
        <v>1385</v>
      </c>
      <c r="E351" s="21">
        <v>10500</v>
      </c>
      <c r="F351" s="22"/>
      <c r="G351" s="23">
        <v>268867</v>
      </c>
      <c r="H351" s="23">
        <v>0</v>
      </c>
      <c r="I351" s="23">
        <v>678200</v>
      </c>
      <c r="J351" s="23">
        <v>0</v>
      </c>
      <c r="K351" s="24">
        <v>678200</v>
      </c>
    </row>
    <row r="352" spans="1:11" x14ac:dyDescent="0.25">
      <c r="A352" s="11">
        <v>46048</v>
      </c>
      <c r="B352" s="12">
        <v>77</v>
      </c>
      <c r="C352" s="12" t="s">
        <v>1079</v>
      </c>
      <c r="D352" s="13" t="s">
        <v>1384</v>
      </c>
      <c r="E352" s="14"/>
      <c r="F352" s="15">
        <v>141000</v>
      </c>
      <c r="G352" s="16"/>
      <c r="H352" s="16">
        <v>141000</v>
      </c>
      <c r="I352" s="16">
        <v>0</v>
      </c>
      <c r="J352" s="16">
        <v>0</v>
      </c>
      <c r="K352" s="17">
        <v>0</v>
      </c>
    </row>
    <row r="353" spans="1:11" x14ac:dyDescent="0.25">
      <c r="A353" s="18">
        <v>46048</v>
      </c>
      <c r="B353" s="19">
        <v>77</v>
      </c>
      <c r="C353" s="19" t="s">
        <v>1079</v>
      </c>
      <c r="D353" s="20" t="s">
        <v>1385</v>
      </c>
      <c r="E353" s="21">
        <v>2520</v>
      </c>
      <c r="F353" s="22"/>
      <c r="G353" s="23">
        <v>94000</v>
      </c>
      <c r="H353" s="23">
        <v>47000</v>
      </c>
      <c r="I353" s="23">
        <v>0</v>
      </c>
      <c r="J353" s="23">
        <v>0</v>
      </c>
      <c r="K353" s="24">
        <v>0</v>
      </c>
    </row>
    <row r="354" spans="1:11" x14ac:dyDescent="0.25">
      <c r="A354" s="11">
        <v>46064</v>
      </c>
      <c r="B354" s="12">
        <v>77</v>
      </c>
      <c r="C354" s="12" t="s">
        <v>1079</v>
      </c>
      <c r="D354" s="13" t="s">
        <v>1385</v>
      </c>
      <c r="E354" s="14">
        <v>3780</v>
      </c>
      <c r="F354" s="15"/>
      <c r="G354" s="16">
        <v>141000</v>
      </c>
      <c r="H354" s="16">
        <v>0</v>
      </c>
      <c r="I354" s="16">
        <v>94000</v>
      </c>
      <c r="J354" s="16">
        <v>0</v>
      </c>
      <c r="K354" s="17">
        <v>0</v>
      </c>
    </row>
    <row r="355" spans="1:11" x14ac:dyDescent="0.25">
      <c r="A355" s="18">
        <v>46064</v>
      </c>
      <c r="B355" s="19">
        <v>77</v>
      </c>
      <c r="C355" s="19" t="s">
        <v>1079</v>
      </c>
      <c r="D355" s="20" t="s">
        <v>1384</v>
      </c>
      <c r="E355" s="21"/>
      <c r="F355" s="22">
        <v>141000</v>
      </c>
      <c r="G355" s="23"/>
      <c r="H355" s="23">
        <v>47000</v>
      </c>
      <c r="I355" s="23">
        <v>0</v>
      </c>
      <c r="J355" s="23">
        <v>47000</v>
      </c>
      <c r="K355" s="24">
        <v>0</v>
      </c>
    </row>
    <row r="356" spans="1:11" x14ac:dyDescent="0.25">
      <c r="A356" s="11">
        <v>46045</v>
      </c>
      <c r="B356" s="12">
        <v>78</v>
      </c>
      <c r="C356" s="12" t="s">
        <v>1076</v>
      </c>
      <c r="D356" s="13" t="s">
        <v>1385</v>
      </c>
      <c r="E356" s="14">
        <v>1080</v>
      </c>
      <c r="F356" s="15"/>
      <c r="G356" s="16">
        <v>59400</v>
      </c>
      <c r="H356" s="16">
        <v>0</v>
      </c>
      <c r="I356" s="16">
        <v>59400</v>
      </c>
      <c r="J356" s="16">
        <v>0</v>
      </c>
      <c r="K356" s="17">
        <v>0</v>
      </c>
    </row>
    <row r="357" spans="1:11" x14ac:dyDescent="0.25">
      <c r="A357" s="18">
        <v>46052</v>
      </c>
      <c r="B357" s="19">
        <v>78</v>
      </c>
      <c r="C357" s="19" t="s">
        <v>1076</v>
      </c>
      <c r="D357" s="20" t="s">
        <v>1384</v>
      </c>
      <c r="E357" s="21"/>
      <c r="F357" s="22">
        <v>59400</v>
      </c>
      <c r="G357" s="23"/>
      <c r="H357" s="23">
        <v>0</v>
      </c>
      <c r="I357" s="23">
        <v>0</v>
      </c>
      <c r="J357" s="23">
        <v>0</v>
      </c>
      <c r="K357" s="24">
        <v>0</v>
      </c>
    </row>
    <row r="358" spans="1:11" x14ac:dyDescent="0.25">
      <c r="A358" s="11">
        <v>46059</v>
      </c>
      <c r="B358" s="12">
        <v>78</v>
      </c>
      <c r="C358" s="12" t="s">
        <v>1076</v>
      </c>
      <c r="D358" s="13" t="s">
        <v>1385</v>
      </c>
      <c r="E358" s="14">
        <v>1080</v>
      </c>
      <c r="F358" s="15"/>
      <c r="G358" s="16">
        <v>59400</v>
      </c>
      <c r="H358" s="16">
        <v>0</v>
      </c>
      <c r="I358" s="16">
        <v>59400</v>
      </c>
      <c r="J358" s="16">
        <v>0</v>
      </c>
      <c r="K358" s="17">
        <v>0</v>
      </c>
    </row>
    <row r="359" spans="1:11" x14ac:dyDescent="0.25">
      <c r="A359" s="18">
        <v>46069</v>
      </c>
      <c r="B359" s="19">
        <v>78</v>
      </c>
      <c r="C359" s="19" t="s">
        <v>1076</v>
      </c>
      <c r="D359" s="20" t="s">
        <v>1384</v>
      </c>
      <c r="E359" s="21"/>
      <c r="F359" s="22">
        <v>59440</v>
      </c>
      <c r="G359" s="23"/>
      <c r="H359" s="23">
        <v>40</v>
      </c>
      <c r="I359" s="23">
        <v>0</v>
      </c>
      <c r="J359" s="23">
        <v>40</v>
      </c>
      <c r="K359" s="24">
        <v>0</v>
      </c>
    </row>
    <row r="360" spans="1:11" x14ac:dyDescent="0.25">
      <c r="A360" s="11">
        <v>46039</v>
      </c>
      <c r="B360" s="12">
        <v>80</v>
      </c>
      <c r="C360" s="12" t="s">
        <v>1067</v>
      </c>
      <c r="D360" s="13"/>
      <c r="E360" s="14"/>
      <c r="F360" s="15">
        <v>0</v>
      </c>
      <c r="G360" s="16"/>
      <c r="H360" s="16">
        <v>0</v>
      </c>
      <c r="I360" s="16">
        <v>0</v>
      </c>
      <c r="J360" s="16">
        <v>0</v>
      </c>
      <c r="K360" s="17">
        <v>0</v>
      </c>
    </row>
    <row r="361" spans="1:11" x14ac:dyDescent="0.25">
      <c r="A361" s="18">
        <v>46039</v>
      </c>
      <c r="B361" s="19">
        <v>80</v>
      </c>
      <c r="C361" s="19" t="s">
        <v>1067</v>
      </c>
      <c r="D361" s="20"/>
      <c r="E361" s="21"/>
      <c r="F361" s="22"/>
      <c r="G361" s="23">
        <v>81000</v>
      </c>
      <c r="H361" s="23">
        <v>0</v>
      </c>
      <c r="I361" s="23">
        <v>81000</v>
      </c>
      <c r="J361" s="23">
        <v>0</v>
      </c>
      <c r="K361" s="24">
        <v>0</v>
      </c>
    </row>
    <row r="362" spans="1:11" x14ac:dyDescent="0.25">
      <c r="A362" s="11">
        <v>46039</v>
      </c>
      <c r="B362" s="12">
        <v>80</v>
      </c>
      <c r="C362" s="12" t="s">
        <v>1067</v>
      </c>
      <c r="D362" s="13" t="s">
        <v>1384</v>
      </c>
      <c r="E362" s="14"/>
      <c r="F362" s="15">
        <v>81000</v>
      </c>
      <c r="G362" s="16"/>
      <c r="H362" s="16">
        <v>0</v>
      </c>
      <c r="I362" s="16">
        <v>0</v>
      </c>
      <c r="J362" s="16">
        <v>0</v>
      </c>
      <c r="K362" s="17">
        <v>0</v>
      </c>
    </row>
    <row r="363" spans="1:11" x14ac:dyDescent="0.25">
      <c r="A363" s="18">
        <v>46052</v>
      </c>
      <c r="B363" s="19">
        <v>80</v>
      </c>
      <c r="C363" s="19" t="s">
        <v>1067</v>
      </c>
      <c r="D363" s="20" t="s">
        <v>1385</v>
      </c>
      <c r="E363" s="21">
        <v>1650</v>
      </c>
      <c r="F363" s="22"/>
      <c r="G363" s="23">
        <v>81000</v>
      </c>
      <c r="H363" s="23">
        <v>0</v>
      </c>
      <c r="I363" s="23">
        <v>81000</v>
      </c>
      <c r="J363" s="23">
        <v>0</v>
      </c>
      <c r="K363" s="24">
        <v>0</v>
      </c>
    </row>
    <row r="364" spans="1:11" x14ac:dyDescent="0.25">
      <c r="A364" s="11">
        <v>46055</v>
      </c>
      <c r="B364" s="12">
        <v>80</v>
      </c>
      <c r="C364" s="12" t="s">
        <v>1067</v>
      </c>
      <c r="D364" s="13" t="s">
        <v>1384</v>
      </c>
      <c r="E364" s="14"/>
      <c r="F364" s="15">
        <v>80000</v>
      </c>
      <c r="G364" s="16"/>
      <c r="H364" s="16">
        <v>0</v>
      </c>
      <c r="I364" s="16">
        <v>1000</v>
      </c>
      <c r="J364" s="16">
        <v>0</v>
      </c>
      <c r="K364" s="17">
        <v>0</v>
      </c>
    </row>
    <row r="365" spans="1:11" x14ac:dyDescent="0.25">
      <c r="A365" s="18">
        <v>46069</v>
      </c>
      <c r="B365" s="19">
        <v>80</v>
      </c>
      <c r="C365" s="19" t="s">
        <v>1067</v>
      </c>
      <c r="D365" s="20" t="s">
        <v>1385</v>
      </c>
      <c r="E365" s="21">
        <v>1650</v>
      </c>
      <c r="F365" s="22"/>
      <c r="G365" s="23">
        <v>81000</v>
      </c>
      <c r="H365" s="23">
        <v>0</v>
      </c>
      <c r="I365" s="23">
        <v>82000</v>
      </c>
      <c r="J365" s="23">
        <v>0</v>
      </c>
      <c r="K365" s="24">
        <v>82000</v>
      </c>
    </row>
    <row r="366" spans="1:11" x14ac:dyDescent="0.25">
      <c r="A366" s="11">
        <v>46045</v>
      </c>
      <c r="B366" s="12">
        <v>81</v>
      </c>
      <c r="C366" s="12" t="s">
        <v>1063</v>
      </c>
      <c r="D366" s="13" t="s">
        <v>1384</v>
      </c>
      <c r="E366" s="14"/>
      <c r="F366" s="15">
        <v>94000</v>
      </c>
      <c r="G366" s="16"/>
      <c r="H366" s="16">
        <v>94000</v>
      </c>
      <c r="I366" s="16">
        <v>0</v>
      </c>
      <c r="J366" s="16">
        <v>0</v>
      </c>
      <c r="K366" s="17">
        <v>0</v>
      </c>
    </row>
    <row r="367" spans="1:11" x14ac:dyDescent="0.25">
      <c r="A367" s="18">
        <v>46045</v>
      </c>
      <c r="B367" s="19">
        <v>81</v>
      </c>
      <c r="C367" s="19" t="s">
        <v>1063</v>
      </c>
      <c r="D367" s="20" t="s">
        <v>1385</v>
      </c>
      <c r="E367" s="21">
        <v>2380</v>
      </c>
      <c r="F367" s="22"/>
      <c r="G367" s="23">
        <v>94000</v>
      </c>
      <c r="H367" s="23">
        <v>0</v>
      </c>
      <c r="I367" s="23">
        <v>0</v>
      </c>
      <c r="J367" s="23">
        <v>0</v>
      </c>
      <c r="K367" s="24">
        <v>0</v>
      </c>
    </row>
    <row r="368" spans="1:11" x14ac:dyDescent="0.25">
      <c r="A368" s="11">
        <v>46052</v>
      </c>
      <c r="B368" s="12">
        <v>81</v>
      </c>
      <c r="C368" s="12" t="s">
        <v>1063</v>
      </c>
      <c r="D368" s="13" t="s">
        <v>1385</v>
      </c>
      <c r="E368" s="14">
        <v>2720</v>
      </c>
      <c r="F368" s="15"/>
      <c r="G368" s="16">
        <v>107429</v>
      </c>
      <c r="H368" s="16">
        <v>0</v>
      </c>
      <c r="I368" s="16">
        <v>107429</v>
      </c>
      <c r="J368" s="16">
        <v>0</v>
      </c>
      <c r="K368" s="17">
        <v>0</v>
      </c>
    </row>
    <row r="369" spans="1:11" x14ac:dyDescent="0.25">
      <c r="A369" s="18">
        <v>46069</v>
      </c>
      <c r="B369" s="19">
        <v>81</v>
      </c>
      <c r="C369" s="19" t="s">
        <v>1063</v>
      </c>
      <c r="D369" s="20" t="s">
        <v>1384</v>
      </c>
      <c r="E369" s="21"/>
      <c r="F369" s="22">
        <v>94000</v>
      </c>
      <c r="G369" s="23"/>
      <c r="H369" s="23">
        <v>0</v>
      </c>
      <c r="I369" s="23">
        <v>13429</v>
      </c>
      <c r="J369" s="23">
        <v>0</v>
      </c>
      <c r="K369" s="24">
        <v>0</v>
      </c>
    </row>
    <row r="370" spans="1:11" x14ac:dyDescent="0.25">
      <c r="A370" s="11">
        <v>46069</v>
      </c>
      <c r="B370" s="12">
        <v>81</v>
      </c>
      <c r="C370" s="12" t="s">
        <v>1063</v>
      </c>
      <c r="D370" s="13" t="s">
        <v>1385</v>
      </c>
      <c r="E370" s="14">
        <v>2380</v>
      </c>
      <c r="F370" s="15"/>
      <c r="G370" s="16">
        <v>94000</v>
      </c>
      <c r="H370" s="16">
        <v>0</v>
      </c>
      <c r="I370" s="16">
        <v>107429</v>
      </c>
      <c r="J370" s="16">
        <v>0</v>
      </c>
      <c r="K370" s="17">
        <v>107429</v>
      </c>
    </row>
    <row r="371" spans="1:11" x14ac:dyDescent="0.25">
      <c r="A371" s="18">
        <v>46043</v>
      </c>
      <c r="B371" s="19">
        <v>82</v>
      </c>
      <c r="C371" s="19" t="s">
        <v>1060</v>
      </c>
      <c r="D371" s="20" t="s">
        <v>1385</v>
      </c>
      <c r="E371" s="21">
        <v>3180</v>
      </c>
      <c r="F371" s="22"/>
      <c r="G371" s="23">
        <v>124500</v>
      </c>
      <c r="H371" s="23">
        <v>0</v>
      </c>
      <c r="I371" s="23">
        <v>124500</v>
      </c>
      <c r="J371" s="23">
        <v>0</v>
      </c>
      <c r="K371" s="24">
        <v>0</v>
      </c>
    </row>
    <row r="372" spans="1:11" x14ac:dyDescent="0.25">
      <c r="A372" s="11">
        <v>46049</v>
      </c>
      <c r="B372" s="12">
        <v>82</v>
      </c>
      <c r="C372" s="12" t="s">
        <v>1060</v>
      </c>
      <c r="D372" s="13" t="s">
        <v>1384</v>
      </c>
      <c r="E372" s="14"/>
      <c r="F372" s="15">
        <v>124500</v>
      </c>
      <c r="G372" s="16"/>
      <c r="H372" s="16">
        <v>0</v>
      </c>
      <c r="I372" s="16">
        <v>0</v>
      </c>
      <c r="J372" s="16">
        <v>0</v>
      </c>
      <c r="K372" s="17">
        <v>0</v>
      </c>
    </row>
    <row r="373" spans="1:11" x14ac:dyDescent="0.25">
      <c r="A373" s="18">
        <v>46058</v>
      </c>
      <c r="B373" s="19">
        <v>82</v>
      </c>
      <c r="C373" s="19" t="s">
        <v>1060</v>
      </c>
      <c r="D373" s="20" t="s">
        <v>1383</v>
      </c>
      <c r="E373" s="21">
        <v>2000</v>
      </c>
      <c r="F373" s="22"/>
      <c r="G373" s="23">
        <v>78302</v>
      </c>
      <c r="H373" s="23">
        <v>0</v>
      </c>
      <c r="I373" s="23">
        <v>78302</v>
      </c>
      <c r="J373" s="23">
        <v>0</v>
      </c>
      <c r="K373" s="24">
        <v>0</v>
      </c>
    </row>
    <row r="374" spans="1:11" x14ac:dyDescent="0.25">
      <c r="A374" s="11">
        <v>46058</v>
      </c>
      <c r="B374" s="12">
        <v>82</v>
      </c>
      <c r="C374" s="12" t="s">
        <v>1060</v>
      </c>
      <c r="D374" s="13" t="s">
        <v>1385</v>
      </c>
      <c r="E374" s="14">
        <v>3180</v>
      </c>
      <c r="F374" s="15"/>
      <c r="G374" s="16">
        <v>124500</v>
      </c>
      <c r="H374" s="16">
        <v>0</v>
      </c>
      <c r="I374" s="16">
        <v>202802</v>
      </c>
      <c r="J374" s="16">
        <v>0</v>
      </c>
      <c r="K374" s="17">
        <v>0</v>
      </c>
    </row>
    <row r="375" spans="1:11" x14ac:dyDescent="0.25">
      <c r="A375" s="18">
        <v>46062</v>
      </c>
      <c r="B375" s="19">
        <v>82</v>
      </c>
      <c r="C375" s="19" t="s">
        <v>1060</v>
      </c>
      <c r="D375" s="20" t="s">
        <v>1384</v>
      </c>
      <c r="E375" s="21"/>
      <c r="F375" s="22">
        <v>181500</v>
      </c>
      <c r="G375" s="23"/>
      <c r="H375" s="23">
        <v>0</v>
      </c>
      <c r="I375" s="23">
        <v>21302</v>
      </c>
      <c r="J375" s="23">
        <v>0</v>
      </c>
      <c r="K375" s="24">
        <v>21302</v>
      </c>
    </row>
    <row r="376" spans="1:11" x14ac:dyDescent="0.25">
      <c r="A376" s="11">
        <v>46044</v>
      </c>
      <c r="B376" s="12">
        <v>83</v>
      </c>
      <c r="C376" s="12" t="s">
        <v>1056</v>
      </c>
      <c r="D376" s="13" t="s">
        <v>1385</v>
      </c>
      <c r="E376" s="14">
        <v>6000</v>
      </c>
      <c r="F376" s="15"/>
      <c r="G376" s="16">
        <v>216000</v>
      </c>
      <c r="H376" s="16">
        <v>0</v>
      </c>
      <c r="I376" s="16">
        <v>216000</v>
      </c>
      <c r="J376" s="16">
        <v>0</v>
      </c>
      <c r="K376" s="17">
        <v>0</v>
      </c>
    </row>
    <row r="377" spans="1:11" x14ac:dyDescent="0.25">
      <c r="A377" s="18">
        <v>46045</v>
      </c>
      <c r="B377" s="19">
        <v>83</v>
      </c>
      <c r="C377" s="19" t="s">
        <v>1056</v>
      </c>
      <c r="D377" s="20" t="s">
        <v>1399</v>
      </c>
      <c r="E377" s="21"/>
      <c r="F377" s="22">
        <v>216000</v>
      </c>
      <c r="G377" s="23"/>
      <c r="H377" s="23">
        <v>0</v>
      </c>
      <c r="I377" s="23">
        <v>0</v>
      </c>
      <c r="J377" s="23">
        <v>0</v>
      </c>
      <c r="K377" s="24">
        <v>0</v>
      </c>
    </row>
    <row r="378" spans="1:11" x14ac:dyDescent="0.25">
      <c r="A378" s="11">
        <v>46059</v>
      </c>
      <c r="B378" s="12">
        <v>83</v>
      </c>
      <c r="C378" s="12" t="s">
        <v>1056</v>
      </c>
      <c r="D378" s="13" t="s">
        <v>1385</v>
      </c>
      <c r="E378" s="14">
        <v>6000</v>
      </c>
      <c r="F378" s="15"/>
      <c r="G378" s="16">
        <v>216000</v>
      </c>
      <c r="H378" s="16">
        <v>0</v>
      </c>
      <c r="I378" s="16">
        <v>216000</v>
      </c>
      <c r="J378" s="16">
        <v>0</v>
      </c>
      <c r="K378" s="17">
        <v>216000</v>
      </c>
    </row>
    <row r="379" spans="1:11" x14ac:dyDescent="0.25">
      <c r="A379" s="18">
        <v>46039</v>
      </c>
      <c r="B379" s="19">
        <v>84</v>
      </c>
      <c r="C379" s="19" t="s">
        <v>1051</v>
      </c>
      <c r="D379" s="20"/>
      <c r="E379" s="21"/>
      <c r="F379" s="22"/>
      <c r="G379" s="23">
        <v>170100</v>
      </c>
      <c r="H379" s="23">
        <v>0</v>
      </c>
      <c r="I379" s="23">
        <v>170100</v>
      </c>
      <c r="J379" s="23">
        <v>0</v>
      </c>
      <c r="K379" s="24">
        <v>0</v>
      </c>
    </row>
    <row r="380" spans="1:11" x14ac:dyDescent="0.25">
      <c r="A380" s="11">
        <v>46041</v>
      </c>
      <c r="B380" s="12">
        <v>84</v>
      </c>
      <c r="C380" s="12" t="s">
        <v>1051</v>
      </c>
      <c r="D380" s="13" t="s">
        <v>1385</v>
      </c>
      <c r="E380" s="14">
        <v>4305</v>
      </c>
      <c r="F380" s="15"/>
      <c r="G380" s="16">
        <v>141320</v>
      </c>
      <c r="H380" s="16">
        <v>0</v>
      </c>
      <c r="I380" s="16">
        <v>311420</v>
      </c>
      <c r="J380" s="16">
        <v>0</v>
      </c>
      <c r="K380" s="17">
        <v>0</v>
      </c>
    </row>
    <row r="381" spans="1:11" x14ac:dyDescent="0.25">
      <c r="A381" s="18">
        <v>46041</v>
      </c>
      <c r="B381" s="19">
        <v>84</v>
      </c>
      <c r="C381" s="19" t="s">
        <v>1051</v>
      </c>
      <c r="D381" s="20" t="s">
        <v>1399</v>
      </c>
      <c r="E381" s="21"/>
      <c r="F381" s="22">
        <v>170100</v>
      </c>
      <c r="G381" s="23"/>
      <c r="H381" s="23">
        <v>0</v>
      </c>
      <c r="I381" s="23">
        <v>141320</v>
      </c>
      <c r="J381" s="23">
        <v>0</v>
      </c>
      <c r="K381" s="24">
        <v>0</v>
      </c>
    </row>
    <row r="382" spans="1:11" x14ac:dyDescent="0.25">
      <c r="A382" s="11">
        <v>46041</v>
      </c>
      <c r="B382" s="12">
        <v>84</v>
      </c>
      <c r="C382" s="12" t="s">
        <v>1051</v>
      </c>
      <c r="D382" s="13" t="s">
        <v>1399</v>
      </c>
      <c r="E382" s="14"/>
      <c r="F382" s="15">
        <v>255100</v>
      </c>
      <c r="G382" s="16"/>
      <c r="H382" s="16">
        <v>113780</v>
      </c>
      <c r="I382" s="16">
        <v>0</v>
      </c>
      <c r="J382" s="16">
        <v>0</v>
      </c>
      <c r="K382" s="17">
        <v>0</v>
      </c>
    </row>
    <row r="383" spans="1:11" x14ac:dyDescent="0.25">
      <c r="A383" s="18">
        <v>46041</v>
      </c>
      <c r="B383" s="19">
        <v>84</v>
      </c>
      <c r="C383" s="19" t="s">
        <v>1402</v>
      </c>
      <c r="D383" s="20" t="s">
        <v>1385</v>
      </c>
      <c r="E383" s="21">
        <v>3465</v>
      </c>
      <c r="F383" s="22"/>
      <c r="G383" s="23">
        <v>113780</v>
      </c>
      <c r="H383" s="23">
        <v>0</v>
      </c>
      <c r="I383" s="23">
        <v>0</v>
      </c>
      <c r="J383" s="23">
        <v>0</v>
      </c>
      <c r="K383" s="24">
        <v>0</v>
      </c>
    </row>
    <row r="384" spans="1:11" x14ac:dyDescent="0.25">
      <c r="A384" s="11">
        <v>46051</v>
      </c>
      <c r="B384" s="12">
        <v>84</v>
      </c>
      <c r="C384" s="12" t="s">
        <v>1051</v>
      </c>
      <c r="D384" s="13" t="s">
        <v>1385</v>
      </c>
      <c r="E384" s="14">
        <v>3075</v>
      </c>
      <c r="F384" s="15"/>
      <c r="G384" s="16">
        <v>100974</v>
      </c>
      <c r="H384" s="16">
        <v>0</v>
      </c>
      <c r="I384" s="16">
        <v>100974</v>
      </c>
      <c r="J384" s="16">
        <v>0</v>
      </c>
      <c r="K384" s="17">
        <v>0</v>
      </c>
    </row>
    <row r="385" spans="1:11" x14ac:dyDescent="0.25">
      <c r="A385" s="18">
        <v>46051</v>
      </c>
      <c r="B385" s="19">
        <v>84</v>
      </c>
      <c r="C385" s="19" t="s">
        <v>1402</v>
      </c>
      <c r="D385" s="20" t="s">
        <v>1385</v>
      </c>
      <c r="E385" s="21">
        <v>2475</v>
      </c>
      <c r="F385" s="22"/>
      <c r="G385" s="23">
        <v>81272</v>
      </c>
      <c r="H385" s="23">
        <v>0</v>
      </c>
      <c r="I385" s="23">
        <v>182246</v>
      </c>
      <c r="J385" s="23">
        <v>0</v>
      </c>
      <c r="K385" s="24">
        <v>0</v>
      </c>
    </row>
    <row r="386" spans="1:11" x14ac:dyDescent="0.25">
      <c r="A386" s="11">
        <v>46058</v>
      </c>
      <c r="B386" s="12">
        <v>84</v>
      </c>
      <c r="C386" s="12" t="s">
        <v>1051</v>
      </c>
      <c r="D386" s="13" t="s">
        <v>1385</v>
      </c>
      <c r="E386" s="14">
        <v>3075</v>
      </c>
      <c r="F386" s="15"/>
      <c r="G386" s="16">
        <v>100974</v>
      </c>
      <c r="H386" s="16">
        <v>0</v>
      </c>
      <c r="I386" s="16">
        <v>283220</v>
      </c>
      <c r="J386" s="16">
        <v>0</v>
      </c>
      <c r="K386" s="17">
        <v>0</v>
      </c>
    </row>
    <row r="387" spans="1:11" x14ac:dyDescent="0.25">
      <c r="A387" s="18">
        <v>46058</v>
      </c>
      <c r="B387" s="19">
        <v>84</v>
      </c>
      <c r="C387" s="19" t="s">
        <v>1402</v>
      </c>
      <c r="D387" s="20" t="s">
        <v>1385</v>
      </c>
      <c r="E387" s="21">
        <v>2475</v>
      </c>
      <c r="F387" s="22"/>
      <c r="G387" s="23">
        <v>81272</v>
      </c>
      <c r="H387" s="23">
        <v>0</v>
      </c>
      <c r="I387" s="23">
        <v>364492</v>
      </c>
      <c r="J387" s="23">
        <v>0</v>
      </c>
      <c r="K387" s="24">
        <v>0</v>
      </c>
    </row>
    <row r="388" spans="1:11" x14ac:dyDescent="0.25">
      <c r="A388" s="11">
        <v>46065</v>
      </c>
      <c r="B388" s="12">
        <v>84</v>
      </c>
      <c r="C388" s="12" t="s">
        <v>1051</v>
      </c>
      <c r="D388" s="13" t="s">
        <v>1385</v>
      </c>
      <c r="E388" s="14">
        <v>3075</v>
      </c>
      <c r="F388" s="15"/>
      <c r="G388" s="16">
        <v>100974</v>
      </c>
      <c r="H388" s="16">
        <v>0</v>
      </c>
      <c r="I388" s="16">
        <v>465466</v>
      </c>
      <c r="J388" s="16">
        <v>0</v>
      </c>
      <c r="K388" s="17">
        <v>0</v>
      </c>
    </row>
    <row r="389" spans="1:11" x14ac:dyDescent="0.25">
      <c r="A389" s="18">
        <v>46065</v>
      </c>
      <c r="B389" s="19">
        <v>84</v>
      </c>
      <c r="C389" s="19" t="s">
        <v>1402</v>
      </c>
      <c r="D389" s="20" t="s">
        <v>1385</v>
      </c>
      <c r="E389" s="21">
        <v>2475</v>
      </c>
      <c r="F389" s="22"/>
      <c r="G389" s="23">
        <v>81272</v>
      </c>
      <c r="H389" s="23">
        <v>0</v>
      </c>
      <c r="I389" s="23">
        <v>546738</v>
      </c>
      <c r="J389" s="23">
        <v>0</v>
      </c>
      <c r="K389" s="24">
        <v>0</v>
      </c>
    </row>
    <row r="390" spans="1:11" x14ac:dyDescent="0.25">
      <c r="A390" s="11">
        <v>46069</v>
      </c>
      <c r="B390" s="12">
        <v>84</v>
      </c>
      <c r="C390" s="12" t="s">
        <v>1051</v>
      </c>
      <c r="D390" s="13" t="s">
        <v>1399</v>
      </c>
      <c r="E390" s="14"/>
      <c r="F390" s="15">
        <v>563900</v>
      </c>
      <c r="G390" s="16"/>
      <c r="H390" s="16">
        <v>17162</v>
      </c>
      <c r="I390" s="16">
        <v>0</v>
      </c>
      <c r="J390" s="16">
        <v>17162</v>
      </c>
      <c r="K390" s="17">
        <v>0</v>
      </c>
    </row>
    <row r="391" spans="1:11" x14ac:dyDescent="0.25">
      <c r="A391" s="18">
        <v>46042</v>
      </c>
      <c r="B391" s="19">
        <v>85</v>
      </c>
      <c r="C391" s="19" t="s">
        <v>1047</v>
      </c>
      <c r="D391" s="20" t="s">
        <v>1384</v>
      </c>
      <c r="E391" s="21"/>
      <c r="F391" s="22">
        <v>85700</v>
      </c>
      <c r="G391" s="23"/>
      <c r="H391" s="23">
        <v>85700</v>
      </c>
      <c r="I391" s="23">
        <v>0</v>
      </c>
      <c r="J391" s="23">
        <v>0</v>
      </c>
      <c r="K391" s="24">
        <v>0</v>
      </c>
    </row>
    <row r="392" spans="1:11" x14ac:dyDescent="0.25">
      <c r="A392" s="11">
        <v>46042</v>
      </c>
      <c r="B392" s="12">
        <v>85</v>
      </c>
      <c r="C392" s="12" t="s">
        <v>1047</v>
      </c>
      <c r="D392" s="13" t="s">
        <v>1385</v>
      </c>
      <c r="E392" s="14">
        <v>2380</v>
      </c>
      <c r="F392" s="15"/>
      <c r="G392" s="16">
        <v>85700</v>
      </c>
      <c r="H392" s="16">
        <v>0</v>
      </c>
      <c r="I392" s="16">
        <v>0</v>
      </c>
      <c r="J392" s="16">
        <v>0</v>
      </c>
      <c r="K392" s="17">
        <v>0</v>
      </c>
    </row>
    <row r="393" spans="1:11" x14ac:dyDescent="0.25">
      <c r="A393" s="18">
        <v>46042</v>
      </c>
      <c r="B393" s="19">
        <v>85</v>
      </c>
      <c r="C393" s="19" t="s">
        <v>1047</v>
      </c>
      <c r="D393" s="20" t="s">
        <v>1383</v>
      </c>
      <c r="E393" s="21">
        <v>200</v>
      </c>
      <c r="F393" s="22"/>
      <c r="G393" s="23"/>
      <c r="H393" s="23">
        <v>0</v>
      </c>
      <c r="I393" s="23">
        <v>0</v>
      </c>
      <c r="J393" s="23">
        <v>0</v>
      </c>
      <c r="K393" s="24">
        <v>0</v>
      </c>
    </row>
    <row r="394" spans="1:11" x14ac:dyDescent="0.25">
      <c r="A394" s="11">
        <v>46059</v>
      </c>
      <c r="B394" s="12">
        <v>85</v>
      </c>
      <c r="C394" s="12" t="s">
        <v>1047</v>
      </c>
      <c r="D394" s="13" t="s">
        <v>1384</v>
      </c>
      <c r="E394" s="14"/>
      <c r="F394" s="15">
        <v>104700</v>
      </c>
      <c r="G394" s="16"/>
      <c r="H394" s="16">
        <v>104700</v>
      </c>
      <c r="I394" s="16">
        <v>0</v>
      </c>
      <c r="J394" s="16">
        <v>0</v>
      </c>
      <c r="K394" s="17">
        <v>0</v>
      </c>
    </row>
    <row r="395" spans="1:11" x14ac:dyDescent="0.25">
      <c r="A395" s="18">
        <v>46059</v>
      </c>
      <c r="B395" s="19">
        <v>85</v>
      </c>
      <c r="C395" s="19" t="s">
        <v>1047</v>
      </c>
      <c r="D395" s="20" t="s">
        <v>1383</v>
      </c>
      <c r="E395" s="21">
        <v>400</v>
      </c>
      <c r="F395" s="22"/>
      <c r="G395" s="23">
        <v>19000</v>
      </c>
      <c r="H395" s="23">
        <v>85700</v>
      </c>
      <c r="I395" s="23">
        <v>0</v>
      </c>
      <c r="J395" s="23">
        <v>0</v>
      </c>
      <c r="K395" s="24">
        <v>0</v>
      </c>
    </row>
    <row r="396" spans="1:11" x14ac:dyDescent="0.25">
      <c r="A396" s="11">
        <v>46059</v>
      </c>
      <c r="B396" s="12">
        <v>85</v>
      </c>
      <c r="C396" s="12" t="s">
        <v>1047</v>
      </c>
      <c r="D396" s="13" t="s">
        <v>1385</v>
      </c>
      <c r="E396" s="14">
        <v>2380</v>
      </c>
      <c r="F396" s="15"/>
      <c r="G396" s="16">
        <v>85680</v>
      </c>
      <c r="H396" s="16">
        <v>20</v>
      </c>
      <c r="I396" s="16">
        <v>0</v>
      </c>
      <c r="J396" s="16">
        <v>20</v>
      </c>
      <c r="K396" s="17">
        <v>0</v>
      </c>
    </row>
    <row r="397" spans="1:11" x14ac:dyDescent="0.25">
      <c r="A397" s="18">
        <v>46039</v>
      </c>
      <c r="B397" s="19">
        <v>87</v>
      </c>
      <c r="C397" s="19" t="s">
        <v>1038</v>
      </c>
      <c r="D397" s="20"/>
      <c r="E397" s="21"/>
      <c r="F397" s="22"/>
      <c r="G397" s="23">
        <v>871100</v>
      </c>
      <c r="H397" s="23">
        <v>0</v>
      </c>
      <c r="I397" s="23">
        <v>871100</v>
      </c>
      <c r="J397" s="23">
        <v>0</v>
      </c>
      <c r="K397" s="24">
        <v>0</v>
      </c>
    </row>
    <row r="398" spans="1:11" x14ac:dyDescent="0.25">
      <c r="A398" s="11">
        <v>46043</v>
      </c>
      <c r="B398" s="12">
        <v>87</v>
      </c>
      <c r="C398" s="12" t="s">
        <v>1038</v>
      </c>
      <c r="D398" s="13" t="s">
        <v>1384</v>
      </c>
      <c r="E398" s="14"/>
      <c r="F398" s="15">
        <v>500000</v>
      </c>
      <c r="G398" s="16"/>
      <c r="H398" s="16">
        <v>0</v>
      </c>
      <c r="I398" s="16">
        <v>371100</v>
      </c>
      <c r="J398" s="16">
        <v>0</v>
      </c>
      <c r="K398" s="17">
        <v>0</v>
      </c>
    </row>
    <row r="399" spans="1:11" x14ac:dyDescent="0.25">
      <c r="A399" s="18">
        <v>46043</v>
      </c>
      <c r="B399" s="19">
        <v>87</v>
      </c>
      <c r="C399" s="19" t="s">
        <v>1038</v>
      </c>
      <c r="D399" s="20" t="s">
        <v>1385</v>
      </c>
      <c r="E399" s="21">
        <v>16000</v>
      </c>
      <c r="F399" s="22"/>
      <c r="G399" s="23">
        <v>352000</v>
      </c>
      <c r="H399" s="23">
        <v>0</v>
      </c>
      <c r="I399" s="23">
        <v>723100</v>
      </c>
      <c r="J399" s="23">
        <v>0</v>
      </c>
      <c r="K399" s="24">
        <v>0</v>
      </c>
    </row>
    <row r="400" spans="1:11" x14ac:dyDescent="0.25">
      <c r="A400" s="11">
        <v>46045</v>
      </c>
      <c r="B400" s="12">
        <v>87</v>
      </c>
      <c r="C400" s="12" t="s">
        <v>1038</v>
      </c>
      <c r="D400" s="13" t="s">
        <v>1384</v>
      </c>
      <c r="E400" s="14"/>
      <c r="F400" s="15">
        <v>400000</v>
      </c>
      <c r="G400" s="16"/>
      <c r="H400" s="16">
        <v>0</v>
      </c>
      <c r="I400" s="16">
        <v>323100</v>
      </c>
      <c r="J400" s="16">
        <v>0</v>
      </c>
      <c r="K400" s="17">
        <v>0</v>
      </c>
    </row>
    <row r="401" spans="1:11" x14ac:dyDescent="0.25">
      <c r="A401" s="18">
        <v>46046</v>
      </c>
      <c r="B401" s="19">
        <v>87</v>
      </c>
      <c r="C401" s="19" t="s">
        <v>1038</v>
      </c>
      <c r="D401" s="20" t="s">
        <v>1385</v>
      </c>
      <c r="E401" s="21">
        <v>16000</v>
      </c>
      <c r="F401" s="22"/>
      <c r="G401" s="23">
        <v>352000</v>
      </c>
      <c r="H401" s="23">
        <v>0</v>
      </c>
      <c r="I401" s="23">
        <v>675100</v>
      </c>
      <c r="J401" s="23">
        <v>0</v>
      </c>
      <c r="K401" s="24">
        <v>0</v>
      </c>
    </row>
    <row r="402" spans="1:11" x14ac:dyDescent="0.25">
      <c r="A402" s="11">
        <v>46046</v>
      </c>
      <c r="B402" s="12">
        <v>87</v>
      </c>
      <c r="C402" s="12" t="s">
        <v>1038</v>
      </c>
      <c r="D402" s="13" t="s">
        <v>1385</v>
      </c>
      <c r="E402" s="14">
        <v>8000</v>
      </c>
      <c r="F402" s="15"/>
      <c r="G402" s="16">
        <v>176000</v>
      </c>
      <c r="H402" s="16">
        <v>0</v>
      </c>
      <c r="I402" s="16">
        <v>851100</v>
      </c>
      <c r="J402" s="16">
        <v>0</v>
      </c>
      <c r="K402" s="17">
        <v>0</v>
      </c>
    </row>
    <row r="403" spans="1:11" x14ac:dyDescent="0.25">
      <c r="A403" s="18">
        <v>46052</v>
      </c>
      <c r="B403" s="19">
        <v>87</v>
      </c>
      <c r="C403" s="19" t="s">
        <v>1038</v>
      </c>
      <c r="D403" s="20" t="s">
        <v>1385</v>
      </c>
      <c r="E403" s="21">
        <v>24000</v>
      </c>
      <c r="F403" s="22"/>
      <c r="G403" s="23">
        <v>528000</v>
      </c>
      <c r="H403" s="23">
        <v>0</v>
      </c>
      <c r="I403" s="23">
        <v>1379100</v>
      </c>
      <c r="J403" s="23">
        <v>0</v>
      </c>
      <c r="K403" s="24">
        <v>0</v>
      </c>
    </row>
    <row r="404" spans="1:11" x14ac:dyDescent="0.25">
      <c r="A404" s="11">
        <v>46055</v>
      </c>
      <c r="B404" s="12">
        <v>87</v>
      </c>
      <c r="C404" s="12" t="s">
        <v>1038</v>
      </c>
      <c r="D404" s="13" t="s">
        <v>1403</v>
      </c>
      <c r="E404" s="14"/>
      <c r="F404" s="15">
        <v>921114</v>
      </c>
      <c r="G404" s="16"/>
      <c r="H404" s="16">
        <v>0</v>
      </c>
      <c r="I404" s="16">
        <v>457986</v>
      </c>
      <c r="J404" s="16">
        <v>0</v>
      </c>
      <c r="K404" s="17">
        <v>0</v>
      </c>
    </row>
    <row r="405" spans="1:11" x14ac:dyDescent="0.25">
      <c r="A405" s="18">
        <v>46057</v>
      </c>
      <c r="B405" s="19">
        <v>87</v>
      </c>
      <c r="C405" s="19" t="s">
        <v>1038</v>
      </c>
      <c r="D405" s="20" t="s">
        <v>1385</v>
      </c>
      <c r="E405" s="21">
        <v>8000</v>
      </c>
      <c r="F405" s="22"/>
      <c r="G405" s="23">
        <v>176000</v>
      </c>
      <c r="H405" s="23">
        <v>0</v>
      </c>
      <c r="I405" s="23">
        <v>633986</v>
      </c>
      <c r="J405" s="23">
        <v>0</v>
      </c>
      <c r="K405" s="24">
        <v>0</v>
      </c>
    </row>
    <row r="406" spans="1:11" x14ac:dyDescent="0.25">
      <c r="A406" s="11">
        <v>46057</v>
      </c>
      <c r="B406" s="12">
        <v>87</v>
      </c>
      <c r="C406" s="12" t="s">
        <v>1038</v>
      </c>
      <c r="D406" s="13" t="s">
        <v>1385</v>
      </c>
      <c r="E406" s="14">
        <v>16000</v>
      </c>
      <c r="F406" s="15"/>
      <c r="G406" s="16">
        <v>352000</v>
      </c>
      <c r="H406" s="16">
        <v>0</v>
      </c>
      <c r="I406" s="16">
        <v>985986</v>
      </c>
      <c r="J406" s="16">
        <v>0</v>
      </c>
      <c r="K406" s="17">
        <v>0</v>
      </c>
    </row>
    <row r="407" spans="1:11" x14ac:dyDescent="0.25">
      <c r="A407" s="18">
        <v>46065</v>
      </c>
      <c r="B407" s="19">
        <v>87</v>
      </c>
      <c r="C407" s="19" t="s">
        <v>1038</v>
      </c>
      <c r="D407" s="20" t="s">
        <v>1384</v>
      </c>
      <c r="E407" s="21"/>
      <c r="F407" s="22">
        <v>400000</v>
      </c>
      <c r="G407" s="23"/>
      <c r="H407" s="23">
        <v>0</v>
      </c>
      <c r="I407" s="23">
        <v>585986</v>
      </c>
      <c r="J407" s="23">
        <v>0</v>
      </c>
      <c r="K407" s="24">
        <v>0</v>
      </c>
    </row>
    <row r="408" spans="1:11" x14ac:dyDescent="0.25">
      <c r="A408" s="11">
        <v>46066</v>
      </c>
      <c r="B408" s="12">
        <v>87</v>
      </c>
      <c r="C408" s="12" t="s">
        <v>1038</v>
      </c>
      <c r="D408" s="13" t="s">
        <v>1385</v>
      </c>
      <c r="E408" s="14">
        <v>16000</v>
      </c>
      <c r="F408" s="15"/>
      <c r="G408" s="16">
        <v>352000</v>
      </c>
      <c r="H408" s="16">
        <v>0</v>
      </c>
      <c r="I408" s="16">
        <v>937986</v>
      </c>
      <c r="J408" s="16">
        <v>0</v>
      </c>
      <c r="K408" s="17">
        <v>0</v>
      </c>
    </row>
    <row r="409" spans="1:11" x14ac:dyDescent="0.25">
      <c r="A409" s="18">
        <v>46066</v>
      </c>
      <c r="B409" s="19">
        <v>87</v>
      </c>
      <c r="C409" s="19" t="s">
        <v>1038</v>
      </c>
      <c r="D409" s="20" t="s">
        <v>1385</v>
      </c>
      <c r="E409" s="21">
        <v>6000</v>
      </c>
      <c r="F409" s="22"/>
      <c r="G409" s="23">
        <v>132000</v>
      </c>
      <c r="H409" s="23">
        <v>0</v>
      </c>
      <c r="I409" s="23">
        <v>1069986</v>
      </c>
      <c r="J409" s="23">
        <v>0</v>
      </c>
      <c r="K409" s="24">
        <v>0</v>
      </c>
    </row>
    <row r="410" spans="1:11" x14ac:dyDescent="0.25">
      <c r="A410" s="11">
        <v>46071</v>
      </c>
      <c r="B410" s="12">
        <v>87</v>
      </c>
      <c r="C410" s="12" t="s">
        <v>1038</v>
      </c>
      <c r="D410" s="13" t="s">
        <v>1384</v>
      </c>
      <c r="E410" s="14"/>
      <c r="F410" s="15">
        <v>600000</v>
      </c>
      <c r="G410" s="16"/>
      <c r="H410" s="16">
        <v>0</v>
      </c>
      <c r="I410" s="16">
        <v>469986</v>
      </c>
      <c r="J410" s="16">
        <v>0</v>
      </c>
      <c r="K410" s="17">
        <v>469986</v>
      </c>
    </row>
    <row r="411" spans="1:11" x14ac:dyDescent="0.25">
      <c r="A411" s="18">
        <v>46049</v>
      </c>
      <c r="B411" s="19">
        <v>88</v>
      </c>
      <c r="C411" s="19" t="s">
        <v>1033</v>
      </c>
      <c r="D411" s="20" t="s">
        <v>1385</v>
      </c>
      <c r="E411" s="21">
        <v>5850</v>
      </c>
      <c r="F411" s="22"/>
      <c r="G411" s="23">
        <v>222300</v>
      </c>
      <c r="H411" s="23">
        <v>0</v>
      </c>
      <c r="I411" s="23">
        <v>222300</v>
      </c>
      <c r="J411" s="23">
        <v>0</v>
      </c>
      <c r="K411" s="24">
        <v>0</v>
      </c>
    </row>
    <row r="412" spans="1:11" x14ac:dyDescent="0.25">
      <c r="A412" s="11">
        <v>46049</v>
      </c>
      <c r="B412" s="12">
        <v>88</v>
      </c>
      <c r="C412" s="12" t="s">
        <v>1033</v>
      </c>
      <c r="D412" s="13" t="s">
        <v>1384</v>
      </c>
      <c r="E412" s="14"/>
      <c r="F412" s="15">
        <v>222300</v>
      </c>
      <c r="G412" s="16"/>
      <c r="H412" s="16">
        <v>0</v>
      </c>
      <c r="I412" s="16">
        <v>0</v>
      </c>
      <c r="J412" s="16">
        <v>0</v>
      </c>
      <c r="K412" s="17">
        <v>0</v>
      </c>
    </row>
    <row r="413" spans="1:11" x14ac:dyDescent="0.25">
      <c r="A413" s="18">
        <v>46063</v>
      </c>
      <c r="B413" s="19">
        <v>88</v>
      </c>
      <c r="C413" s="19" t="s">
        <v>1033</v>
      </c>
      <c r="D413" s="20" t="s">
        <v>1384</v>
      </c>
      <c r="E413" s="21"/>
      <c r="F413" s="22">
        <v>222300</v>
      </c>
      <c r="G413" s="23"/>
      <c r="H413" s="23">
        <v>222300</v>
      </c>
      <c r="I413" s="23">
        <v>0</v>
      </c>
      <c r="J413" s="23">
        <v>0</v>
      </c>
      <c r="K413" s="24">
        <v>0</v>
      </c>
    </row>
    <row r="414" spans="1:11" x14ac:dyDescent="0.25">
      <c r="A414" s="11">
        <v>46063</v>
      </c>
      <c r="B414" s="12">
        <v>88</v>
      </c>
      <c r="C414" s="12" t="s">
        <v>1033</v>
      </c>
      <c r="D414" s="13" t="s">
        <v>1385</v>
      </c>
      <c r="E414" s="14">
        <v>5850</v>
      </c>
      <c r="F414" s="15"/>
      <c r="G414" s="16">
        <v>222300</v>
      </c>
      <c r="H414" s="16">
        <v>0</v>
      </c>
      <c r="I414" s="16">
        <v>0</v>
      </c>
      <c r="J414" s="16">
        <v>0</v>
      </c>
      <c r="K414" s="17">
        <v>0</v>
      </c>
    </row>
    <row r="415" spans="1:11" x14ac:dyDescent="0.25">
      <c r="A415" s="18">
        <v>46039</v>
      </c>
      <c r="B415" s="19">
        <v>89</v>
      </c>
      <c r="C415" s="19" t="s">
        <v>1028</v>
      </c>
      <c r="D415" s="20"/>
      <c r="E415" s="21"/>
      <c r="F415" s="22">
        <v>180580</v>
      </c>
      <c r="G415" s="23"/>
      <c r="H415" s="23">
        <v>180580</v>
      </c>
      <c r="I415" s="23">
        <v>0</v>
      </c>
      <c r="J415" s="23">
        <v>0</v>
      </c>
      <c r="K415" s="24">
        <v>0</v>
      </c>
    </row>
    <row r="416" spans="1:11" x14ac:dyDescent="0.25">
      <c r="A416" s="11">
        <v>46039</v>
      </c>
      <c r="B416" s="12">
        <v>89</v>
      </c>
      <c r="C416" s="12" t="s">
        <v>1028</v>
      </c>
      <c r="D416" s="13"/>
      <c r="E416" s="14"/>
      <c r="F416" s="15"/>
      <c r="G416" s="16">
        <v>338580</v>
      </c>
      <c r="H416" s="16">
        <v>0</v>
      </c>
      <c r="I416" s="16">
        <v>158000</v>
      </c>
      <c r="J416" s="16">
        <v>0</v>
      </c>
      <c r="K416" s="17">
        <v>0</v>
      </c>
    </row>
    <row r="417" spans="1:11" x14ac:dyDescent="0.25">
      <c r="A417" s="18">
        <v>46039</v>
      </c>
      <c r="B417" s="19">
        <v>89</v>
      </c>
      <c r="C417" s="19" t="s">
        <v>1404</v>
      </c>
      <c r="D417" s="20" t="s">
        <v>1384</v>
      </c>
      <c r="E417" s="21"/>
      <c r="F417" s="22">
        <v>158000</v>
      </c>
      <c r="G417" s="23"/>
      <c r="H417" s="23">
        <v>0</v>
      </c>
      <c r="I417" s="23">
        <v>0</v>
      </c>
      <c r="J417" s="23">
        <v>0</v>
      </c>
      <c r="K417" s="24">
        <v>0</v>
      </c>
    </row>
    <row r="418" spans="1:11" x14ac:dyDescent="0.25">
      <c r="A418" s="11">
        <v>46055</v>
      </c>
      <c r="B418" s="12">
        <v>89</v>
      </c>
      <c r="C418" s="12" t="s">
        <v>1028</v>
      </c>
      <c r="D418" s="13" t="s">
        <v>1385</v>
      </c>
      <c r="E418" s="14">
        <v>4730</v>
      </c>
      <c r="F418" s="15"/>
      <c r="G418" s="16">
        <v>122980</v>
      </c>
      <c r="H418" s="16">
        <v>0</v>
      </c>
      <c r="I418" s="16">
        <v>122980</v>
      </c>
      <c r="J418" s="16">
        <v>0</v>
      </c>
      <c r="K418" s="17">
        <v>0</v>
      </c>
    </row>
    <row r="419" spans="1:11" x14ac:dyDescent="0.25">
      <c r="A419" s="18">
        <v>46055</v>
      </c>
      <c r="B419" s="19">
        <v>89</v>
      </c>
      <c r="C419" s="19" t="s">
        <v>1028</v>
      </c>
      <c r="D419" s="20" t="s">
        <v>1384</v>
      </c>
      <c r="E419" s="21"/>
      <c r="F419" s="22">
        <v>586872</v>
      </c>
      <c r="G419" s="23"/>
      <c r="H419" s="23">
        <v>463892</v>
      </c>
      <c r="I419" s="23">
        <v>0</v>
      </c>
      <c r="J419" s="23">
        <v>0</v>
      </c>
      <c r="K419" s="24">
        <v>0</v>
      </c>
    </row>
    <row r="420" spans="1:11" x14ac:dyDescent="0.25">
      <c r="A420" s="11">
        <v>46055</v>
      </c>
      <c r="B420" s="12">
        <v>89</v>
      </c>
      <c r="C420" s="12" t="s">
        <v>1405</v>
      </c>
      <c r="D420" s="13" t="s">
        <v>1385</v>
      </c>
      <c r="E420" s="14">
        <v>2750</v>
      </c>
      <c r="F420" s="15"/>
      <c r="G420" s="16">
        <v>71500</v>
      </c>
      <c r="H420" s="16">
        <v>392392</v>
      </c>
      <c r="I420" s="16">
        <v>0</v>
      </c>
      <c r="J420" s="16">
        <v>0</v>
      </c>
      <c r="K420" s="17">
        <v>0</v>
      </c>
    </row>
    <row r="421" spans="1:11" x14ac:dyDescent="0.25">
      <c r="A421" s="18">
        <v>46055</v>
      </c>
      <c r="B421" s="19">
        <v>89</v>
      </c>
      <c r="C421" s="19" t="s">
        <v>1406</v>
      </c>
      <c r="D421" s="20" t="s">
        <v>1385</v>
      </c>
      <c r="E421" s="21">
        <v>1650</v>
      </c>
      <c r="F421" s="22"/>
      <c r="G421" s="23">
        <v>42900</v>
      </c>
      <c r="H421" s="23">
        <v>349492</v>
      </c>
      <c r="I421" s="23">
        <v>0</v>
      </c>
      <c r="J421" s="23">
        <v>0</v>
      </c>
      <c r="K421" s="24">
        <v>0</v>
      </c>
    </row>
    <row r="422" spans="1:11" x14ac:dyDescent="0.25">
      <c r="A422" s="11">
        <v>46055</v>
      </c>
      <c r="B422" s="12">
        <v>89</v>
      </c>
      <c r="C422" s="12" t="s">
        <v>1407</v>
      </c>
      <c r="D422" s="13" t="s">
        <v>1385</v>
      </c>
      <c r="E422" s="14">
        <v>1496</v>
      </c>
      <c r="F422" s="15"/>
      <c r="G422" s="16">
        <v>38896</v>
      </c>
      <c r="H422" s="16">
        <v>310596</v>
      </c>
      <c r="I422" s="16">
        <v>0</v>
      </c>
      <c r="J422" s="16">
        <v>0</v>
      </c>
      <c r="K422" s="17">
        <v>0</v>
      </c>
    </row>
    <row r="423" spans="1:11" x14ac:dyDescent="0.25">
      <c r="A423" s="18">
        <v>46055</v>
      </c>
      <c r="B423" s="19">
        <v>89</v>
      </c>
      <c r="C423" s="19" t="s">
        <v>1404</v>
      </c>
      <c r="D423" s="20" t="s">
        <v>1385</v>
      </c>
      <c r="E423" s="21">
        <v>660</v>
      </c>
      <c r="F423" s="22"/>
      <c r="G423" s="23">
        <v>17160</v>
      </c>
      <c r="H423" s="23">
        <v>293436</v>
      </c>
      <c r="I423" s="23">
        <v>0</v>
      </c>
      <c r="J423" s="23">
        <v>0</v>
      </c>
      <c r="K423" s="24">
        <v>0</v>
      </c>
    </row>
    <row r="424" spans="1:11" x14ac:dyDescent="0.25">
      <c r="A424" s="11">
        <v>46065</v>
      </c>
      <c r="B424" s="12">
        <v>89</v>
      </c>
      <c r="C424" s="12" t="s">
        <v>1028</v>
      </c>
      <c r="D424" s="13" t="s">
        <v>1385</v>
      </c>
      <c r="E424" s="14">
        <v>4730</v>
      </c>
      <c r="F424" s="15"/>
      <c r="G424" s="16">
        <v>122980</v>
      </c>
      <c r="H424" s="16">
        <v>170456</v>
      </c>
      <c r="I424" s="16">
        <v>0</v>
      </c>
      <c r="J424" s="16">
        <v>0</v>
      </c>
      <c r="K424" s="17">
        <v>0</v>
      </c>
    </row>
    <row r="425" spans="1:11" x14ac:dyDescent="0.25">
      <c r="A425" s="18">
        <v>46065</v>
      </c>
      <c r="B425" s="19">
        <v>89</v>
      </c>
      <c r="C425" s="19" t="s">
        <v>1405</v>
      </c>
      <c r="D425" s="20" t="s">
        <v>1385</v>
      </c>
      <c r="E425" s="21">
        <v>2750</v>
      </c>
      <c r="F425" s="22"/>
      <c r="G425" s="23">
        <v>71500</v>
      </c>
      <c r="H425" s="23">
        <v>98956</v>
      </c>
      <c r="I425" s="23">
        <v>0</v>
      </c>
      <c r="J425" s="23">
        <v>0</v>
      </c>
      <c r="K425" s="24">
        <v>0</v>
      </c>
    </row>
    <row r="426" spans="1:11" x14ac:dyDescent="0.25">
      <c r="A426" s="11">
        <v>46065</v>
      </c>
      <c r="B426" s="12">
        <v>89</v>
      </c>
      <c r="C426" s="12" t="s">
        <v>1406</v>
      </c>
      <c r="D426" s="13" t="s">
        <v>1385</v>
      </c>
      <c r="E426" s="14">
        <v>1650</v>
      </c>
      <c r="F426" s="15"/>
      <c r="G426" s="16">
        <v>42900</v>
      </c>
      <c r="H426" s="16">
        <v>56056</v>
      </c>
      <c r="I426" s="16">
        <v>0</v>
      </c>
      <c r="J426" s="16">
        <v>0</v>
      </c>
      <c r="K426" s="17">
        <v>0</v>
      </c>
    </row>
    <row r="427" spans="1:11" x14ac:dyDescent="0.25">
      <c r="A427" s="18">
        <v>46065</v>
      </c>
      <c r="B427" s="19">
        <v>89</v>
      </c>
      <c r="C427" s="19" t="s">
        <v>1407</v>
      </c>
      <c r="D427" s="20" t="s">
        <v>1385</v>
      </c>
      <c r="E427" s="21">
        <v>1496</v>
      </c>
      <c r="F427" s="22"/>
      <c r="G427" s="23">
        <v>38896</v>
      </c>
      <c r="H427" s="23">
        <v>17160</v>
      </c>
      <c r="I427" s="23">
        <v>0</v>
      </c>
      <c r="J427" s="23">
        <v>0</v>
      </c>
      <c r="K427" s="24">
        <v>0</v>
      </c>
    </row>
    <row r="428" spans="1:11" x14ac:dyDescent="0.25">
      <c r="A428" s="11">
        <v>46065</v>
      </c>
      <c r="B428" s="12">
        <v>89</v>
      </c>
      <c r="C428" s="12" t="s">
        <v>1404</v>
      </c>
      <c r="D428" s="13" t="s">
        <v>1385</v>
      </c>
      <c r="E428" s="14">
        <v>660</v>
      </c>
      <c r="F428" s="15"/>
      <c r="G428" s="16">
        <v>17160</v>
      </c>
      <c r="H428" s="16">
        <v>0</v>
      </c>
      <c r="I428" s="16">
        <v>0</v>
      </c>
      <c r="J428" s="16">
        <v>0</v>
      </c>
      <c r="K428" s="17">
        <v>0</v>
      </c>
    </row>
    <row r="429" spans="1:11" x14ac:dyDescent="0.25">
      <c r="A429" s="18">
        <v>46049</v>
      </c>
      <c r="B429" s="19">
        <v>90</v>
      </c>
      <c r="C429" s="19" t="s">
        <v>1023</v>
      </c>
      <c r="D429" s="20" t="s">
        <v>1399</v>
      </c>
      <c r="E429" s="21"/>
      <c r="F429" s="22">
        <v>426400</v>
      </c>
      <c r="G429" s="23"/>
      <c r="H429" s="23">
        <v>426400</v>
      </c>
      <c r="I429" s="23">
        <v>0</v>
      </c>
      <c r="J429" s="23">
        <v>0</v>
      </c>
      <c r="K429" s="24">
        <v>0</v>
      </c>
    </row>
    <row r="430" spans="1:11" x14ac:dyDescent="0.25">
      <c r="A430" s="11">
        <v>46051</v>
      </c>
      <c r="B430" s="12">
        <v>90</v>
      </c>
      <c r="C430" s="12" t="s">
        <v>1023</v>
      </c>
      <c r="D430" s="13" t="s">
        <v>1385</v>
      </c>
      <c r="E430" s="14">
        <v>10350</v>
      </c>
      <c r="F430" s="15"/>
      <c r="G430" s="16">
        <v>256100</v>
      </c>
      <c r="H430" s="16">
        <v>170300</v>
      </c>
      <c r="I430" s="16">
        <v>0</v>
      </c>
      <c r="J430" s="16">
        <v>0</v>
      </c>
      <c r="K430" s="17">
        <v>0</v>
      </c>
    </row>
    <row r="431" spans="1:11" x14ac:dyDescent="0.25">
      <c r="A431" s="18">
        <v>46051</v>
      </c>
      <c r="B431" s="19">
        <v>90</v>
      </c>
      <c r="C431" s="19" t="s">
        <v>1408</v>
      </c>
      <c r="D431" s="20" t="s">
        <v>1385</v>
      </c>
      <c r="E431" s="21">
        <v>1950</v>
      </c>
      <c r="F431" s="22"/>
      <c r="G431" s="23">
        <v>83300</v>
      </c>
      <c r="H431" s="23">
        <v>87000</v>
      </c>
      <c r="I431" s="23">
        <v>0</v>
      </c>
      <c r="J431" s="23">
        <v>0</v>
      </c>
      <c r="K431" s="24">
        <v>0</v>
      </c>
    </row>
    <row r="432" spans="1:11" x14ac:dyDescent="0.25">
      <c r="A432" s="11">
        <v>46051</v>
      </c>
      <c r="B432" s="12">
        <v>90</v>
      </c>
      <c r="C432" s="12" t="s">
        <v>1409</v>
      </c>
      <c r="D432" s="13" t="s">
        <v>1385</v>
      </c>
      <c r="E432" s="14">
        <v>2250</v>
      </c>
      <c r="F432" s="15"/>
      <c r="G432" s="16">
        <v>87000</v>
      </c>
      <c r="H432" s="16">
        <v>0</v>
      </c>
      <c r="I432" s="16">
        <v>0</v>
      </c>
      <c r="J432" s="16">
        <v>0</v>
      </c>
      <c r="K432" s="17">
        <v>0</v>
      </c>
    </row>
    <row r="433" spans="1:11" x14ac:dyDescent="0.25">
      <c r="A433" s="18">
        <v>46051</v>
      </c>
      <c r="B433" s="19">
        <v>90</v>
      </c>
      <c r="C433" s="19" t="s">
        <v>1409</v>
      </c>
      <c r="D433" s="20" t="s">
        <v>1383</v>
      </c>
      <c r="E433" s="21">
        <v>200</v>
      </c>
      <c r="F433" s="22"/>
      <c r="G433" s="23">
        <v>19000</v>
      </c>
      <c r="H433" s="23">
        <v>0</v>
      </c>
      <c r="I433" s="23">
        <v>19000</v>
      </c>
      <c r="J433" s="23">
        <v>0</v>
      </c>
      <c r="K433" s="24">
        <v>0</v>
      </c>
    </row>
    <row r="434" spans="1:11" x14ac:dyDescent="0.25">
      <c r="A434" s="11">
        <v>46066</v>
      </c>
      <c r="B434" s="12">
        <v>90</v>
      </c>
      <c r="C434" s="12" t="s">
        <v>1023</v>
      </c>
      <c r="D434" s="13" t="s">
        <v>1385</v>
      </c>
      <c r="E434" s="14">
        <v>10350</v>
      </c>
      <c r="F434" s="15"/>
      <c r="G434" s="16">
        <v>256100</v>
      </c>
      <c r="H434" s="16">
        <v>0</v>
      </c>
      <c r="I434" s="16">
        <v>275100</v>
      </c>
      <c r="J434" s="16">
        <v>0</v>
      </c>
      <c r="K434" s="17">
        <v>0</v>
      </c>
    </row>
    <row r="435" spans="1:11" x14ac:dyDescent="0.25">
      <c r="A435" s="18">
        <v>46066</v>
      </c>
      <c r="B435" s="19">
        <v>90</v>
      </c>
      <c r="C435" s="19" t="s">
        <v>1408</v>
      </c>
      <c r="D435" s="20" t="s">
        <v>1385</v>
      </c>
      <c r="E435" s="21">
        <v>1950</v>
      </c>
      <c r="F435" s="22"/>
      <c r="G435" s="23">
        <v>83300</v>
      </c>
      <c r="H435" s="23">
        <v>0</v>
      </c>
      <c r="I435" s="23">
        <v>358400</v>
      </c>
      <c r="J435" s="23">
        <v>0</v>
      </c>
      <c r="K435" s="24">
        <v>0</v>
      </c>
    </row>
    <row r="436" spans="1:11" x14ac:dyDescent="0.25">
      <c r="A436" s="11">
        <v>46066</v>
      </c>
      <c r="B436" s="12">
        <v>90</v>
      </c>
      <c r="C436" s="12" t="s">
        <v>1409</v>
      </c>
      <c r="D436" s="13" t="s">
        <v>1385</v>
      </c>
      <c r="E436" s="14">
        <v>2250</v>
      </c>
      <c r="F436" s="15"/>
      <c r="G436" s="16">
        <v>87000</v>
      </c>
      <c r="H436" s="16">
        <v>0</v>
      </c>
      <c r="I436" s="16">
        <v>445400</v>
      </c>
      <c r="J436" s="16">
        <v>0</v>
      </c>
      <c r="K436" s="17">
        <v>0</v>
      </c>
    </row>
    <row r="437" spans="1:11" x14ac:dyDescent="0.25">
      <c r="A437" s="18">
        <v>46069</v>
      </c>
      <c r="B437" s="19">
        <v>90</v>
      </c>
      <c r="C437" s="19" t="s">
        <v>1023</v>
      </c>
      <c r="D437" s="20" t="s">
        <v>1399</v>
      </c>
      <c r="E437" s="21"/>
      <c r="F437" s="22">
        <v>426400</v>
      </c>
      <c r="G437" s="23"/>
      <c r="H437" s="23">
        <v>0</v>
      </c>
      <c r="I437" s="23">
        <v>19000</v>
      </c>
      <c r="J437" s="23">
        <v>0</v>
      </c>
      <c r="K437" s="24">
        <v>19000</v>
      </c>
    </row>
    <row r="438" spans="1:11" x14ac:dyDescent="0.25">
      <c r="A438" s="11">
        <v>46039</v>
      </c>
      <c r="B438" s="12">
        <v>91</v>
      </c>
      <c r="C438" s="12" t="s">
        <v>1019</v>
      </c>
      <c r="D438" s="13"/>
      <c r="E438" s="14"/>
      <c r="F438" s="15"/>
      <c r="G438" s="16">
        <v>24300</v>
      </c>
      <c r="H438" s="16">
        <v>0</v>
      </c>
      <c r="I438" s="16">
        <v>24300</v>
      </c>
      <c r="J438" s="16">
        <v>0</v>
      </c>
      <c r="K438" s="17">
        <v>0</v>
      </c>
    </row>
    <row r="439" spans="1:11" x14ac:dyDescent="0.25">
      <c r="A439" s="18">
        <v>46041</v>
      </c>
      <c r="B439" s="19">
        <v>91</v>
      </c>
      <c r="C439" s="19" t="s">
        <v>1019</v>
      </c>
      <c r="D439" s="20" t="s">
        <v>1385</v>
      </c>
      <c r="E439" s="21">
        <v>4860</v>
      </c>
      <c r="F439" s="22"/>
      <c r="G439" s="23">
        <v>106950</v>
      </c>
      <c r="H439" s="23">
        <v>0</v>
      </c>
      <c r="I439" s="23">
        <v>131250</v>
      </c>
      <c r="J439" s="23">
        <v>0</v>
      </c>
      <c r="K439" s="24">
        <v>0</v>
      </c>
    </row>
    <row r="440" spans="1:11" x14ac:dyDescent="0.25">
      <c r="A440" s="11">
        <v>46042</v>
      </c>
      <c r="B440" s="12">
        <v>91</v>
      </c>
      <c r="C440" s="12" t="s">
        <v>1019</v>
      </c>
      <c r="D440" s="13" t="s">
        <v>1384</v>
      </c>
      <c r="E440" s="14"/>
      <c r="F440" s="15">
        <v>131250</v>
      </c>
      <c r="G440" s="16"/>
      <c r="H440" s="16">
        <v>0</v>
      </c>
      <c r="I440" s="16">
        <v>0</v>
      </c>
      <c r="J440" s="16">
        <v>0</v>
      </c>
      <c r="K440" s="17">
        <v>0</v>
      </c>
    </row>
    <row r="441" spans="1:11" x14ac:dyDescent="0.25">
      <c r="A441" s="18">
        <v>46055</v>
      </c>
      <c r="B441" s="19">
        <v>91</v>
      </c>
      <c r="C441" s="19" t="s">
        <v>1019</v>
      </c>
      <c r="D441" s="20" t="s">
        <v>1385</v>
      </c>
      <c r="E441" s="21">
        <v>6075</v>
      </c>
      <c r="F441" s="22"/>
      <c r="G441" s="23">
        <v>133650</v>
      </c>
      <c r="H441" s="23">
        <v>0</v>
      </c>
      <c r="I441" s="23">
        <v>133650</v>
      </c>
      <c r="J441" s="23">
        <v>0</v>
      </c>
      <c r="K441" s="24">
        <v>0</v>
      </c>
    </row>
    <row r="442" spans="1:11" x14ac:dyDescent="0.25">
      <c r="A442" s="11">
        <v>46069</v>
      </c>
      <c r="B442" s="12">
        <v>91</v>
      </c>
      <c r="C442" s="12" t="s">
        <v>1019</v>
      </c>
      <c r="D442" s="13" t="s">
        <v>1384</v>
      </c>
      <c r="E442" s="14"/>
      <c r="F442" s="15">
        <v>133650</v>
      </c>
      <c r="G442" s="16"/>
      <c r="H442" s="16">
        <v>0</v>
      </c>
      <c r="I442" s="16">
        <v>0</v>
      </c>
      <c r="J442" s="16">
        <v>0</v>
      </c>
      <c r="K442" s="17">
        <v>0</v>
      </c>
    </row>
    <row r="443" spans="1:11" x14ac:dyDescent="0.25">
      <c r="A443" s="18">
        <v>46051</v>
      </c>
      <c r="B443" s="19">
        <v>92</v>
      </c>
      <c r="C443" s="19" t="s">
        <v>1015</v>
      </c>
      <c r="D443" s="20" t="s">
        <v>1385</v>
      </c>
      <c r="E443" s="21">
        <v>2520</v>
      </c>
      <c r="F443" s="22"/>
      <c r="G443" s="23">
        <v>55400</v>
      </c>
      <c r="H443" s="23">
        <v>0</v>
      </c>
      <c r="I443" s="23">
        <v>55400</v>
      </c>
      <c r="J443" s="23">
        <v>0</v>
      </c>
      <c r="K443" s="24">
        <v>0</v>
      </c>
    </row>
    <row r="444" spans="1:11" x14ac:dyDescent="0.25">
      <c r="A444" s="11">
        <v>46052</v>
      </c>
      <c r="B444" s="12">
        <v>92</v>
      </c>
      <c r="C444" s="12" t="s">
        <v>1015</v>
      </c>
      <c r="D444" s="13" t="s">
        <v>1384</v>
      </c>
      <c r="E444" s="14"/>
      <c r="F444" s="15">
        <v>55400</v>
      </c>
      <c r="G444" s="16"/>
      <c r="H444" s="16">
        <v>0</v>
      </c>
      <c r="I444" s="16">
        <v>0</v>
      </c>
      <c r="J444" s="16">
        <v>0</v>
      </c>
      <c r="K444" s="17">
        <v>0</v>
      </c>
    </row>
    <row r="445" spans="1:11" x14ac:dyDescent="0.25">
      <c r="A445" s="18">
        <v>46065</v>
      </c>
      <c r="B445" s="19">
        <v>92</v>
      </c>
      <c r="C445" s="19" t="s">
        <v>1015</v>
      </c>
      <c r="D445" s="20" t="s">
        <v>1384</v>
      </c>
      <c r="E445" s="21"/>
      <c r="F445" s="22">
        <v>55400</v>
      </c>
      <c r="G445" s="23"/>
      <c r="H445" s="23">
        <v>55400</v>
      </c>
      <c r="I445" s="23">
        <v>0</v>
      </c>
      <c r="J445" s="23">
        <v>0</v>
      </c>
      <c r="K445" s="24">
        <v>0</v>
      </c>
    </row>
    <row r="446" spans="1:11" x14ac:dyDescent="0.25">
      <c r="A446" s="11">
        <v>46065</v>
      </c>
      <c r="B446" s="12">
        <v>92</v>
      </c>
      <c r="C446" s="12" t="s">
        <v>1015</v>
      </c>
      <c r="D446" s="13" t="s">
        <v>1385</v>
      </c>
      <c r="E446" s="14">
        <v>2520</v>
      </c>
      <c r="F446" s="15"/>
      <c r="G446" s="16">
        <v>55400</v>
      </c>
      <c r="H446" s="16">
        <v>0</v>
      </c>
      <c r="I446" s="16">
        <v>0</v>
      </c>
      <c r="J446" s="16">
        <v>0</v>
      </c>
      <c r="K446" s="17">
        <v>0</v>
      </c>
    </row>
    <row r="447" spans="1:11" x14ac:dyDescent="0.25">
      <c r="A447" s="18">
        <v>46041</v>
      </c>
      <c r="B447" s="19">
        <v>93</v>
      </c>
      <c r="C447" s="19" t="s">
        <v>1011</v>
      </c>
      <c r="D447" s="20" t="s">
        <v>1384</v>
      </c>
      <c r="E447" s="21"/>
      <c r="F447" s="22">
        <v>76500</v>
      </c>
      <c r="G447" s="23"/>
      <c r="H447" s="23">
        <v>76500</v>
      </c>
      <c r="I447" s="23">
        <v>0</v>
      </c>
      <c r="J447" s="23">
        <v>0</v>
      </c>
      <c r="K447" s="24">
        <v>0</v>
      </c>
    </row>
    <row r="448" spans="1:11" x14ac:dyDescent="0.25">
      <c r="A448" s="11">
        <v>46041</v>
      </c>
      <c r="B448" s="12">
        <v>93</v>
      </c>
      <c r="C448" s="12" t="s">
        <v>1011</v>
      </c>
      <c r="D448" s="13" t="s">
        <v>1385</v>
      </c>
      <c r="E448" s="14">
        <v>3480</v>
      </c>
      <c r="F448" s="15"/>
      <c r="G448" s="16">
        <v>76500</v>
      </c>
      <c r="H448" s="16">
        <v>0</v>
      </c>
      <c r="I448" s="16">
        <v>0</v>
      </c>
      <c r="J448" s="16">
        <v>0</v>
      </c>
      <c r="K448" s="17">
        <v>0</v>
      </c>
    </row>
    <row r="449" spans="1:11" x14ac:dyDescent="0.25">
      <c r="A449" s="18">
        <v>46056</v>
      </c>
      <c r="B449" s="19">
        <v>93</v>
      </c>
      <c r="C449" s="19" t="s">
        <v>1011</v>
      </c>
      <c r="D449" s="20" t="s">
        <v>1385</v>
      </c>
      <c r="E449" s="21">
        <v>3480</v>
      </c>
      <c r="F449" s="22"/>
      <c r="G449" s="23">
        <v>76500</v>
      </c>
      <c r="H449" s="23">
        <v>0</v>
      </c>
      <c r="I449" s="23">
        <v>76500</v>
      </c>
      <c r="J449" s="23">
        <v>0</v>
      </c>
      <c r="K449" s="24">
        <v>0</v>
      </c>
    </row>
    <row r="450" spans="1:11" x14ac:dyDescent="0.25">
      <c r="A450" s="11">
        <v>46058</v>
      </c>
      <c r="B450" s="12">
        <v>93</v>
      </c>
      <c r="C450" s="12" t="s">
        <v>1011</v>
      </c>
      <c r="D450" s="13" t="s">
        <v>1384</v>
      </c>
      <c r="E450" s="14"/>
      <c r="F450" s="15">
        <v>57500</v>
      </c>
      <c r="G450" s="16"/>
      <c r="H450" s="16">
        <v>0</v>
      </c>
      <c r="I450" s="16">
        <v>19000</v>
      </c>
      <c r="J450" s="16">
        <v>0</v>
      </c>
      <c r="K450" s="17">
        <v>0</v>
      </c>
    </row>
    <row r="451" spans="1:11" x14ac:dyDescent="0.25">
      <c r="A451" s="18">
        <v>46058</v>
      </c>
      <c r="B451" s="19">
        <v>93</v>
      </c>
      <c r="C451" s="19" t="s">
        <v>1011</v>
      </c>
      <c r="D451" s="20" t="s">
        <v>1403</v>
      </c>
      <c r="E451" s="21"/>
      <c r="F451" s="22">
        <v>19000</v>
      </c>
      <c r="G451" s="23"/>
      <c r="H451" s="23">
        <v>0</v>
      </c>
      <c r="I451" s="23">
        <v>0</v>
      </c>
      <c r="J451" s="23">
        <v>0</v>
      </c>
      <c r="K451" s="24">
        <v>0</v>
      </c>
    </row>
    <row r="452" spans="1:11" x14ac:dyDescent="0.25">
      <c r="A452" s="11">
        <v>46071</v>
      </c>
      <c r="B452" s="12">
        <v>93</v>
      </c>
      <c r="C452" s="12" t="s">
        <v>1011</v>
      </c>
      <c r="D452" s="13" t="s">
        <v>1385</v>
      </c>
      <c r="E452" s="14">
        <v>3480</v>
      </c>
      <c r="F452" s="15"/>
      <c r="G452" s="16">
        <v>76500</v>
      </c>
      <c r="H452" s="16">
        <v>0</v>
      </c>
      <c r="I452" s="16">
        <v>76500</v>
      </c>
      <c r="J452" s="16">
        <v>0</v>
      </c>
      <c r="K452" s="17">
        <v>76500</v>
      </c>
    </row>
    <row r="453" spans="1:11" x14ac:dyDescent="0.25">
      <c r="A453" s="18">
        <v>46039</v>
      </c>
      <c r="B453" s="19">
        <v>94</v>
      </c>
      <c r="C453" s="19" t="s">
        <v>1007</v>
      </c>
      <c r="D453" s="20" t="s">
        <v>1384</v>
      </c>
      <c r="E453" s="21"/>
      <c r="F453" s="22">
        <v>145200</v>
      </c>
      <c r="G453" s="23"/>
      <c r="H453" s="23">
        <v>145200</v>
      </c>
      <c r="I453" s="23">
        <v>0</v>
      </c>
      <c r="J453" s="23">
        <v>0</v>
      </c>
      <c r="K453" s="24">
        <v>0</v>
      </c>
    </row>
    <row r="454" spans="1:11" x14ac:dyDescent="0.25">
      <c r="A454" s="11">
        <v>46039</v>
      </c>
      <c r="B454" s="12">
        <v>94</v>
      </c>
      <c r="C454" s="12" t="s">
        <v>1007</v>
      </c>
      <c r="D454" s="13"/>
      <c r="E454" s="14"/>
      <c r="F454" s="15"/>
      <c r="G454" s="16">
        <v>145200</v>
      </c>
      <c r="H454" s="16">
        <v>0</v>
      </c>
      <c r="I454" s="16">
        <v>0</v>
      </c>
      <c r="J454" s="16">
        <v>0</v>
      </c>
      <c r="K454" s="17">
        <v>0</v>
      </c>
    </row>
    <row r="455" spans="1:11" x14ac:dyDescent="0.25">
      <c r="A455" s="18">
        <v>46046</v>
      </c>
      <c r="B455" s="19">
        <v>94</v>
      </c>
      <c r="C455" s="19" t="s">
        <v>1007</v>
      </c>
      <c r="D455" s="20" t="s">
        <v>1385</v>
      </c>
      <c r="E455" s="21">
        <v>720</v>
      </c>
      <c r="F455" s="22"/>
      <c r="G455" s="23">
        <v>16133</v>
      </c>
      <c r="H455" s="23">
        <v>0</v>
      </c>
      <c r="I455" s="23">
        <v>16133</v>
      </c>
      <c r="J455" s="23">
        <v>0</v>
      </c>
      <c r="K455" s="24">
        <v>0</v>
      </c>
    </row>
    <row r="456" spans="1:11" x14ac:dyDescent="0.25">
      <c r="A456" s="11">
        <v>46046</v>
      </c>
      <c r="B456" s="12">
        <v>94</v>
      </c>
      <c r="C456" s="12" t="s">
        <v>1007</v>
      </c>
      <c r="D456" s="13" t="s">
        <v>1385</v>
      </c>
      <c r="E456" s="14">
        <v>5760</v>
      </c>
      <c r="F456" s="15"/>
      <c r="G456" s="16">
        <v>129067</v>
      </c>
      <c r="H456" s="16">
        <v>0</v>
      </c>
      <c r="I456" s="16">
        <v>145200</v>
      </c>
      <c r="J456" s="16">
        <v>0</v>
      </c>
      <c r="K456" s="17">
        <v>0</v>
      </c>
    </row>
    <row r="457" spans="1:11" x14ac:dyDescent="0.25">
      <c r="A457" s="18">
        <v>46057</v>
      </c>
      <c r="B457" s="19">
        <v>94</v>
      </c>
      <c r="C457" s="19" t="s">
        <v>1007</v>
      </c>
      <c r="D457" s="20" t="s">
        <v>1384</v>
      </c>
      <c r="E457" s="21"/>
      <c r="F457" s="22">
        <v>145200</v>
      </c>
      <c r="G457" s="23"/>
      <c r="H457" s="23">
        <v>0</v>
      </c>
      <c r="I457" s="23">
        <v>0</v>
      </c>
      <c r="J457" s="23">
        <v>0</v>
      </c>
      <c r="K457" s="24">
        <v>0</v>
      </c>
    </row>
    <row r="458" spans="1:11" x14ac:dyDescent="0.25">
      <c r="A458" s="11">
        <v>46063</v>
      </c>
      <c r="B458" s="12">
        <v>94</v>
      </c>
      <c r="C458" s="12" t="s">
        <v>1007</v>
      </c>
      <c r="D458" s="13" t="s">
        <v>1385</v>
      </c>
      <c r="E458" s="14">
        <v>3388</v>
      </c>
      <c r="F458" s="15"/>
      <c r="G458" s="16">
        <v>74507</v>
      </c>
      <c r="H458" s="16">
        <v>0</v>
      </c>
      <c r="I458" s="16">
        <v>74507</v>
      </c>
      <c r="J458" s="16">
        <v>0</v>
      </c>
      <c r="K458" s="17">
        <v>0</v>
      </c>
    </row>
    <row r="459" spans="1:11" x14ac:dyDescent="0.25">
      <c r="A459" s="18">
        <v>46063</v>
      </c>
      <c r="B459" s="19">
        <v>94</v>
      </c>
      <c r="C459" s="19" t="s">
        <v>1007</v>
      </c>
      <c r="D459" s="20" t="s">
        <v>1385</v>
      </c>
      <c r="E459" s="21">
        <v>3542</v>
      </c>
      <c r="F459" s="22"/>
      <c r="G459" s="23">
        <v>77893</v>
      </c>
      <c r="H459" s="23">
        <v>0</v>
      </c>
      <c r="I459" s="23">
        <v>152400</v>
      </c>
      <c r="J459" s="23">
        <v>0</v>
      </c>
      <c r="K459" s="24">
        <v>0</v>
      </c>
    </row>
    <row r="460" spans="1:11" x14ac:dyDescent="0.25">
      <c r="A460" s="11">
        <v>46069</v>
      </c>
      <c r="B460" s="12">
        <v>94</v>
      </c>
      <c r="C460" s="12" t="s">
        <v>1007</v>
      </c>
      <c r="D460" s="13" t="s">
        <v>1384</v>
      </c>
      <c r="E460" s="14"/>
      <c r="F460" s="15">
        <v>152400</v>
      </c>
      <c r="G460" s="16"/>
      <c r="H460" s="16">
        <v>0</v>
      </c>
      <c r="I460" s="16">
        <v>0</v>
      </c>
      <c r="J460" s="16">
        <v>0</v>
      </c>
      <c r="K460" s="17">
        <v>0</v>
      </c>
    </row>
    <row r="461" spans="1:11" x14ac:dyDescent="0.25">
      <c r="A461" s="18">
        <v>46043</v>
      </c>
      <c r="B461" s="19">
        <v>95</v>
      </c>
      <c r="C461" s="19" t="s">
        <v>1004</v>
      </c>
      <c r="D461" s="20" t="s">
        <v>1384</v>
      </c>
      <c r="E461" s="21"/>
      <c r="F461" s="22">
        <v>63000</v>
      </c>
      <c r="G461" s="23"/>
      <c r="H461" s="23">
        <v>63000</v>
      </c>
      <c r="I461" s="23">
        <v>0</v>
      </c>
      <c r="J461" s="23">
        <v>0</v>
      </c>
      <c r="K461" s="24">
        <v>0</v>
      </c>
    </row>
    <row r="462" spans="1:11" x14ac:dyDescent="0.25">
      <c r="A462" s="11">
        <v>46043</v>
      </c>
      <c r="B462" s="12">
        <v>95</v>
      </c>
      <c r="C462" s="12" t="s">
        <v>1004</v>
      </c>
      <c r="D462" s="13" t="s">
        <v>1385</v>
      </c>
      <c r="E462" s="14">
        <v>2880</v>
      </c>
      <c r="F462" s="15"/>
      <c r="G462" s="16">
        <v>63000</v>
      </c>
      <c r="H462" s="16">
        <v>0</v>
      </c>
      <c r="I462" s="16">
        <v>0</v>
      </c>
      <c r="J462" s="16">
        <v>0</v>
      </c>
      <c r="K462" s="17">
        <v>0</v>
      </c>
    </row>
    <row r="463" spans="1:11" x14ac:dyDescent="0.25">
      <c r="A463" s="18">
        <v>46066</v>
      </c>
      <c r="B463" s="19">
        <v>95</v>
      </c>
      <c r="C463" s="19" t="s">
        <v>1004</v>
      </c>
      <c r="D463" s="20" t="s">
        <v>1385</v>
      </c>
      <c r="E463" s="21">
        <v>2880</v>
      </c>
      <c r="F463" s="22"/>
      <c r="G463" s="23">
        <v>63000</v>
      </c>
      <c r="H463" s="23">
        <v>0</v>
      </c>
      <c r="I463" s="23">
        <v>63000</v>
      </c>
      <c r="J463" s="23">
        <v>0</v>
      </c>
      <c r="K463" s="24">
        <v>63000</v>
      </c>
    </row>
    <row r="464" spans="1:11" x14ac:dyDescent="0.25">
      <c r="A464" s="11">
        <v>46050</v>
      </c>
      <c r="B464" s="12">
        <v>96</v>
      </c>
      <c r="C464" s="12" t="s">
        <v>1000</v>
      </c>
      <c r="D464" s="13" t="s">
        <v>1384</v>
      </c>
      <c r="E464" s="14"/>
      <c r="F464" s="15">
        <v>114000</v>
      </c>
      <c r="G464" s="16"/>
      <c r="H464" s="16">
        <v>114000</v>
      </c>
      <c r="I464" s="16">
        <v>0</v>
      </c>
      <c r="J464" s="16">
        <v>0</v>
      </c>
      <c r="K464" s="17">
        <v>0</v>
      </c>
    </row>
    <row r="465" spans="1:11" x14ac:dyDescent="0.25">
      <c r="A465" s="18">
        <v>46051</v>
      </c>
      <c r="B465" s="19">
        <v>96</v>
      </c>
      <c r="C465" s="19" t="s">
        <v>1000</v>
      </c>
      <c r="D465" s="20" t="s">
        <v>1385</v>
      </c>
      <c r="E465" s="21">
        <v>3000</v>
      </c>
      <c r="F465" s="22"/>
      <c r="G465" s="23">
        <v>114000</v>
      </c>
      <c r="H465" s="23">
        <v>0</v>
      </c>
      <c r="I465" s="23">
        <v>0</v>
      </c>
      <c r="J465" s="23">
        <v>0</v>
      </c>
      <c r="K465" s="24">
        <v>0</v>
      </c>
    </row>
    <row r="466" spans="1:11" x14ac:dyDescent="0.25">
      <c r="A466" s="11">
        <v>46064</v>
      </c>
      <c r="B466" s="12">
        <v>96</v>
      </c>
      <c r="C466" s="12" t="s">
        <v>1000</v>
      </c>
      <c r="D466" s="13" t="s">
        <v>1384</v>
      </c>
      <c r="E466" s="14"/>
      <c r="F466" s="15">
        <v>114000</v>
      </c>
      <c r="G466" s="16"/>
      <c r="H466" s="16">
        <v>114000</v>
      </c>
      <c r="I466" s="16">
        <v>0</v>
      </c>
      <c r="J466" s="16">
        <v>0</v>
      </c>
      <c r="K466" s="17">
        <v>0</v>
      </c>
    </row>
    <row r="467" spans="1:11" x14ac:dyDescent="0.25">
      <c r="A467" s="18">
        <v>46065</v>
      </c>
      <c r="B467" s="19">
        <v>96</v>
      </c>
      <c r="C467" s="19" t="s">
        <v>1000</v>
      </c>
      <c r="D467" s="20" t="s">
        <v>1385</v>
      </c>
      <c r="E467" s="21">
        <v>3000</v>
      </c>
      <c r="F467" s="22"/>
      <c r="G467" s="23">
        <v>114000</v>
      </c>
      <c r="H467" s="23">
        <v>0</v>
      </c>
      <c r="I467" s="23">
        <v>0</v>
      </c>
      <c r="J467" s="23">
        <v>0</v>
      </c>
      <c r="K467" s="24">
        <v>0</v>
      </c>
    </row>
    <row r="468" spans="1:11" x14ac:dyDescent="0.25">
      <c r="A468" s="11">
        <v>46051</v>
      </c>
      <c r="B468" s="12">
        <v>97</v>
      </c>
      <c r="C468" s="12" t="s">
        <v>996</v>
      </c>
      <c r="D468" s="13" t="s">
        <v>1385</v>
      </c>
      <c r="E468" s="14">
        <v>4050</v>
      </c>
      <c r="F468" s="15"/>
      <c r="G468" s="16">
        <v>118200</v>
      </c>
      <c r="H468" s="16">
        <v>0</v>
      </c>
      <c r="I468" s="16">
        <v>118200</v>
      </c>
      <c r="J468" s="16">
        <v>0</v>
      </c>
      <c r="K468" s="17">
        <v>0</v>
      </c>
    </row>
    <row r="469" spans="1:11" x14ac:dyDescent="0.25">
      <c r="A469" s="18">
        <v>46054</v>
      </c>
      <c r="B469" s="19">
        <v>97</v>
      </c>
      <c r="C469" s="19" t="s">
        <v>996</v>
      </c>
      <c r="D469" s="20" t="s">
        <v>1384</v>
      </c>
      <c r="E469" s="21"/>
      <c r="F469" s="22">
        <v>118200</v>
      </c>
      <c r="G469" s="23"/>
      <c r="H469" s="23">
        <v>0</v>
      </c>
      <c r="I469" s="23">
        <v>0</v>
      </c>
      <c r="J469" s="23">
        <v>0</v>
      </c>
      <c r="K469" s="24">
        <v>0</v>
      </c>
    </row>
    <row r="470" spans="1:11" x14ac:dyDescent="0.25">
      <c r="A470" s="11">
        <v>46065</v>
      </c>
      <c r="B470" s="12">
        <v>97</v>
      </c>
      <c r="C470" s="12" t="s">
        <v>996</v>
      </c>
      <c r="D470" s="13" t="s">
        <v>1385</v>
      </c>
      <c r="E470" s="14">
        <v>4050</v>
      </c>
      <c r="F470" s="15"/>
      <c r="G470" s="16">
        <v>151800</v>
      </c>
      <c r="H470" s="16">
        <v>0</v>
      </c>
      <c r="I470" s="16">
        <v>151800</v>
      </c>
      <c r="J470" s="16">
        <v>0</v>
      </c>
      <c r="K470" s="17">
        <v>0</v>
      </c>
    </row>
    <row r="471" spans="1:11" x14ac:dyDescent="0.25">
      <c r="A471" s="18">
        <v>46069</v>
      </c>
      <c r="B471" s="19">
        <v>97</v>
      </c>
      <c r="C471" s="19" t="s">
        <v>996</v>
      </c>
      <c r="D471" s="20" t="s">
        <v>1384</v>
      </c>
      <c r="E471" s="21"/>
      <c r="F471" s="22">
        <v>151800</v>
      </c>
      <c r="G471" s="23"/>
      <c r="H471" s="23">
        <v>0</v>
      </c>
      <c r="I471" s="23">
        <v>0</v>
      </c>
      <c r="J471" s="23">
        <v>0</v>
      </c>
      <c r="K471" s="24">
        <v>0</v>
      </c>
    </row>
    <row r="472" spans="1:11" x14ac:dyDescent="0.25">
      <c r="A472" s="11">
        <v>46039</v>
      </c>
      <c r="B472" s="12">
        <v>98</v>
      </c>
      <c r="C472" s="12" t="s">
        <v>992</v>
      </c>
      <c r="D472" s="13"/>
      <c r="E472" s="14"/>
      <c r="F472" s="15">
        <v>0</v>
      </c>
      <c r="G472" s="16"/>
      <c r="H472" s="16">
        <v>0</v>
      </c>
      <c r="I472" s="16">
        <v>0</v>
      </c>
      <c r="J472" s="16">
        <v>0</v>
      </c>
      <c r="K472" s="17">
        <v>0</v>
      </c>
    </row>
    <row r="473" spans="1:11" x14ac:dyDescent="0.25">
      <c r="A473" s="18">
        <v>46045</v>
      </c>
      <c r="B473" s="19">
        <v>98</v>
      </c>
      <c r="C473" s="19" t="s">
        <v>992</v>
      </c>
      <c r="D473" s="20" t="s">
        <v>1385</v>
      </c>
      <c r="E473" s="21">
        <v>3180</v>
      </c>
      <c r="F473" s="22"/>
      <c r="G473" s="23">
        <v>114400</v>
      </c>
      <c r="H473" s="23">
        <v>0</v>
      </c>
      <c r="I473" s="23">
        <v>114400</v>
      </c>
      <c r="J473" s="23">
        <v>0</v>
      </c>
      <c r="K473" s="24">
        <v>0</v>
      </c>
    </row>
    <row r="474" spans="1:11" x14ac:dyDescent="0.25">
      <c r="A474" s="11">
        <v>46045</v>
      </c>
      <c r="B474" s="12">
        <v>98</v>
      </c>
      <c r="C474" s="12" t="s">
        <v>992</v>
      </c>
      <c r="D474" s="13" t="s">
        <v>1383</v>
      </c>
      <c r="E474" s="14">
        <v>1000</v>
      </c>
      <c r="F474" s="15"/>
      <c r="G474" s="16">
        <v>57000</v>
      </c>
      <c r="H474" s="16">
        <v>0</v>
      </c>
      <c r="I474" s="16">
        <v>171400</v>
      </c>
      <c r="J474" s="16">
        <v>0</v>
      </c>
      <c r="K474" s="17">
        <v>0</v>
      </c>
    </row>
    <row r="475" spans="1:11" x14ac:dyDescent="0.25">
      <c r="A475" s="18">
        <v>46048</v>
      </c>
      <c r="B475" s="19">
        <v>98</v>
      </c>
      <c r="C475" s="19" t="s">
        <v>992</v>
      </c>
      <c r="D475" s="20" t="s">
        <v>1384</v>
      </c>
      <c r="E475" s="21"/>
      <c r="F475" s="22">
        <v>171400</v>
      </c>
      <c r="G475" s="23"/>
      <c r="H475" s="23">
        <v>0</v>
      </c>
      <c r="I475" s="23">
        <v>0</v>
      </c>
      <c r="J475" s="23">
        <v>0</v>
      </c>
      <c r="K475" s="24">
        <v>0</v>
      </c>
    </row>
    <row r="476" spans="1:11" x14ac:dyDescent="0.25">
      <c r="A476" s="11">
        <v>46055</v>
      </c>
      <c r="B476" s="12">
        <v>98</v>
      </c>
      <c r="C476" s="12" t="s">
        <v>992</v>
      </c>
      <c r="D476" s="13" t="s">
        <v>1385</v>
      </c>
      <c r="E476" s="14">
        <v>3180</v>
      </c>
      <c r="F476" s="15"/>
      <c r="G476" s="16">
        <v>114400</v>
      </c>
      <c r="H476" s="16">
        <v>0</v>
      </c>
      <c r="I476" s="16">
        <v>114400</v>
      </c>
      <c r="J476" s="16">
        <v>0</v>
      </c>
      <c r="K476" s="17">
        <v>0</v>
      </c>
    </row>
    <row r="477" spans="1:11" x14ac:dyDescent="0.25">
      <c r="A477" s="18">
        <v>46055</v>
      </c>
      <c r="B477" s="19">
        <v>98</v>
      </c>
      <c r="C477" s="19" t="s">
        <v>992</v>
      </c>
      <c r="D477" s="20" t="s">
        <v>1383</v>
      </c>
      <c r="E477" s="21">
        <v>1000</v>
      </c>
      <c r="F477" s="22"/>
      <c r="G477" s="23">
        <v>0</v>
      </c>
      <c r="H477" s="23">
        <v>0</v>
      </c>
      <c r="I477" s="23">
        <v>114400</v>
      </c>
      <c r="J477" s="23">
        <v>0</v>
      </c>
      <c r="K477" s="24">
        <v>0</v>
      </c>
    </row>
    <row r="478" spans="1:11" x14ac:dyDescent="0.25">
      <c r="A478" s="11">
        <v>46060</v>
      </c>
      <c r="B478" s="12">
        <v>98</v>
      </c>
      <c r="C478" s="12" t="s">
        <v>992</v>
      </c>
      <c r="D478" s="13" t="s">
        <v>208</v>
      </c>
      <c r="E478" s="14">
        <v>0</v>
      </c>
      <c r="F478" s="15"/>
      <c r="G478" s="16">
        <v>0</v>
      </c>
      <c r="H478" s="16">
        <v>0</v>
      </c>
      <c r="I478" s="16">
        <v>114400</v>
      </c>
      <c r="J478" s="16">
        <v>0</v>
      </c>
      <c r="K478" s="17">
        <v>0</v>
      </c>
    </row>
    <row r="479" spans="1:11" x14ac:dyDescent="0.25">
      <c r="A479" s="18">
        <v>46065</v>
      </c>
      <c r="B479" s="19">
        <v>98</v>
      </c>
      <c r="C479" s="19" t="s">
        <v>992</v>
      </c>
      <c r="D479" s="20" t="s">
        <v>1385</v>
      </c>
      <c r="E479" s="21">
        <v>3180</v>
      </c>
      <c r="F479" s="22"/>
      <c r="G479" s="23">
        <v>114400</v>
      </c>
      <c r="H479" s="23">
        <v>0</v>
      </c>
      <c r="I479" s="23">
        <v>228800</v>
      </c>
      <c r="J479" s="23">
        <v>0</v>
      </c>
      <c r="K479" s="24">
        <v>0</v>
      </c>
    </row>
    <row r="480" spans="1:11" x14ac:dyDescent="0.25">
      <c r="A480" s="11">
        <v>46069</v>
      </c>
      <c r="B480" s="12">
        <v>98</v>
      </c>
      <c r="C480" s="12" t="s">
        <v>992</v>
      </c>
      <c r="D480" s="13" t="s">
        <v>1384</v>
      </c>
      <c r="E480" s="14"/>
      <c r="F480" s="15">
        <v>228800</v>
      </c>
      <c r="G480" s="16"/>
      <c r="H480" s="16">
        <v>0</v>
      </c>
      <c r="I480" s="16">
        <v>0</v>
      </c>
      <c r="J480" s="16">
        <v>0</v>
      </c>
      <c r="K480" s="17">
        <v>0</v>
      </c>
    </row>
    <row r="481" spans="1:11" x14ac:dyDescent="0.25">
      <c r="A481" s="18">
        <v>46039</v>
      </c>
      <c r="B481" s="19">
        <v>99</v>
      </c>
      <c r="C481" s="19" t="s">
        <v>988</v>
      </c>
      <c r="D481" s="20"/>
      <c r="E481" s="21"/>
      <c r="F481" s="22"/>
      <c r="G481" s="23">
        <v>105000</v>
      </c>
      <c r="H481" s="23">
        <v>0</v>
      </c>
      <c r="I481" s="23">
        <v>105000</v>
      </c>
      <c r="J481" s="23">
        <v>0</v>
      </c>
      <c r="K481" s="24">
        <v>0</v>
      </c>
    </row>
    <row r="482" spans="1:11" x14ac:dyDescent="0.25">
      <c r="A482" s="11">
        <v>46039</v>
      </c>
      <c r="B482" s="12">
        <v>99</v>
      </c>
      <c r="C482" s="12" t="s">
        <v>988</v>
      </c>
      <c r="D482" s="13" t="s">
        <v>1384</v>
      </c>
      <c r="E482" s="14"/>
      <c r="F482" s="15">
        <v>105000</v>
      </c>
      <c r="G482" s="16"/>
      <c r="H482" s="16">
        <v>0</v>
      </c>
      <c r="I482" s="16">
        <v>0</v>
      </c>
      <c r="J482" s="16">
        <v>0</v>
      </c>
      <c r="K482" s="17">
        <v>0</v>
      </c>
    </row>
    <row r="483" spans="1:11" x14ac:dyDescent="0.25">
      <c r="A483" s="18">
        <v>46057</v>
      </c>
      <c r="B483" s="19">
        <v>99</v>
      </c>
      <c r="C483" s="19" t="s">
        <v>988</v>
      </c>
      <c r="D483" s="20" t="s">
        <v>1385</v>
      </c>
      <c r="E483" s="21">
        <v>5000</v>
      </c>
      <c r="F483" s="22"/>
      <c r="G483" s="23">
        <v>125000</v>
      </c>
      <c r="H483" s="23">
        <v>0</v>
      </c>
      <c r="I483" s="23">
        <v>125000</v>
      </c>
      <c r="J483" s="23">
        <v>0</v>
      </c>
      <c r="K483" s="24">
        <v>0</v>
      </c>
    </row>
    <row r="484" spans="1:11" x14ac:dyDescent="0.25">
      <c r="A484" s="11">
        <v>46058</v>
      </c>
      <c r="B484" s="12">
        <v>99</v>
      </c>
      <c r="C484" s="12" t="s">
        <v>988</v>
      </c>
      <c r="D484" s="13" t="s">
        <v>1384</v>
      </c>
      <c r="E484" s="14"/>
      <c r="F484" s="15">
        <v>125000</v>
      </c>
      <c r="G484" s="16"/>
      <c r="H484" s="16">
        <v>0</v>
      </c>
      <c r="I484" s="16">
        <v>0</v>
      </c>
      <c r="J484" s="16">
        <v>0</v>
      </c>
      <c r="K484" s="17">
        <v>0</v>
      </c>
    </row>
    <row r="485" spans="1:11" x14ac:dyDescent="0.25">
      <c r="A485" s="18">
        <v>46052</v>
      </c>
      <c r="B485" s="19">
        <v>100</v>
      </c>
      <c r="C485" s="19" t="s">
        <v>984</v>
      </c>
      <c r="D485" s="20" t="s">
        <v>1385</v>
      </c>
      <c r="E485" s="21">
        <v>3330</v>
      </c>
      <c r="F485" s="22"/>
      <c r="G485" s="23">
        <v>128700</v>
      </c>
      <c r="H485" s="23">
        <v>0</v>
      </c>
      <c r="I485" s="23">
        <v>128700</v>
      </c>
      <c r="J485" s="23">
        <v>0</v>
      </c>
      <c r="K485" s="24">
        <v>0</v>
      </c>
    </row>
    <row r="486" spans="1:11" x14ac:dyDescent="0.25">
      <c r="A486" s="11">
        <v>46052</v>
      </c>
      <c r="B486" s="12">
        <v>100</v>
      </c>
      <c r="C486" s="12" t="s">
        <v>984</v>
      </c>
      <c r="D486" s="13" t="s">
        <v>1384</v>
      </c>
      <c r="E486" s="14"/>
      <c r="F486" s="15">
        <v>128700</v>
      </c>
      <c r="G486" s="16"/>
      <c r="H486" s="16">
        <v>0</v>
      </c>
      <c r="I486" s="16">
        <v>0</v>
      </c>
      <c r="J486" s="16">
        <v>0</v>
      </c>
      <c r="K486" s="17">
        <v>0</v>
      </c>
    </row>
    <row r="487" spans="1:11" x14ac:dyDescent="0.25">
      <c r="A487" s="18">
        <v>46067</v>
      </c>
      <c r="B487" s="19">
        <v>100</v>
      </c>
      <c r="C487" s="19" t="s">
        <v>984</v>
      </c>
      <c r="D487" s="20" t="s">
        <v>1384</v>
      </c>
      <c r="E487" s="21"/>
      <c r="F487" s="22">
        <v>128700</v>
      </c>
      <c r="G487" s="23"/>
      <c r="H487" s="23">
        <v>128700</v>
      </c>
      <c r="I487" s="23">
        <v>0</v>
      </c>
      <c r="J487" s="23">
        <v>0</v>
      </c>
      <c r="K487" s="24">
        <v>0</v>
      </c>
    </row>
    <row r="488" spans="1:11" x14ac:dyDescent="0.25">
      <c r="A488" s="11">
        <v>46069</v>
      </c>
      <c r="B488" s="12">
        <v>100</v>
      </c>
      <c r="C488" s="12" t="s">
        <v>984</v>
      </c>
      <c r="D488" s="13" t="s">
        <v>1385</v>
      </c>
      <c r="E488" s="14">
        <v>3330</v>
      </c>
      <c r="F488" s="15"/>
      <c r="G488" s="16">
        <v>128700</v>
      </c>
      <c r="H488" s="16">
        <v>0</v>
      </c>
      <c r="I488" s="16">
        <v>0</v>
      </c>
      <c r="J488" s="16">
        <v>0</v>
      </c>
      <c r="K488" s="17">
        <v>0</v>
      </c>
    </row>
    <row r="489" spans="1:11" x14ac:dyDescent="0.25">
      <c r="A489" s="18">
        <v>46045</v>
      </c>
      <c r="B489" s="19">
        <v>101</v>
      </c>
      <c r="C489" s="19" t="s">
        <v>980</v>
      </c>
      <c r="D489" s="20" t="s">
        <v>1390</v>
      </c>
      <c r="E489" s="21"/>
      <c r="F489" s="22">
        <v>187650</v>
      </c>
      <c r="G489" s="23"/>
      <c r="H489" s="23">
        <v>187650</v>
      </c>
      <c r="I489" s="23">
        <v>0</v>
      </c>
      <c r="J489" s="23">
        <v>0</v>
      </c>
      <c r="K489" s="24">
        <v>0</v>
      </c>
    </row>
    <row r="490" spans="1:11" x14ac:dyDescent="0.25">
      <c r="A490" s="11">
        <v>46045</v>
      </c>
      <c r="B490" s="12">
        <v>101</v>
      </c>
      <c r="C490" s="12" t="s">
        <v>980</v>
      </c>
      <c r="D490" s="13" t="s">
        <v>1385</v>
      </c>
      <c r="E490" s="14">
        <v>4500</v>
      </c>
      <c r="F490" s="15"/>
      <c r="G490" s="16">
        <v>187650</v>
      </c>
      <c r="H490" s="16">
        <v>0</v>
      </c>
      <c r="I490" s="16">
        <v>0</v>
      </c>
      <c r="J490" s="16">
        <v>0</v>
      </c>
      <c r="K490" s="17">
        <v>0</v>
      </c>
    </row>
    <row r="491" spans="1:11" x14ac:dyDescent="0.25">
      <c r="A491" s="18">
        <v>46062</v>
      </c>
      <c r="B491" s="19">
        <v>101</v>
      </c>
      <c r="C491" s="19" t="s">
        <v>1410</v>
      </c>
      <c r="D491" s="20" t="s">
        <v>1385</v>
      </c>
      <c r="E491" s="21">
        <v>4500</v>
      </c>
      <c r="F491" s="22"/>
      <c r="G491" s="23">
        <v>187650</v>
      </c>
      <c r="H491" s="23">
        <v>0</v>
      </c>
      <c r="I491" s="23">
        <v>187650</v>
      </c>
      <c r="J491" s="23">
        <v>0</v>
      </c>
      <c r="K491" s="24">
        <v>0</v>
      </c>
    </row>
    <row r="492" spans="1:11" x14ac:dyDescent="0.25">
      <c r="A492" s="11">
        <v>46062</v>
      </c>
      <c r="B492" s="12">
        <v>101</v>
      </c>
      <c r="C492" s="12" t="s">
        <v>1410</v>
      </c>
      <c r="D492" s="13" t="s">
        <v>1390</v>
      </c>
      <c r="E492" s="14"/>
      <c r="F492" s="15">
        <v>187650</v>
      </c>
      <c r="G492" s="16"/>
      <c r="H492" s="16">
        <v>0</v>
      </c>
      <c r="I492" s="16">
        <v>0</v>
      </c>
      <c r="J492" s="16">
        <v>0</v>
      </c>
      <c r="K492" s="17">
        <v>0</v>
      </c>
    </row>
    <row r="493" spans="1:11" x14ac:dyDescent="0.25">
      <c r="A493" s="18">
        <v>46055</v>
      </c>
      <c r="B493" s="19">
        <v>103</v>
      </c>
      <c r="C493" s="19" t="s">
        <v>972</v>
      </c>
      <c r="D493" s="20" t="s">
        <v>1384</v>
      </c>
      <c r="E493" s="21"/>
      <c r="F493" s="22">
        <v>97800</v>
      </c>
      <c r="G493" s="23"/>
      <c r="H493" s="23">
        <v>97800</v>
      </c>
      <c r="I493" s="23">
        <v>0</v>
      </c>
      <c r="J493" s="23">
        <v>0</v>
      </c>
      <c r="K493" s="24">
        <v>0</v>
      </c>
    </row>
    <row r="494" spans="1:11" x14ac:dyDescent="0.25">
      <c r="A494" s="11">
        <v>46055</v>
      </c>
      <c r="B494" s="12">
        <v>103</v>
      </c>
      <c r="C494" s="12" t="s">
        <v>972</v>
      </c>
      <c r="D494" s="13" t="s">
        <v>1385</v>
      </c>
      <c r="E494" s="14">
        <v>2550</v>
      </c>
      <c r="F494" s="15"/>
      <c r="G494" s="16">
        <v>97800</v>
      </c>
      <c r="H494" s="16">
        <v>0</v>
      </c>
      <c r="I494" s="16">
        <v>0</v>
      </c>
      <c r="J494" s="16">
        <v>0</v>
      </c>
      <c r="K494" s="17">
        <v>0</v>
      </c>
    </row>
    <row r="495" spans="1:11" x14ac:dyDescent="0.25">
      <c r="A495" s="18">
        <v>46070</v>
      </c>
      <c r="B495" s="19">
        <v>103</v>
      </c>
      <c r="C495" s="19" t="s">
        <v>972</v>
      </c>
      <c r="D495" s="20" t="s">
        <v>1384</v>
      </c>
      <c r="E495" s="21"/>
      <c r="F495" s="22">
        <v>48900</v>
      </c>
      <c r="G495" s="23"/>
      <c r="H495" s="23">
        <v>48900</v>
      </c>
      <c r="I495" s="23">
        <v>0</v>
      </c>
      <c r="J495" s="23">
        <v>0</v>
      </c>
      <c r="K495" s="24">
        <v>0</v>
      </c>
    </row>
    <row r="496" spans="1:11" x14ac:dyDescent="0.25">
      <c r="A496" s="11">
        <v>46070</v>
      </c>
      <c r="B496" s="12">
        <v>103</v>
      </c>
      <c r="C496" s="12" t="s">
        <v>972</v>
      </c>
      <c r="D496" s="13" t="s">
        <v>1385</v>
      </c>
      <c r="E496" s="14">
        <v>1190</v>
      </c>
      <c r="F496" s="15"/>
      <c r="G496" s="16">
        <v>45640</v>
      </c>
      <c r="H496" s="16">
        <v>3260</v>
      </c>
      <c r="I496" s="16">
        <v>0</v>
      </c>
      <c r="J496" s="16">
        <v>3260</v>
      </c>
      <c r="K496" s="17">
        <v>0</v>
      </c>
    </row>
    <row r="497" spans="1:11" x14ac:dyDescent="0.25">
      <c r="A497" s="18">
        <v>46048</v>
      </c>
      <c r="B497" s="19">
        <v>105</v>
      </c>
      <c r="C497" s="19" t="s">
        <v>967</v>
      </c>
      <c r="D497" s="20" t="s">
        <v>1385</v>
      </c>
      <c r="E497" s="21">
        <v>3000</v>
      </c>
      <c r="F497" s="22"/>
      <c r="G497" s="23">
        <v>96000</v>
      </c>
      <c r="H497" s="23">
        <v>0</v>
      </c>
      <c r="I497" s="23">
        <v>96000</v>
      </c>
      <c r="J497" s="23">
        <v>0</v>
      </c>
      <c r="K497" s="24">
        <v>0</v>
      </c>
    </row>
    <row r="498" spans="1:11" x14ac:dyDescent="0.25">
      <c r="A498" s="11">
        <v>46052</v>
      </c>
      <c r="B498" s="12">
        <v>105</v>
      </c>
      <c r="C498" s="12" t="s">
        <v>967</v>
      </c>
      <c r="D498" s="13" t="s">
        <v>1384</v>
      </c>
      <c r="E498" s="14"/>
      <c r="F498" s="15">
        <v>96000</v>
      </c>
      <c r="G498" s="16"/>
      <c r="H498" s="16">
        <v>0</v>
      </c>
      <c r="I498" s="16">
        <v>0</v>
      </c>
      <c r="J498" s="16">
        <v>0</v>
      </c>
      <c r="K498" s="17">
        <v>0</v>
      </c>
    </row>
    <row r="499" spans="1:11" x14ac:dyDescent="0.25">
      <c r="A499" s="18">
        <v>46039</v>
      </c>
      <c r="B499" s="19">
        <v>107</v>
      </c>
      <c r="C499" s="19" t="s">
        <v>959</v>
      </c>
      <c r="D499" s="20"/>
      <c r="E499" s="21"/>
      <c r="F499" s="22"/>
      <c r="G499" s="23">
        <v>71080</v>
      </c>
      <c r="H499" s="23">
        <v>0</v>
      </c>
      <c r="I499" s="23">
        <v>71080</v>
      </c>
      <c r="J499" s="23">
        <v>0</v>
      </c>
      <c r="K499" s="24">
        <v>0</v>
      </c>
    </row>
    <row r="500" spans="1:11" x14ac:dyDescent="0.25">
      <c r="A500" s="11">
        <v>46042</v>
      </c>
      <c r="B500" s="12">
        <v>107</v>
      </c>
      <c r="C500" s="12" t="s">
        <v>959</v>
      </c>
      <c r="D500" s="13" t="s">
        <v>1384</v>
      </c>
      <c r="E500" s="14"/>
      <c r="F500" s="15">
        <v>142160</v>
      </c>
      <c r="G500" s="16"/>
      <c r="H500" s="16">
        <v>71080</v>
      </c>
      <c r="I500" s="16">
        <v>0</v>
      </c>
      <c r="J500" s="16">
        <v>0</v>
      </c>
      <c r="K500" s="17">
        <v>0</v>
      </c>
    </row>
    <row r="501" spans="1:11" x14ac:dyDescent="0.25">
      <c r="A501" s="18">
        <v>46052</v>
      </c>
      <c r="B501" s="19">
        <v>107</v>
      </c>
      <c r="C501" s="19" t="s">
        <v>959</v>
      </c>
      <c r="D501" s="20" t="s">
        <v>1385</v>
      </c>
      <c r="E501" s="21">
        <v>1260</v>
      </c>
      <c r="F501" s="22"/>
      <c r="G501" s="23">
        <v>73080</v>
      </c>
      <c r="H501" s="23">
        <v>0</v>
      </c>
      <c r="I501" s="23">
        <v>2000</v>
      </c>
      <c r="J501" s="23">
        <v>0</v>
      </c>
      <c r="K501" s="24">
        <v>0</v>
      </c>
    </row>
    <row r="502" spans="1:11" x14ac:dyDescent="0.25">
      <c r="A502" s="11">
        <v>46064</v>
      </c>
      <c r="B502" s="12">
        <v>107</v>
      </c>
      <c r="C502" s="12" t="s">
        <v>959</v>
      </c>
      <c r="D502" s="13" t="s">
        <v>1384</v>
      </c>
      <c r="E502" s="14"/>
      <c r="F502" s="15">
        <v>142160</v>
      </c>
      <c r="G502" s="16"/>
      <c r="H502" s="16">
        <v>140160</v>
      </c>
      <c r="I502" s="16">
        <v>0</v>
      </c>
      <c r="J502" s="16">
        <v>0</v>
      </c>
      <c r="K502" s="17">
        <v>0</v>
      </c>
    </row>
    <row r="503" spans="1:11" x14ac:dyDescent="0.25">
      <c r="A503" s="18">
        <v>46064</v>
      </c>
      <c r="B503" s="19">
        <v>107</v>
      </c>
      <c r="C503" s="19" t="s">
        <v>959</v>
      </c>
      <c r="D503" s="20" t="s">
        <v>1384</v>
      </c>
      <c r="E503" s="21"/>
      <c r="F503" s="22">
        <v>4000</v>
      </c>
      <c r="G503" s="23"/>
      <c r="H503" s="23">
        <v>144160</v>
      </c>
      <c r="I503" s="23">
        <v>0</v>
      </c>
      <c r="J503" s="23">
        <v>0</v>
      </c>
      <c r="K503" s="24">
        <v>0</v>
      </c>
    </row>
    <row r="504" spans="1:11" x14ac:dyDescent="0.25">
      <c r="A504" s="11">
        <v>46066</v>
      </c>
      <c r="B504" s="12">
        <v>107</v>
      </c>
      <c r="C504" s="12" t="s">
        <v>959</v>
      </c>
      <c r="D504" s="13" t="s">
        <v>1385</v>
      </c>
      <c r="E504" s="14">
        <v>1260</v>
      </c>
      <c r="F504" s="15"/>
      <c r="G504" s="16">
        <v>73080</v>
      </c>
      <c r="H504" s="16">
        <v>71080</v>
      </c>
      <c r="I504" s="16">
        <v>0</v>
      </c>
      <c r="J504" s="16">
        <v>71080</v>
      </c>
      <c r="K504" s="17">
        <v>0</v>
      </c>
    </row>
    <row r="505" spans="1:11" x14ac:dyDescent="0.25">
      <c r="A505" s="18">
        <v>46039</v>
      </c>
      <c r="B505" s="19">
        <v>108</v>
      </c>
      <c r="C505" s="19" t="s">
        <v>956</v>
      </c>
      <c r="D505" s="20" t="s">
        <v>1384</v>
      </c>
      <c r="E505" s="21"/>
      <c r="F505" s="22">
        <v>112320</v>
      </c>
      <c r="G505" s="23"/>
      <c r="H505" s="23">
        <v>112320</v>
      </c>
      <c r="I505" s="23">
        <v>0</v>
      </c>
      <c r="J505" s="23">
        <v>0</v>
      </c>
      <c r="K505" s="24">
        <v>0</v>
      </c>
    </row>
    <row r="506" spans="1:11" x14ac:dyDescent="0.25">
      <c r="A506" s="11">
        <v>46039</v>
      </c>
      <c r="B506" s="12">
        <v>108</v>
      </c>
      <c r="C506" s="12" t="s">
        <v>956</v>
      </c>
      <c r="D506" s="13"/>
      <c r="E506" s="14"/>
      <c r="F506" s="15"/>
      <c r="G506" s="16">
        <v>112320</v>
      </c>
      <c r="H506" s="16">
        <v>0</v>
      </c>
      <c r="I506" s="16">
        <v>0</v>
      </c>
      <c r="J506" s="16">
        <v>0</v>
      </c>
      <c r="K506" s="17">
        <v>0</v>
      </c>
    </row>
    <row r="507" spans="1:11" x14ac:dyDescent="0.25">
      <c r="A507" s="18">
        <v>46051</v>
      </c>
      <c r="B507" s="19">
        <v>108</v>
      </c>
      <c r="C507" s="19" t="s">
        <v>956</v>
      </c>
      <c r="D507" s="20" t="s">
        <v>1384</v>
      </c>
      <c r="E507" s="21"/>
      <c r="F507" s="22">
        <v>112320</v>
      </c>
      <c r="G507" s="23"/>
      <c r="H507" s="23">
        <v>112320</v>
      </c>
      <c r="I507" s="23">
        <v>0</v>
      </c>
      <c r="J507" s="23">
        <v>0</v>
      </c>
      <c r="K507" s="24">
        <v>0</v>
      </c>
    </row>
    <row r="508" spans="1:11" x14ac:dyDescent="0.25">
      <c r="A508" s="11">
        <v>46051</v>
      </c>
      <c r="B508" s="12">
        <v>108</v>
      </c>
      <c r="C508" s="12" t="s">
        <v>956</v>
      </c>
      <c r="D508" s="13" t="s">
        <v>1385</v>
      </c>
      <c r="E508" s="14">
        <v>2880</v>
      </c>
      <c r="F508" s="15"/>
      <c r="G508" s="16">
        <v>112320</v>
      </c>
      <c r="H508" s="16">
        <v>0</v>
      </c>
      <c r="I508" s="16">
        <v>0</v>
      </c>
      <c r="J508" s="16">
        <v>0</v>
      </c>
      <c r="K508" s="17">
        <v>0</v>
      </c>
    </row>
    <row r="509" spans="1:11" x14ac:dyDescent="0.25">
      <c r="A509" s="18">
        <v>46065</v>
      </c>
      <c r="B509" s="19">
        <v>108</v>
      </c>
      <c r="C509" s="19" t="s">
        <v>956</v>
      </c>
      <c r="D509" s="20" t="s">
        <v>1384</v>
      </c>
      <c r="E509" s="21"/>
      <c r="F509" s="22">
        <v>112320</v>
      </c>
      <c r="G509" s="23"/>
      <c r="H509" s="23">
        <v>112320</v>
      </c>
      <c r="I509" s="23">
        <v>0</v>
      </c>
      <c r="J509" s="23">
        <v>0</v>
      </c>
      <c r="K509" s="24">
        <v>0</v>
      </c>
    </row>
    <row r="510" spans="1:11" x14ac:dyDescent="0.25">
      <c r="A510" s="11">
        <v>46066</v>
      </c>
      <c r="B510" s="12">
        <v>108</v>
      </c>
      <c r="C510" s="12" t="s">
        <v>956</v>
      </c>
      <c r="D510" s="13" t="s">
        <v>1385</v>
      </c>
      <c r="E510" s="14">
        <v>2880</v>
      </c>
      <c r="F510" s="15"/>
      <c r="G510" s="16">
        <v>112320</v>
      </c>
      <c r="H510" s="16">
        <v>0</v>
      </c>
      <c r="I510" s="16">
        <v>0</v>
      </c>
      <c r="J510" s="16">
        <v>0</v>
      </c>
      <c r="K510" s="17">
        <v>0</v>
      </c>
    </row>
    <row r="511" spans="1:11" x14ac:dyDescent="0.25">
      <c r="A511" s="18">
        <v>46061</v>
      </c>
      <c r="B511" s="19">
        <v>109</v>
      </c>
      <c r="C511" s="19" t="s">
        <v>952</v>
      </c>
      <c r="D511" s="20" t="s">
        <v>1384</v>
      </c>
      <c r="E511" s="21"/>
      <c r="F511" s="22">
        <v>122600</v>
      </c>
      <c r="G511" s="23"/>
      <c r="H511" s="23">
        <v>122600</v>
      </c>
      <c r="I511" s="23">
        <v>0</v>
      </c>
      <c r="J511" s="23">
        <v>0</v>
      </c>
      <c r="K511" s="24">
        <v>0</v>
      </c>
    </row>
    <row r="512" spans="1:11" x14ac:dyDescent="0.25">
      <c r="A512" s="11">
        <v>46062</v>
      </c>
      <c r="B512" s="12">
        <v>109</v>
      </c>
      <c r="C512" s="12" t="s">
        <v>952</v>
      </c>
      <c r="D512" s="13" t="s">
        <v>1383</v>
      </c>
      <c r="E512" s="14">
        <v>200</v>
      </c>
      <c r="F512" s="15"/>
      <c r="G512" s="16">
        <v>0</v>
      </c>
      <c r="H512" s="16">
        <v>122600</v>
      </c>
      <c r="I512" s="16">
        <v>0</v>
      </c>
      <c r="J512" s="16">
        <v>0</v>
      </c>
      <c r="K512" s="17">
        <v>0</v>
      </c>
    </row>
    <row r="513" spans="1:11" x14ac:dyDescent="0.25">
      <c r="A513" s="18">
        <v>46062</v>
      </c>
      <c r="B513" s="19">
        <v>109</v>
      </c>
      <c r="C513" s="19" t="s">
        <v>952</v>
      </c>
      <c r="D513" s="20" t="s">
        <v>1385</v>
      </c>
      <c r="E513" s="21">
        <v>2835</v>
      </c>
      <c r="F513" s="22"/>
      <c r="G513" s="23">
        <v>122600</v>
      </c>
      <c r="H513" s="23">
        <v>0</v>
      </c>
      <c r="I513" s="23">
        <v>0</v>
      </c>
      <c r="J513" s="23">
        <v>0</v>
      </c>
      <c r="K513" s="24">
        <v>0</v>
      </c>
    </row>
    <row r="514" spans="1:11" x14ac:dyDescent="0.25">
      <c r="A514" s="11">
        <v>46039</v>
      </c>
      <c r="B514" s="12">
        <v>110</v>
      </c>
      <c r="C514" s="12" t="s">
        <v>949</v>
      </c>
      <c r="D514" s="13"/>
      <c r="E514" s="14"/>
      <c r="F514" s="15">
        <v>0</v>
      </c>
      <c r="G514" s="16"/>
      <c r="H514" s="16">
        <v>0</v>
      </c>
      <c r="I514" s="16">
        <v>0</v>
      </c>
      <c r="J514" s="16">
        <v>0</v>
      </c>
      <c r="K514" s="17">
        <v>0</v>
      </c>
    </row>
    <row r="515" spans="1:11" x14ac:dyDescent="0.25">
      <c r="A515" s="18">
        <v>46051</v>
      </c>
      <c r="B515" s="19">
        <v>110</v>
      </c>
      <c r="C515" s="19" t="s">
        <v>949</v>
      </c>
      <c r="D515" s="20" t="s">
        <v>1385</v>
      </c>
      <c r="E515" s="21">
        <v>4500</v>
      </c>
      <c r="F515" s="22"/>
      <c r="G515" s="23">
        <v>171000</v>
      </c>
      <c r="H515" s="23">
        <v>0</v>
      </c>
      <c r="I515" s="23">
        <v>171000</v>
      </c>
      <c r="J515" s="23">
        <v>0</v>
      </c>
      <c r="K515" s="24">
        <v>0</v>
      </c>
    </row>
    <row r="516" spans="1:11" x14ac:dyDescent="0.25">
      <c r="A516" s="11">
        <v>46051</v>
      </c>
      <c r="B516" s="12">
        <v>110</v>
      </c>
      <c r="C516" s="12" t="s">
        <v>949</v>
      </c>
      <c r="D516" s="13" t="s">
        <v>1383</v>
      </c>
      <c r="E516" s="14">
        <v>2000</v>
      </c>
      <c r="F516" s="15"/>
      <c r="G516" s="16">
        <v>57000</v>
      </c>
      <c r="H516" s="16">
        <v>0</v>
      </c>
      <c r="I516" s="16">
        <v>228000</v>
      </c>
      <c r="J516" s="16">
        <v>0</v>
      </c>
      <c r="K516" s="17">
        <v>0</v>
      </c>
    </row>
    <row r="517" spans="1:11" x14ac:dyDescent="0.25">
      <c r="A517" s="18">
        <v>46053</v>
      </c>
      <c r="B517" s="19">
        <v>110</v>
      </c>
      <c r="C517" s="19" t="s">
        <v>949</v>
      </c>
      <c r="D517" s="20" t="s">
        <v>1384</v>
      </c>
      <c r="E517" s="21"/>
      <c r="F517" s="22">
        <v>228000</v>
      </c>
      <c r="G517" s="23"/>
      <c r="H517" s="23">
        <v>0</v>
      </c>
      <c r="I517" s="23">
        <v>0</v>
      </c>
      <c r="J517" s="23">
        <v>0</v>
      </c>
      <c r="K517" s="24">
        <v>0</v>
      </c>
    </row>
    <row r="518" spans="1:11" x14ac:dyDescent="0.25">
      <c r="A518" s="11">
        <v>46039</v>
      </c>
      <c r="B518" s="12">
        <v>111</v>
      </c>
      <c r="C518" s="12" t="s">
        <v>944</v>
      </c>
      <c r="D518" s="13"/>
      <c r="E518" s="14"/>
      <c r="F518" s="15">
        <v>0</v>
      </c>
      <c r="G518" s="16"/>
      <c r="H518" s="16">
        <v>0</v>
      </c>
      <c r="I518" s="16">
        <v>0</v>
      </c>
      <c r="J518" s="16">
        <v>0</v>
      </c>
      <c r="K518" s="17">
        <v>0</v>
      </c>
    </row>
    <row r="519" spans="1:11" x14ac:dyDescent="0.25">
      <c r="A519" s="18">
        <v>46045</v>
      </c>
      <c r="B519" s="19">
        <v>111</v>
      </c>
      <c r="C519" s="19" t="s">
        <v>944</v>
      </c>
      <c r="D519" s="20" t="s">
        <v>1385</v>
      </c>
      <c r="E519" s="21">
        <v>3000</v>
      </c>
      <c r="F519" s="22"/>
      <c r="G519" s="23">
        <v>84000</v>
      </c>
      <c r="H519" s="23">
        <v>0</v>
      </c>
      <c r="I519" s="23">
        <v>84000</v>
      </c>
      <c r="J519" s="23">
        <v>0</v>
      </c>
      <c r="K519" s="24">
        <v>0</v>
      </c>
    </row>
    <row r="520" spans="1:11" x14ac:dyDescent="0.25">
      <c r="A520" s="11">
        <v>46053</v>
      </c>
      <c r="B520" s="12">
        <v>111</v>
      </c>
      <c r="C520" s="12" t="s">
        <v>944</v>
      </c>
      <c r="D520" s="13" t="s">
        <v>1384</v>
      </c>
      <c r="E520" s="14"/>
      <c r="F520" s="15">
        <v>84000</v>
      </c>
      <c r="G520" s="16"/>
      <c r="H520" s="16">
        <v>0</v>
      </c>
      <c r="I520" s="16">
        <v>0</v>
      </c>
      <c r="J520" s="16">
        <v>0</v>
      </c>
      <c r="K520" s="17">
        <v>0</v>
      </c>
    </row>
    <row r="521" spans="1:11" x14ac:dyDescent="0.25">
      <c r="A521" s="18">
        <v>46040</v>
      </c>
      <c r="B521" s="19">
        <v>112</v>
      </c>
      <c r="C521" s="19" t="s">
        <v>940</v>
      </c>
      <c r="D521" s="20" t="s">
        <v>1385</v>
      </c>
      <c r="E521" s="21">
        <v>1320</v>
      </c>
      <c r="F521" s="22"/>
      <c r="G521" s="23">
        <v>0</v>
      </c>
      <c r="H521" s="23">
        <v>0</v>
      </c>
      <c r="I521" s="23">
        <v>0</v>
      </c>
      <c r="J521" s="23">
        <v>0</v>
      </c>
      <c r="K521" s="24">
        <v>0</v>
      </c>
    </row>
    <row r="522" spans="1:11" x14ac:dyDescent="0.25">
      <c r="A522" s="11">
        <v>46041</v>
      </c>
      <c r="B522" s="12">
        <v>112</v>
      </c>
      <c r="C522" s="12" t="s">
        <v>940</v>
      </c>
      <c r="D522" s="13" t="s">
        <v>1385</v>
      </c>
      <c r="E522" s="14">
        <v>2310</v>
      </c>
      <c r="F522" s="15"/>
      <c r="G522" s="16">
        <v>0</v>
      </c>
      <c r="H522" s="16">
        <v>0</v>
      </c>
      <c r="I522" s="16">
        <v>0</v>
      </c>
      <c r="J522" s="16">
        <v>0</v>
      </c>
      <c r="K522" s="17">
        <v>0</v>
      </c>
    </row>
    <row r="523" spans="1:11" x14ac:dyDescent="0.25">
      <c r="A523" s="18">
        <v>46052</v>
      </c>
      <c r="B523" s="19">
        <v>112</v>
      </c>
      <c r="C523" s="19" t="s">
        <v>940</v>
      </c>
      <c r="D523" s="20" t="s">
        <v>1385</v>
      </c>
      <c r="E523" s="21">
        <v>3600</v>
      </c>
      <c r="F523" s="22"/>
      <c r="G523" s="23">
        <v>0</v>
      </c>
      <c r="H523" s="23">
        <v>0</v>
      </c>
      <c r="I523" s="23">
        <v>0</v>
      </c>
      <c r="J523" s="23">
        <v>0</v>
      </c>
      <c r="K523" s="24">
        <v>0</v>
      </c>
    </row>
    <row r="524" spans="1:11" x14ac:dyDescent="0.25">
      <c r="A524" s="11">
        <v>46063</v>
      </c>
      <c r="B524" s="12">
        <v>112</v>
      </c>
      <c r="C524" s="12" t="s">
        <v>940</v>
      </c>
      <c r="D524" s="13" t="s">
        <v>1385</v>
      </c>
      <c r="E524" s="14">
        <v>3600</v>
      </c>
      <c r="F524" s="15"/>
      <c r="G524" s="16">
        <v>0</v>
      </c>
      <c r="H524" s="16">
        <v>0</v>
      </c>
      <c r="I524" s="16">
        <v>0</v>
      </c>
      <c r="J524" s="16">
        <v>0</v>
      </c>
      <c r="K524" s="17">
        <v>0</v>
      </c>
    </row>
    <row r="525" spans="1:11" x14ac:dyDescent="0.25">
      <c r="A525" s="18">
        <v>46039</v>
      </c>
      <c r="B525" s="19">
        <v>113</v>
      </c>
      <c r="C525" s="19" t="s">
        <v>938</v>
      </c>
      <c r="D525" s="20"/>
      <c r="E525" s="21"/>
      <c r="F525" s="22"/>
      <c r="G525" s="23">
        <v>151200</v>
      </c>
      <c r="H525" s="23">
        <v>0</v>
      </c>
      <c r="I525" s="23">
        <v>151200</v>
      </c>
      <c r="J525" s="23">
        <v>0</v>
      </c>
      <c r="K525" s="24">
        <v>0</v>
      </c>
    </row>
    <row r="526" spans="1:11" x14ac:dyDescent="0.25">
      <c r="A526" s="11">
        <v>46040</v>
      </c>
      <c r="B526" s="12">
        <v>113</v>
      </c>
      <c r="C526" s="12" t="s">
        <v>938</v>
      </c>
      <c r="D526" s="13" t="s">
        <v>1384</v>
      </c>
      <c r="E526" s="14"/>
      <c r="F526" s="15">
        <v>151200</v>
      </c>
      <c r="G526" s="16"/>
      <c r="H526" s="16">
        <v>0</v>
      </c>
      <c r="I526" s="16">
        <v>0</v>
      </c>
      <c r="J526" s="16">
        <v>0</v>
      </c>
      <c r="K526" s="17">
        <v>0</v>
      </c>
    </row>
    <row r="527" spans="1:11" x14ac:dyDescent="0.25">
      <c r="A527" s="18">
        <v>46049</v>
      </c>
      <c r="B527" s="19">
        <v>113</v>
      </c>
      <c r="C527" s="19" t="s">
        <v>938</v>
      </c>
      <c r="D527" s="20" t="s">
        <v>1385</v>
      </c>
      <c r="E527" s="21">
        <v>4200</v>
      </c>
      <c r="F527" s="22"/>
      <c r="G527" s="23">
        <v>151200</v>
      </c>
      <c r="H527" s="23">
        <v>0</v>
      </c>
      <c r="I527" s="23">
        <v>151200</v>
      </c>
      <c r="J527" s="23">
        <v>0</v>
      </c>
      <c r="K527" s="24">
        <v>0</v>
      </c>
    </row>
    <row r="528" spans="1:11" x14ac:dyDescent="0.25">
      <c r="A528" s="11">
        <v>46051</v>
      </c>
      <c r="B528" s="12">
        <v>113</v>
      </c>
      <c r="C528" s="12" t="s">
        <v>938</v>
      </c>
      <c r="D528" s="13" t="s">
        <v>1384</v>
      </c>
      <c r="E528" s="14"/>
      <c r="F528" s="15">
        <v>151200</v>
      </c>
      <c r="G528" s="16"/>
      <c r="H528" s="16">
        <v>0</v>
      </c>
      <c r="I528" s="16">
        <v>0</v>
      </c>
      <c r="J528" s="16">
        <v>0</v>
      </c>
      <c r="K528" s="17">
        <v>0</v>
      </c>
    </row>
    <row r="529" spans="1:11" x14ac:dyDescent="0.25">
      <c r="A529" s="18">
        <v>46069</v>
      </c>
      <c r="B529" s="19">
        <v>113</v>
      </c>
      <c r="C529" s="19" t="s">
        <v>938</v>
      </c>
      <c r="D529" s="20" t="s">
        <v>1385</v>
      </c>
      <c r="E529" s="21">
        <v>4200</v>
      </c>
      <c r="F529" s="22"/>
      <c r="G529" s="23">
        <v>151200</v>
      </c>
      <c r="H529" s="23">
        <v>0</v>
      </c>
      <c r="I529" s="23">
        <v>151200</v>
      </c>
      <c r="J529" s="23">
        <v>0</v>
      </c>
      <c r="K529" s="24">
        <v>0</v>
      </c>
    </row>
    <row r="530" spans="1:11" x14ac:dyDescent="0.25">
      <c r="A530" s="11">
        <v>46070</v>
      </c>
      <c r="B530" s="12">
        <v>113</v>
      </c>
      <c r="C530" s="12" t="s">
        <v>938</v>
      </c>
      <c r="D530" s="13" t="s">
        <v>1384</v>
      </c>
      <c r="E530" s="14"/>
      <c r="F530" s="15">
        <v>152000</v>
      </c>
      <c r="G530" s="16"/>
      <c r="H530" s="16">
        <v>800</v>
      </c>
      <c r="I530" s="16">
        <v>0</v>
      </c>
      <c r="J530" s="16">
        <v>800</v>
      </c>
      <c r="K530" s="17">
        <v>0</v>
      </c>
    </row>
    <row r="531" spans="1:11" x14ac:dyDescent="0.25">
      <c r="A531" s="18">
        <v>46039</v>
      </c>
      <c r="B531" s="19">
        <v>114</v>
      </c>
      <c r="C531" s="19" t="s">
        <v>934</v>
      </c>
      <c r="D531" s="20"/>
      <c r="E531" s="21"/>
      <c r="F531" s="22">
        <v>56200</v>
      </c>
      <c r="G531" s="23"/>
      <c r="H531" s="23">
        <v>56200</v>
      </c>
      <c r="I531" s="23">
        <v>0</v>
      </c>
      <c r="J531" s="23">
        <v>0</v>
      </c>
      <c r="K531" s="24">
        <v>0</v>
      </c>
    </row>
    <row r="532" spans="1:11" x14ac:dyDescent="0.25">
      <c r="A532" s="11">
        <v>46050</v>
      </c>
      <c r="B532" s="12">
        <v>114</v>
      </c>
      <c r="C532" s="12" t="s">
        <v>934</v>
      </c>
      <c r="D532" s="13" t="s">
        <v>1385</v>
      </c>
      <c r="E532" s="14">
        <v>1800</v>
      </c>
      <c r="F532" s="15"/>
      <c r="G532" s="16">
        <v>59400</v>
      </c>
      <c r="H532" s="16">
        <v>0</v>
      </c>
      <c r="I532" s="16">
        <v>3200</v>
      </c>
      <c r="J532" s="16">
        <v>0</v>
      </c>
      <c r="K532" s="17">
        <v>0</v>
      </c>
    </row>
    <row r="533" spans="1:11" x14ac:dyDescent="0.25">
      <c r="A533" s="18">
        <v>46065</v>
      </c>
      <c r="B533" s="19">
        <v>114</v>
      </c>
      <c r="C533" s="19" t="s">
        <v>934</v>
      </c>
      <c r="D533" s="20" t="s">
        <v>1385</v>
      </c>
      <c r="E533" s="21">
        <v>1800</v>
      </c>
      <c r="F533" s="22"/>
      <c r="G533" s="23">
        <v>59400</v>
      </c>
      <c r="H533" s="23">
        <v>0</v>
      </c>
      <c r="I533" s="23">
        <v>62600</v>
      </c>
      <c r="J533" s="23">
        <v>0</v>
      </c>
      <c r="K533" s="24">
        <v>0</v>
      </c>
    </row>
    <row r="534" spans="1:11" x14ac:dyDescent="0.25">
      <c r="A534" s="11">
        <v>46065</v>
      </c>
      <c r="B534" s="12">
        <v>114</v>
      </c>
      <c r="C534" s="12" t="s">
        <v>934</v>
      </c>
      <c r="D534" s="13" t="s">
        <v>1384</v>
      </c>
      <c r="E534" s="14"/>
      <c r="F534" s="15">
        <v>118000</v>
      </c>
      <c r="G534" s="16"/>
      <c r="H534" s="16">
        <v>55400</v>
      </c>
      <c r="I534" s="16">
        <v>0</v>
      </c>
      <c r="J534" s="16">
        <v>55400</v>
      </c>
      <c r="K534" s="17">
        <v>0</v>
      </c>
    </row>
    <row r="535" spans="1:11" x14ac:dyDescent="0.25">
      <c r="A535" s="18">
        <v>46040</v>
      </c>
      <c r="B535" s="19">
        <v>115</v>
      </c>
      <c r="C535" s="19" t="s">
        <v>24</v>
      </c>
      <c r="D535" s="20" t="s">
        <v>1385</v>
      </c>
      <c r="E535" s="21">
        <v>7500</v>
      </c>
      <c r="F535" s="22"/>
      <c r="G535" s="23">
        <v>202500</v>
      </c>
      <c r="H535" s="23">
        <v>0</v>
      </c>
      <c r="I535" s="23">
        <v>202500</v>
      </c>
      <c r="J535" s="23">
        <v>0</v>
      </c>
      <c r="K535" s="24">
        <v>0</v>
      </c>
    </row>
    <row r="536" spans="1:11" x14ac:dyDescent="0.25">
      <c r="A536" s="11">
        <v>46042</v>
      </c>
      <c r="B536" s="12">
        <v>115</v>
      </c>
      <c r="C536" s="12" t="s">
        <v>24</v>
      </c>
      <c r="D536" s="13" t="s">
        <v>1384</v>
      </c>
      <c r="E536" s="14"/>
      <c r="F536" s="15">
        <v>202500</v>
      </c>
      <c r="G536" s="16"/>
      <c r="H536" s="16">
        <v>0</v>
      </c>
      <c r="I536" s="16">
        <v>0</v>
      </c>
      <c r="J536" s="16">
        <v>0</v>
      </c>
      <c r="K536" s="17">
        <v>0</v>
      </c>
    </row>
    <row r="537" spans="1:11" x14ac:dyDescent="0.25">
      <c r="A537" s="18">
        <v>46041</v>
      </c>
      <c r="B537" s="19">
        <v>116</v>
      </c>
      <c r="C537" s="19" t="s">
        <v>930</v>
      </c>
      <c r="D537" s="20" t="s">
        <v>1387</v>
      </c>
      <c r="E537" s="21"/>
      <c r="F537" s="22">
        <v>108000</v>
      </c>
      <c r="G537" s="23"/>
      <c r="H537" s="23">
        <v>108000</v>
      </c>
      <c r="I537" s="23">
        <v>0</v>
      </c>
      <c r="J537" s="23">
        <v>0</v>
      </c>
      <c r="K537" s="24">
        <v>0</v>
      </c>
    </row>
    <row r="538" spans="1:11" x14ac:dyDescent="0.25">
      <c r="A538" s="11">
        <v>46041</v>
      </c>
      <c r="B538" s="12">
        <v>116</v>
      </c>
      <c r="C538" s="12" t="s">
        <v>930</v>
      </c>
      <c r="D538" s="13" t="s">
        <v>1385</v>
      </c>
      <c r="E538" s="14">
        <v>1800</v>
      </c>
      <c r="F538" s="15"/>
      <c r="G538" s="16">
        <v>108000</v>
      </c>
      <c r="H538" s="16">
        <v>0</v>
      </c>
      <c r="I538" s="16">
        <v>0</v>
      </c>
      <c r="J538" s="16">
        <v>0</v>
      </c>
      <c r="K538" s="17">
        <v>0</v>
      </c>
    </row>
    <row r="539" spans="1:11" x14ac:dyDescent="0.25">
      <c r="A539" s="18">
        <v>46057</v>
      </c>
      <c r="B539" s="19">
        <v>116</v>
      </c>
      <c r="C539" s="19" t="s">
        <v>930</v>
      </c>
      <c r="D539" s="20" t="s">
        <v>1385</v>
      </c>
      <c r="E539" s="21">
        <v>1800</v>
      </c>
      <c r="F539" s="22"/>
      <c r="G539" s="23">
        <v>108000</v>
      </c>
      <c r="H539" s="23">
        <v>0</v>
      </c>
      <c r="I539" s="23">
        <v>108000</v>
      </c>
      <c r="J539" s="23">
        <v>0</v>
      </c>
      <c r="K539" s="24">
        <v>0</v>
      </c>
    </row>
    <row r="540" spans="1:11" x14ac:dyDescent="0.25">
      <c r="A540" s="11">
        <v>46059</v>
      </c>
      <c r="B540" s="12">
        <v>116</v>
      </c>
      <c r="C540" s="12" t="s">
        <v>930</v>
      </c>
      <c r="D540" s="13" t="s">
        <v>1385</v>
      </c>
      <c r="E540" s="14">
        <v>1800</v>
      </c>
      <c r="F540" s="15"/>
      <c r="G540" s="16">
        <v>108000</v>
      </c>
      <c r="H540" s="16">
        <v>0</v>
      </c>
      <c r="I540" s="16">
        <v>216000</v>
      </c>
      <c r="J540" s="16">
        <v>0</v>
      </c>
      <c r="K540" s="17">
        <v>216000</v>
      </c>
    </row>
    <row r="541" spans="1:11" x14ac:dyDescent="0.25">
      <c r="A541" s="18">
        <v>46039</v>
      </c>
      <c r="B541" s="19">
        <v>118</v>
      </c>
      <c r="C541" s="19" t="s">
        <v>922</v>
      </c>
      <c r="D541" s="20"/>
      <c r="E541" s="21"/>
      <c r="F541" s="22">
        <v>182700</v>
      </c>
      <c r="G541" s="23"/>
      <c r="H541" s="23">
        <v>182700</v>
      </c>
      <c r="I541" s="23">
        <v>0</v>
      </c>
      <c r="J541" s="23">
        <v>0</v>
      </c>
      <c r="K541" s="24">
        <v>0</v>
      </c>
    </row>
    <row r="542" spans="1:11" x14ac:dyDescent="0.25">
      <c r="A542" s="11">
        <v>46055</v>
      </c>
      <c r="B542" s="12">
        <v>118</v>
      </c>
      <c r="C542" s="12" t="s">
        <v>922</v>
      </c>
      <c r="D542" s="13" t="s">
        <v>1385</v>
      </c>
      <c r="E542" s="14">
        <v>6300</v>
      </c>
      <c r="F542" s="15"/>
      <c r="G542" s="16">
        <v>182700</v>
      </c>
      <c r="H542" s="16">
        <v>0</v>
      </c>
      <c r="I542" s="16">
        <v>0</v>
      </c>
      <c r="J542" s="16">
        <v>0</v>
      </c>
      <c r="K542" s="17">
        <v>0</v>
      </c>
    </row>
    <row r="543" spans="1:11" x14ac:dyDescent="0.25">
      <c r="A543" s="18">
        <v>46071</v>
      </c>
      <c r="B543" s="19">
        <v>118</v>
      </c>
      <c r="C543" s="19" t="s">
        <v>922</v>
      </c>
      <c r="D543" s="20" t="s">
        <v>1411</v>
      </c>
      <c r="E543" s="21"/>
      <c r="F543" s="22">
        <v>382600</v>
      </c>
      <c r="G543" s="23"/>
      <c r="H543" s="23">
        <v>382600</v>
      </c>
      <c r="I543" s="23">
        <v>0</v>
      </c>
      <c r="J543" s="23">
        <v>0</v>
      </c>
      <c r="K543" s="24">
        <v>0</v>
      </c>
    </row>
    <row r="544" spans="1:11" x14ac:dyDescent="0.25">
      <c r="A544" s="11">
        <v>46071</v>
      </c>
      <c r="B544" s="12">
        <v>118</v>
      </c>
      <c r="C544" s="12" t="s">
        <v>922</v>
      </c>
      <c r="D544" s="13" t="s">
        <v>1385</v>
      </c>
      <c r="E544" s="14">
        <v>6300</v>
      </c>
      <c r="F544" s="15"/>
      <c r="G544" s="16">
        <v>182700</v>
      </c>
      <c r="H544" s="16">
        <v>199900</v>
      </c>
      <c r="I544" s="16">
        <v>0</v>
      </c>
      <c r="J544" s="16">
        <v>199900</v>
      </c>
      <c r="K544" s="17">
        <v>0</v>
      </c>
    </row>
    <row r="545" spans="1:11" x14ac:dyDescent="0.25">
      <c r="A545" s="18">
        <v>46051</v>
      </c>
      <c r="B545" s="19">
        <v>119</v>
      </c>
      <c r="C545" s="19" t="s">
        <v>918</v>
      </c>
      <c r="D545" s="20" t="s">
        <v>1385</v>
      </c>
      <c r="E545" s="21">
        <v>3450</v>
      </c>
      <c r="F545" s="22"/>
      <c r="G545" s="23">
        <v>90000</v>
      </c>
      <c r="H545" s="23">
        <v>0</v>
      </c>
      <c r="I545" s="23">
        <v>90000</v>
      </c>
      <c r="J545" s="23">
        <v>0</v>
      </c>
      <c r="K545" s="24">
        <v>0</v>
      </c>
    </row>
    <row r="546" spans="1:11" x14ac:dyDescent="0.25">
      <c r="A546" s="11">
        <v>46056</v>
      </c>
      <c r="B546" s="12">
        <v>119</v>
      </c>
      <c r="C546" s="12" t="s">
        <v>918</v>
      </c>
      <c r="D546" s="13" t="s">
        <v>1384</v>
      </c>
      <c r="E546" s="14"/>
      <c r="F546" s="15">
        <v>90000</v>
      </c>
      <c r="G546" s="16"/>
      <c r="H546" s="16">
        <v>0</v>
      </c>
      <c r="I546" s="16">
        <v>0</v>
      </c>
      <c r="J546" s="16">
        <v>0</v>
      </c>
      <c r="K546" s="17">
        <v>0</v>
      </c>
    </row>
    <row r="547" spans="1:11" x14ac:dyDescent="0.25">
      <c r="A547" s="18">
        <v>46062</v>
      </c>
      <c r="B547" s="19">
        <v>119</v>
      </c>
      <c r="C547" s="19" t="s">
        <v>918</v>
      </c>
      <c r="D547" s="20" t="s">
        <v>1385</v>
      </c>
      <c r="E547" s="21">
        <v>3450</v>
      </c>
      <c r="F547" s="22"/>
      <c r="G547" s="23">
        <v>103500</v>
      </c>
      <c r="H547" s="23">
        <v>0</v>
      </c>
      <c r="I547" s="23">
        <v>103500</v>
      </c>
      <c r="J547" s="23">
        <v>0</v>
      </c>
      <c r="K547" s="24">
        <v>0</v>
      </c>
    </row>
    <row r="548" spans="1:11" x14ac:dyDescent="0.25">
      <c r="A548" s="11">
        <v>46069</v>
      </c>
      <c r="B548" s="12">
        <v>119</v>
      </c>
      <c r="C548" s="12" t="s">
        <v>918</v>
      </c>
      <c r="D548" s="13" t="s">
        <v>1384</v>
      </c>
      <c r="E548" s="14"/>
      <c r="F548" s="15">
        <v>103500</v>
      </c>
      <c r="G548" s="16"/>
      <c r="H548" s="16">
        <v>0</v>
      </c>
      <c r="I548" s="16">
        <v>0</v>
      </c>
      <c r="J548" s="16">
        <v>0</v>
      </c>
      <c r="K548" s="17">
        <v>0</v>
      </c>
    </row>
    <row r="549" spans="1:11" x14ac:dyDescent="0.25">
      <c r="A549" s="18">
        <v>46039</v>
      </c>
      <c r="B549" s="19">
        <v>120</v>
      </c>
      <c r="C549" s="19" t="s">
        <v>914</v>
      </c>
      <c r="D549" s="20"/>
      <c r="E549" s="21"/>
      <c r="F549" s="22"/>
      <c r="G549" s="23">
        <v>120000</v>
      </c>
      <c r="H549" s="23">
        <v>0</v>
      </c>
      <c r="I549" s="23">
        <v>120000</v>
      </c>
      <c r="J549" s="23">
        <v>0</v>
      </c>
      <c r="K549" s="24">
        <v>120000</v>
      </c>
    </row>
    <row r="550" spans="1:11" x14ac:dyDescent="0.25">
      <c r="A550" s="11">
        <v>46056</v>
      </c>
      <c r="B550" s="12">
        <v>121</v>
      </c>
      <c r="C550" s="12" t="s">
        <v>910</v>
      </c>
      <c r="D550" s="13" t="s">
        <v>1385</v>
      </c>
      <c r="E550" s="14">
        <v>6000</v>
      </c>
      <c r="F550" s="15"/>
      <c r="G550" s="16">
        <v>180000</v>
      </c>
      <c r="H550" s="16">
        <v>0</v>
      </c>
      <c r="I550" s="16">
        <v>180000</v>
      </c>
      <c r="J550" s="16">
        <v>0</v>
      </c>
      <c r="K550" s="17">
        <v>0</v>
      </c>
    </row>
    <row r="551" spans="1:11" x14ac:dyDescent="0.25">
      <c r="A551" s="18">
        <v>46067</v>
      </c>
      <c r="B551" s="19">
        <v>121</v>
      </c>
      <c r="C551" s="19" t="s">
        <v>910</v>
      </c>
      <c r="D551" s="20" t="s">
        <v>1384</v>
      </c>
      <c r="E551" s="21"/>
      <c r="F551" s="22">
        <v>180000</v>
      </c>
      <c r="G551" s="23"/>
      <c r="H551" s="23">
        <v>0</v>
      </c>
      <c r="I551" s="23">
        <v>0</v>
      </c>
      <c r="J551" s="23">
        <v>0</v>
      </c>
      <c r="K551" s="24">
        <v>0</v>
      </c>
    </row>
    <row r="552" spans="1:11" x14ac:dyDescent="0.25">
      <c r="A552" s="11">
        <v>46059</v>
      </c>
      <c r="B552" s="12">
        <v>122</v>
      </c>
      <c r="C552" s="12" t="s">
        <v>906</v>
      </c>
      <c r="D552" s="13" t="s">
        <v>1390</v>
      </c>
      <c r="E552" s="14"/>
      <c r="F552" s="15">
        <v>52000</v>
      </c>
      <c r="G552" s="16"/>
      <c r="H552" s="16">
        <v>52000</v>
      </c>
      <c r="I552" s="16">
        <v>0</v>
      </c>
      <c r="J552" s="16">
        <v>0</v>
      </c>
      <c r="K552" s="17">
        <v>0</v>
      </c>
    </row>
    <row r="553" spans="1:11" x14ac:dyDescent="0.25">
      <c r="A553" s="18">
        <v>46059</v>
      </c>
      <c r="B553" s="19">
        <v>122</v>
      </c>
      <c r="C553" s="19" t="s">
        <v>906</v>
      </c>
      <c r="D553" s="20" t="s">
        <v>1385</v>
      </c>
      <c r="E553" s="21">
        <v>16000</v>
      </c>
      <c r="F553" s="22"/>
      <c r="G553" s="23">
        <v>352000</v>
      </c>
      <c r="H553" s="23">
        <v>0</v>
      </c>
      <c r="I553" s="23">
        <v>300000</v>
      </c>
      <c r="J553" s="23">
        <v>0</v>
      </c>
      <c r="K553" s="24">
        <v>0</v>
      </c>
    </row>
    <row r="554" spans="1:11" x14ac:dyDescent="0.25">
      <c r="A554" s="11">
        <v>46059</v>
      </c>
      <c r="B554" s="12">
        <v>122</v>
      </c>
      <c r="C554" s="12" t="s">
        <v>906</v>
      </c>
      <c r="D554" s="13" t="s">
        <v>1384</v>
      </c>
      <c r="E554" s="14"/>
      <c r="F554" s="15">
        <v>300000</v>
      </c>
      <c r="G554" s="16"/>
      <c r="H554" s="16">
        <v>0</v>
      </c>
      <c r="I554" s="16">
        <v>0</v>
      </c>
      <c r="J554" s="16">
        <v>0</v>
      </c>
      <c r="K554" s="17">
        <v>0</v>
      </c>
    </row>
    <row r="555" spans="1:11" x14ac:dyDescent="0.25">
      <c r="A555" s="18">
        <v>46039</v>
      </c>
      <c r="B555" s="19">
        <v>126</v>
      </c>
      <c r="C555" s="19" t="s">
        <v>893</v>
      </c>
      <c r="D555" s="20"/>
      <c r="E555" s="21"/>
      <c r="F555" s="22"/>
      <c r="G555" s="23">
        <v>421200</v>
      </c>
      <c r="H555" s="23">
        <v>0</v>
      </c>
      <c r="I555" s="23">
        <v>421200</v>
      </c>
      <c r="J555" s="23">
        <v>0</v>
      </c>
      <c r="K555" s="24">
        <v>421200</v>
      </c>
    </row>
    <row r="556" spans="1:11" x14ac:dyDescent="0.25">
      <c r="A556" s="11">
        <v>46041</v>
      </c>
      <c r="B556" s="12">
        <v>127</v>
      </c>
      <c r="C556" s="12" t="s">
        <v>889</v>
      </c>
      <c r="D556" s="13" t="s">
        <v>1384</v>
      </c>
      <c r="E556" s="14"/>
      <c r="F556" s="15">
        <v>202500</v>
      </c>
      <c r="G556" s="16"/>
      <c r="H556" s="16">
        <v>202500</v>
      </c>
      <c r="I556" s="16">
        <v>0</v>
      </c>
      <c r="J556" s="16">
        <v>0</v>
      </c>
      <c r="K556" s="17">
        <v>0</v>
      </c>
    </row>
    <row r="557" spans="1:11" x14ac:dyDescent="0.25">
      <c r="A557" s="18">
        <v>46041</v>
      </c>
      <c r="B557" s="19">
        <v>127</v>
      </c>
      <c r="C557" s="19" t="s">
        <v>889</v>
      </c>
      <c r="D557" s="20" t="s">
        <v>1385</v>
      </c>
      <c r="E557" s="21">
        <v>7500</v>
      </c>
      <c r="F557" s="22"/>
      <c r="G557" s="23">
        <v>202500</v>
      </c>
      <c r="H557" s="23">
        <v>0</v>
      </c>
      <c r="I557" s="23">
        <v>0</v>
      </c>
      <c r="J557" s="23">
        <v>0</v>
      </c>
      <c r="K557" s="24">
        <v>0</v>
      </c>
    </row>
    <row r="558" spans="1:11" x14ac:dyDescent="0.25">
      <c r="A558" s="11">
        <v>46055</v>
      </c>
      <c r="B558" s="12">
        <v>127</v>
      </c>
      <c r="C558" s="12" t="s">
        <v>889</v>
      </c>
      <c r="D558" s="13" t="s">
        <v>1384</v>
      </c>
      <c r="E558" s="14"/>
      <c r="F558" s="15">
        <v>202500</v>
      </c>
      <c r="G558" s="16"/>
      <c r="H558" s="16">
        <v>202500</v>
      </c>
      <c r="I558" s="16">
        <v>0</v>
      </c>
      <c r="J558" s="16">
        <v>0</v>
      </c>
      <c r="K558" s="17">
        <v>0</v>
      </c>
    </row>
    <row r="559" spans="1:11" x14ac:dyDescent="0.25">
      <c r="A559" s="18">
        <v>46055</v>
      </c>
      <c r="B559" s="19">
        <v>127</v>
      </c>
      <c r="C559" s="19" t="s">
        <v>889</v>
      </c>
      <c r="D559" s="20" t="s">
        <v>1385</v>
      </c>
      <c r="E559" s="21">
        <v>7500</v>
      </c>
      <c r="F559" s="22"/>
      <c r="G559" s="23">
        <v>202500</v>
      </c>
      <c r="H559" s="23">
        <v>0</v>
      </c>
      <c r="I559" s="23">
        <v>0</v>
      </c>
      <c r="J559" s="23">
        <v>0</v>
      </c>
      <c r="K559" s="24">
        <v>0</v>
      </c>
    </row>
    <row r="560" spans="1:11" x14ac:dyDescent="0.25">
      <c r="A560" s="11">
        <v>46069</v>
      </c>
      <c r="B560" s="12">
        <v>127</v>
      </c>
      <c r="C560" s="12" t="s">
        <v>889</v>
      </c>
      <c r="D560" s="13" t="s">
        <v>1385</v>
      </c>
      <c r="E560" s="14">
        <v>3500</v>
      </c>
      <c r="F560" s="15"/>
      <c r="G560" s="16">
        <v>94500</v>
      </c>
      <c r="H560" s="16">
        <v>0</v>
      </c>
      <c r="I560" s="16">
        <v>94500</v>
      </c>
      <c r="J560" s="16">
        <v>0</v>
      </c>
      <c r="K560" s="17">
        <v>0</v>
      </c>
    </row>
    <row r="561" spans="1:11" x14ac:dyDescent="0.25">
      <c r="A561" s="18">
        <v>46069</v>
      </c>
      <c r="B561" s="19">
        <v>127</v>
      </c>
      <c r="C561" s="19" t="s">
        <v>889</v>
      </c>
      <c r="D561" s="20" t="s">
        <v>1384</v>
      </c>
      <c r="E561" s="21"/>
      <c r="F561" s="22">
        <v>101250</v>
      </c>
      <c r="G561" s="23"/>
      <c r="H561" s="23">
        <v>6750</v>
      </c>
      <c r="I561" s="23">
        <v>0</v>
      </c>
      <c r="J561" s="23">
        <v>6750</v>
      </c>
      <c r="K561" s="24">
        <v>0</v>
      </c>
    </row>
    <row r="562" spans="1:11" x14ac:dyDescent="0.25">
      <c r="A562" s="11">
        <v>46039</v>
      </c>
      <c r="B562" s="12">
        <v>129</v>
      </c>
      <c r="C562" s="12" t="s">
        <v>16</v>
      </c>
      <c r="D562" s="13"/>
      <c r="E562" s="14"/>
      <c r="F562" s="15">
        <v>120000</v>
      </c>
      <c r="G562" s="16"/>
      <c r="H562" s="16">
        <v>120000</v>
      </c>
      <c r="I562" s="16">
        <v>0</v>
      </c>
      <c r="J562" s="16">
        <v>0</v>
      </c>
      <c r="K562" s="17">
        <v>0</v>
      </c>
    </row>
    <row r="563" spans="1:11" x14ac:dyDescent="0.25">
      <c r="A563" s="18">
        <v>46042</v>
      </c>
      <c r="B563" s="19">
        <v>129</v>
      </c>
      <c r="C563" s="19" t="s">
        <v>16</v>
      </c>
      <c r="D563" s="20" t="s">
        <v>1385</v>
      </c>
      <c r="E563" s="21">
        <v>6000</v>
      </c>
      <c r="F563" s="22"/>
      <c r="G563" s="23">
        <v>120000</v>
      </c>
      <c r="H563" s="23">
        <v>0</v>
      </c>
      <c r="I563" s="23">
        <v>0</v>
      </c>
      <c r="J563" s="23">
        <v>0</v>
      </c>
      <c r="K563" s="24">
        <v>0</v>
      </c>
    </row>
    <row r="564" spans="1:11" x14ac:dyDescent="0.25">
      <c r="A564" s="11">
        <v>46059</v>
      </c>
      <c r="B564" s="12">
        <v>131</v>
      </c>
      <c r="C564" s="12" t="s">
        <v>881</v>
      </c>
      <c r="D564" s="13" t="s">
        <v>1385</v>
      </c>
      <c r="E564" s="14">
        <v>3000</v>
      </c>
      <c r="F564" s="15"/>
      <c r="G564" s="16">
        <v>120000</v>
      </c>
      <c r="H564" s="16">
        <v>0</v>
      </c>
      <c r="I564" s="16">
        <v>120000</v>
      </c>
      <c r="J564" s="16">
        <v>0</v>
      </c>
      <c r="K564" s="17">
        <v>0</v>
      </c>
    </row>
    <row r="565" spans="1:11" x14ac:dyDescent="0.25">
      <c r="A565" s="18">
        <v>46059</v>
      </c>
      <c r="B565" s="19">
        <v>131</v>
      </c>
      <c r="C565" s="19" t="s">
        <v>881</v>
      </c>
      <c r="D565" s="20" t="s">
        <v>1384</v>
      </c>
      <c r="E565" s="21"/>
      <c r="F565" s="22">
        <v>120000</v>
      </c>
      <c r="G565" s="23"/>
      <c r="H565" s="23">
        <v>0</v>
      </c>
      <c r="I565" s="23">
        <v>0</v>
      </c>
      <c r="J565" s="23">
        <v>0</v>
      </c>
      <c r="K565" s="24">
        <v>0</v>
      </c>
    </row>
    <row r="566" spans="1:11" x14ac:dyDescent="0.25">
      <c r="A566" s="11">
        <v>46039</v>
      </c>
      <c r="B566" s="12">
        <v>132</v>
      </c>
      <c r="C566" s="12" t="s">
        <v>877</v>
      </c>
      <c r="D566" s="13"/>
      <c r="E566" s="14"/>
      <c r="F566" s="15"/>
      <c r="G566" s="16">
        <v>180000</v>
      </c>
      <c r="H566" s="16">
        <v>0</v>
      </c>
      <c r="I566" s="16">
        <v>180000</v>
      </c>
      <c r="J566" s="16">
        <v>0</v>
      </c>
      <c r="K566" s="17">
        <v>0</v>
      </c>
    </row>
    <row r="567" spans="1:11" x14ac:dyDescent="0.25">
      <c r="A567" s="18">
        <v>46049</v>
      </c>
      <c r="B567" s="19">
        <v>132</v>
      </c>
      <c r="C567" s="19" t="s">
        <v>877</v>
      </c>
      <c r="D567" s="20" t="s">
        <v>1384</v>
      </c>
      <c r="E567" s="21"/>
      <c r="F567" s="22">
        <v>360000</v>
      </c>
      <c r="G567" s="23"/>
      <c r="H567" s="23">
        <v>180000</v>
      </c>
      <c r="I567" s="23">
        <v>0</v>
      </c>
      <c r="J567" s="23">
        <v>0</v>
      </c>
      <c r="K567" s="24">
        <v>0</v>
      </c>
    </row>
    <row r="568" spans="1:11" x14ac:dyDescent="0.25">
      <c r="A568" s="11">
        <v>46052</v>
      </c>
      <c r="B568" s="12">
        <v>132</v>
      </c>
      <c r="C568" s="12" t="s">
        <v>877</v>
      </c>
      <c r="D568" s="13" t="s">
        <v>1385</v>
      </c>
      <c r="E568" s="14">
        <v>6000</v>
      </c>
      <c r="F568" s="15"/>
      <c r="G568" s="16">
        <v>180000</v>
      </c>
      <c r="H568" s="16">
        <v>0</v>
      </c>
      <c r="I568" s="16">
        <v>0</v>
      </c>
      <c r="J568" s="16">
        <v>0</v>
      </c>
      <c r="K568" s="17">
        <v>0</v>
      </c>
    </row>
    <row r="569" spans="1:11" x14ac:dyDescent="0.25">
      <c r="A569" s="18">
        <v>46069</v>
      </c>
      <c r="B569" s="19">
        <v>132</v>
      </c>
      <c r="C569" s="19" t="s">
        <v>877</v>
      </c>
      <c r="D569" s="20" t="s">
        <v>1385</v>
      </c>
      <c r="E569" s="21">
        <v>6000</v>
      </c>
      <c r="F569" s="22"/>
      <c r="G569" s="23">
        <v>180000</v>
      </c>
      <c r="H569" s="23">
        <v>0</v>
      </c>
      <c r="I569" s="23">
        <v>180000</v>
      </c>
      <c r="J569" s="23">
        <v>0</v>
      </c>
      <c r="K569" s="24">
        <v>180000</v>
      </c>
    </row>
    <row r="570" spans="1:11" x14ac:dyDescent="0.25">
      <c r="A570" s="11">
        <v>46039</v>
      </c>
      <c r="B570" s="12">
        <v>133</v>
      </c>
      <c r="C570" s="12" t="s">
        <v>873</v>
      </c>
      <c r="D570" s="13" t="s">
        <v>1387</v>
      </c>
      <c r="E570" s="14"/>
      <c r="F570" s="15">
        <v>253400</v>
      </c>
      <c r="G570" s="16"/>
      <c r="H570" s="16">
        <v>253400</v>
      </c>
      <c r="I570" s="16">
        <v>0</v>
      </c>
      <c r="J570" s="16">
        <v>0</v>
      </c>
      <c r="K570" s="17">
        <v>0</v>
      </c>
    </row>
    <row r="571" spans="1:11" x14ac:dyDescent="0.25">
      <c r="A571" s="18">
        <v>46039</v>
      </c>
      <c r="B571" s="19">
        <v>133</v>
      </c>
      <c r="C571" s="19" t="s">
        <v>873</v>
      </c>
      <c r="D571" s="20"/>
      <c r="E571" s="21"/>
      <c r="F571" s="22"/>
      <c r="G571" s="23">
        <v>253400</v>
      </c>
      <c r="H571" s="23">
        <v>0</v>
      </c>
      <c r="I571" s="23">
        <v>0</v>
      </c>
      <c r="J571" s="23">
        <v>0</v>
      </c>
      <c r="K571" s="24">
        <v>0</v>
      </c>
    </row>
    <row r="572" spans="1:11" x14ac:dyDescent="0.25">
      <c r="A572" s="11">
        <v>46057</v>
      </c>
      <c r="B572" s="12">
        <v>133</v>
      </c>
      <c r="C572" s="12" t="s">
        <v>873</v>
      </c>
      <c r="D572" s="13" t="s">
        <v>1385</v>
      </c>
      <c r="E572" s="14">
        <v>1680</v>
      </c>
      <c r="F572" s="15"/>
      <c r="G572" s="16">
        <v>70500</v>
      </c>
      <c r="H572" s="16">
        <v>0</v>
      </c>
      <c r="I572" s="16">
        <v>70500</v>
      </c>
      <c r="J572" s="16">
        <v>0</v>
      </c>
      <c r="K572" s="17">
        <v>0</v>
      </c>
    </row>
    <row r="573" spans="1:11" x14ac:dyDescent="0.25">
      <c r="A573" s="18">
        <v>46060</v>
      </c>
      <c r="B573" s="19">
        <v>133</v>
      </c>
      <c r="C573" s="19" t="s">
        <v>873</v>
      </c>
      <c r="D573" s="20" t="s">
        <v>1384</v>
      </c>
      <c r="E573" s="21"/>
      <c r="F573" s="22">
        <v>70500</v>
      </c>
      <c r="G573" s="23"/>
      <c r="H573" s="23">
        <v>0</v>
      </c>
      <c r="I573" s="23">
        <v>0</v>
      </c>
      <c r="J573" s="23">
        <v>0</v>
      </c>
      <c r="K573" s="24">
        <v>0</v>
      </c>
    </row>
    <row r="574" spans="1:11" x14ac:dyDescent="0.25">
      <c r="A574" s="11">
        <v>46065</v>
      </c>
      <c r="B574" s="12">
        <v>133</v>
      </c>
      <c r="C574" s="12" t="s">
        <v>873</v>
      </c>
      <c r="D574" s="13" t="s">
        <v>1385</v>
      </c>
      <c r="E574" s="14">
        <v>1680</v>
      </c>
      <c r="F574" s="15"/>
      <c r="G574" s="16">
        <v>70500</v>
      </c>
      <c r="H574" s="16">
        <v>0</v>
      </c>
      <c r="I574" s="16">
        <v>70500</v>
      </c>
      <c r="J574" s="16">
        <v>0</v>
      </c>
      <c r="K574" s="17">
        <v>0</v>
      </c>
    </row>
    <row r="575" spans="1:11" x14ac:dyDescent="0.25">
      <c r="A575" s="18">
        <v>46066</v>
      </c>
      <c r="B575" s="19">
        <v>133</v>
      </c>
      <c r="C575" s="19" t="s">
        <v>873</v>
      </c>
      <c r="D575" s="20" t="s">
        <v>1384</v>
      </c>
      <c r="E575" s="21"/>
      <c r="F575" s="22">
        <v>70500</v>
      </c>
      <c r="G575" s="23"/>
      <c r="H575" s="23">
        <v>0</v>
      </c>
      <c r="I575" s="23">
        <v>0</v>
      </c>
      <c r="J575" s="23">
        <v>0</v>
      </c>
      <c r="K575" s="24">
        <v>0</v>
      </c>
    </row>
    <row r="576" spans="1:11" x14ac:dyDescent="0.25">
      <c r="A576" s="11">
        <v>46071</v>
      </c>
      <c r="B576" s="12">
        <v>133</v>
      </c>
      <c r="C576" s="12" t="s">
        <v>873</v>
      </c>
      <c r="D576" s="13" t="s">
        <v>1385</v>
      </c>
      <c r="E576" s="14">
        <v>1680</v>
      </c>
      <c r="F576" s="15"/>
      <c r="G576" s="16">
        <v>70500</v>
      </c>
      <c r="H576" s="16">
        <v>0</v>
      </c>
      <c r="I576" s="16">
        <v>70500</v>
      </c>
      <c r="J576" s="16">
        <v>0</v>
      </c>
      <c r="K576" s="17">
        <v>70500</v>
      </c>
    </row>
    <row r="577" spans="1:11" x14ac:dyDescent="0.25">
      <c r="A577" s="18">
        <v>46044</v>
      </c>
      <c r="B577" s="19">
        <v>134</v>
      </c>
      <c r="C577" s="19" t="s">
        <v>868</v>
      </c>
      <c r="D577" s="20" t="s">
        <v>1385</v>
      </c>
      <c r="E577" s="21">
        <v>10170</v>
      </c>
      <c r="F577" s="22"/>
      <c r="G577" s="23">
        <v>387600</v>
      </c>
      <c r="H577" s="23">
        <v>0</v>
      </c>
      <c r="I577" s="23">
        <v>387600</v>
      </c>
      <c r="J577" s="23">
        <v>0</v>
      </c>
      <c r="K577" s="24">
        <v>0</v>
      </c>
    </row>
    <row r="578" spans="1:11" x14ac:dyDescent="0.25">
      <c r="A578" s="11">
        <v>46045</v>
      </c>
      <c r="B578" s="12">
        <v>134</v>
      </c>
      <c r="C578" s="12" t="s">
        <v>868</v>
      </c>
      <c r="D578" s="13" t="s">
        <v>1384</v>
      </c>
      <c r="E578" s="14"/>
      <c r="F578" s="15">
        <v>387600</v>
      </c>
      <c r="G578" s="16"/>
      <c r="H578" s="16">
        <v>0</v>
      </c>
      <c r="I578" s="16">
        <v>0</v>
      </c>
      <c r="J578" s="16">
        <v>0</v>
      </c>
      <c r="K578" s="17">
        <v>0</v>
      </c>
    </row>
    <row r="579" spans="1:11" x14ac:dyDescent="0.25">
      <c r="A579" s="18">
        <v>46059</v>
      </c>
      <c r="B579" s="19">
        <v>134</v>
      </c>
      <c r="C579" s="19" t="s">
        <v>868</v>
      </c>
      <c r="D579" s="20" t="s">
        <v>1385</v>
      </c>
      <c r="E579" s="21">
        <v>10170</v>
      </c>
      <c r="F579" s="22"/>
      <c r="G579" s="23">
        <v>387600</v>
      </c>
      <c r="H579" s="23">
        <v>0</v>
      </c>
      <c r="I579" s="23">
        <v>387600</v>
      </c>
      <c r="J579" s="23">
        <v>0</v>
      </c>
      <c r="K579" s="24">
        <v>0</v>
      </c>
    </row>
    <row r="580" spans="1:11" x14ac:dyDescent="0.25">
      <c r="A580" s="11">
        <v>46059</v>
      </c>
      <c r="B580" s="12">
        <v>134</v>
      </c>
      <c r="C580" s="12" t="s">
        <v>868</v>
      </c>
      <c r="D580" s="13" t="s">
        <v>1384</v>
      </c>
      <c r="E580" s="14"/>
      <c r="F580" s="15">
        <v>387600</v>
      </c>
      <c r="G580" s="16"/>
      <c r="H580" s="16">
        <v>0</v>
      </c>
      <c r="I580" s="16">
        <v>0</v>
      </c>
      <c r="J580" s="16">
        <v>0</v>
      </c>
      <c r="K580" s="17">
        <v>0</v>
      </c>
    </row>
    <row r="581" spans="1:11" x14ac:dyDescent="0.25">
      <c r="A581" s="18">
        <v>46039</v>
      </c>
      <c r="B581" s="19">
        <v>135</v>
      </c>
      <c r="C581" s="19" t="s">
        <v>863</v>
      </c>
      <c r="D581" s="20"/>
      <c r="E581" s="21"/>
      <c r="F581" s="22"/>
      <c r="G581" s="23">
        <v>29250</v>
      </c>
      <c r="H581" s="23">
        <v>0</v>
      </c>
      <c r="I581" s="23">
        <v>29250</v>
      </c>
      <c r="J581" s="23">
        <v>0</v>
      </c>
      <c r="K581" s="24">
        <v>0</v>
      </c>
    </row>
    <row r="582" spans="1:11" x14ac:dyDescent="0.25">
      <c r="A582" s="11">
        <v>46045</v>
      </c>
      <c r="B582" s="12">
        <v>135</v>
      </c>
      <c r="C582" s="12" t="s">
        <v>1412</v>
      </c>
      <c r="D582" s="13" t="s">
        <v>1385</v>
      </c>
      <c r="E582" s="14">
        <v>2400</v>
      </c>
      <c r="F582" s="15"/>
      <c r="G582" s="16">
        <v>36000</v>
      </c>
      <c r="H582" s="16">
        <v>0</v>
      </c>
      <c r="I582" s="16">
        <v>65250</v>
      </c>
      <c r="J582" s="16">
        <v>0</v>
      </c>
      <c r="K582" s="17">
        <v>0</v>
      </c>
    </row>
    <row r="583" spans="1:11" x14ac:dyDescent="0.25">
      <c r="A583" s="18">
        <v>46053</v>
      </c>
      <c r="B583" s="19">
        <v>135</v>
      </c>
      <c r="C583" s="19" t="s">
        <v>863</v>
      </c>
      <c r="D583" s="20" t="s">
        <v>1390</v>
      </c>
      <c r="E583" s="21"/>
      <c r="F583" s="22">
        <v>71250</v>
      </c>
      <c r="G583" s="23"/>
      <c r="H583" s="23">
        <v>6000</v>
      </c>
      <c r="I583" s="23">
        <v>0</v>
      </c>
      <c r="J583" s="23">
        <v>0</v>
      </c>
      <c r="K583" s="24">
        <v>0</v>
      </c>
    </row>
    <row r="584" spans="1:11" x14ac:dyDescent="0.25">
      <c r="A584" s="11">
        <v>46055</v>
      </c>
      <c r="B584" s="12">
        <v>135</v>
      </c>
      <c r="C584" s="12" t="s">
        <v>863</v>
      </c>
      <c r="D584" s="13" t="s">
        <v>1385</v>
      </c>
      <c r="E584" s="14">
        <v>1850</v>
      </c>
      <c r="F584" s="15"/>
      <c r="G584" s="16">
        <v>27750</v>
      </c>
      <c r="H584" s="16">
        <v>0</v>
      </c>
      <c r="I584" s="16">
        <v>21750</v>
      </c>
      <c r="J584" s="16">
        <v>0</v>
      </c>
      <c r="K584" s="17">
        <v>0</v>
      </c>
    </row>
    <row r="585" spans="1:11" x14ac:dyDescent="0.25">
      <c r="A585" s="18">
        <v>46059</v>
      </c>
      <c r="B585" s="19">
        <v>135</v>
      </c>
      <c r="C585" s="19" t="s">
        <v>1412</v>
      </c>
      <c r="D585" s="20" t="s">
        <v>1385</v>
      </c>
      <c r="E585" s="21">
        <v>2400</v>
      </c>
      <c r="F585" s="22"/>
      <c r="G585" s="23">
        <v>36000</v>
      </c>
      <c r="H585" s="23">
        <v>0</v>
      </c>
      <c r="I585" s="23">
        <v>57750</v>
      </c>
      <c r="J585" s="23">
        <v>0</v>
      </c>
      <c r="K585" s="24">
        <v>0</v>
      </c>
    </row>
    <row r="586" spans="1:11" x14ac:dyDescent="0.25">
      <c r="A586" s="11">
        <v>46069</v>
      </c>
      <c r="B586" s="12">
        <v>135</v>
      </c>
      <c r="C586" s="12" t="s">
        <v>863</v>
      </c>
      <c r="D586" s="13" t="s">
        <v>1385</v>
      </c>
      <c r="E586" s="14">
        <v>2250</v>
      </c>
      <c r="F586" s="15"/>
      <c r="G586" s="16">
        <v>33750</v>
      </c>
      <c r="H586" s="16">
        <v>0</v>
      </c>
      <c r="I586" s="16">
        <v>91500</v>
      </c>
      <c r="J586" s="16">
        <v>0</v>
      </c>
      <c r="K586" s="17">
        <v>91500</v>
      </c>
    </row>
    <row r="587" spans="1:11" x14ac:dyDescent="0.25">
      <c r="A587" s="18">
        <v>46051</v>
      </c>
      <c r="B587" s="19">
        <v>136</v>
      </c>
      <c r="C587" s="19" t="s">
        <v>859</v>
      </c>
      <c r="D587" s="20" t="s">
        <v>1384</v>
      </c>
      <c r="E587" s="21"/>
      <c r="F587" s="22">
        <v>120000</v>
      </c>
      <c r="G587" s="23"/>
      <c r="H587" s="23">
        <v>120000</v>
      </c>
      <c r="I587" s="23">
        <v>0</v>
      </c>
      <c r="J587" s="23">
        <v>0</v>
      </c>
      <c r="K587" s="24">
        <v>0</v>
      </c>
    </row>
    <row r="588" spans="1:11" x14ac:dyDescent="0.25">
      <c r="A588" s="11">
        <v>46051</v>
      </c>
      <c r="B588" s="12">
        <v>136</v>
      </c>
      <c r="C588" s="12" t="s">
        <v>859</v>
      </c>
      <c r="D588" s="13" t="s">
        <v>1385</v>
      </c>
      <c r="E588" s="14">
        <v>3750</v>
      </c>
      <c r="F588" s="15"/>
      <c r="G588" s="16">
        <v>120000</v>
      </c>
      <c r="H588" s="16">
        <v>0</v>
      </c>
      <c r="I588" s="16">
        <v>0</v>
      </c>
      <c r="J588" s="16">
        <v>0</v>
      </c>
      <c r="K588" s="17">
        <v>0</v>
      </c>
    </row>
    <row r="589" spans="1:11" x14ac:dyDescent="0.25">
      <c r="A589" s="18">
        <v>46066</v>
      </c>
      <c r="B589" s="19">
        <v>136</v>
      </c>
      <c r="C589" s="19" t="s">
        <v>859</v>
      </c>
      <c r="D589" s="20" t="s">
        <v>1385</v>
      </c>
      <c r="E589" s="21">
        <v>3750</v>
      </c>
      <c r="F589" s="22"/>
      <c r="G589" s="23">
        <v>120000</v>
      </c>
      <c r="H589" s="23">
        <v>0</v>
      </c>
      <c r="I589" s="23">
        <v>120000</v>
      </c>
      <c r="J589" s="23">
        <v>0</v>
      </c>
      <c r="K589" s="24">
        <v>0</v>
      </c>
    </row>
    <row r="590" spans="1:11" x14ac:dyDescent="0.25">
      <c r="A590" s="11">
        <v>46070</v>
      </c>
      <c r="B590" s="12">
        <v>136</v>
      </c>
      <c r="C590" s="12" t="s">
        <v>859</v>
      </c>
      <c r="D590" s="13" t="s">
        <v>1384</v>
      </c>
      <c r="E590" s="14"/>
      <c r="F590" s="15">
        <v>120000</v>
      </c>
      <c r="G590" s="16"/>
      <c r="H590" s="16">
        <v>0</v>
      </c>
      <c r="I590" s="16">
        <v>0</v>
      </c>
      <c r="J590" s="16">
        <v>0</v>
      </c>
      <c r="K590" s="17">
        <v>0</v>
      </c>
    </row>
    <row r="591" spans="1:11" x14ac:dyDescent="0.25">
      <c r="A591" s="18">
        <v>46048</v>
      </c>
      <c r="B591" s="19">
        <v>137</v>
      </c>
      <c r="C591" s="19" t="s">
        <v>855</v>
      </c>
      <c r="D591" s="20" t="s">
        <v>1384</v>
      </c>
      <c r="E591" s="21"/>
      <c r="F591" s="22">
        <v>107000</v>
      </c>
      <c r="G591" s="23"/>
      <c r="H591" s="23">
        <v>107000</v>
      </c>
      <c r="I591" s="23">
        <v>0</v>
      </c>
      <c r="J591" s="23">
        <v>0</v>
      </c>
      <c r="K591" s="24">
        <v>0</v>
      </c>
    </row>
    <row r="592" spans="1:11" x14ac:dyDescent="0.25">
      <c r="A592" s="11">
        <v>46048</v>
      </c>
      <c r="B592" s="12">
        <v>137</v>
      </c>
      <c r="C592" s="12" t="s">
        <v>855</v>
      </c>
      <c r="D592" s="13" t="s">
        <v>1385</v>
      </c>
      <c r="E592" s="14">
        <v>2160</v>
      </c>
      <c r="F592" s="15"/>
      <c r="G592" s="16">
        <v>107000</v>
      </c>
      <c r="H592" s="16">
        <v>0</v>
      </c>
      <c r="I592" s="16">
        <v>0</v>
      </c>
      <c r="J592" s="16">
        <v>0</v>
      </c>
      <c r="K592" s="17">
        <v>0</v>
      </c>
    </row>
    <row r="593" spans="1:11" x14ac:dyDescent="0.25">
      <c r="A593" s="18">
        <v>46062</v>
      </c>
      <c r="B593" s="19">
        <v>137</v>
      </c>
      <c r="C593" s="19" t="s">
        <v>855</v>
      </c>
      <c r="D593" s="20" t="s">
        <v>1385</v>
      </c>
      <c r="E593" s="21">
        <v>2160</v>
      </c>
      <c r="F593" s="22"/>
      <c r="G593" s="23">
        <v>107000</v>
      </c>
      <c r="H593" s="23">
        <v>0</v>
      </c>
      <c r="I593" s="23">
        <v>107000</v>
      </c>
      <c r="J593" s="23">
        <v>0</v>
      </c>
      <c r="K593" s="24">
        <v>0</v>
      </c>
    </row>
    <row r="594" spans="1:11" x14ac:dyDescent="0.25">
      <c r="A594" s="11">
        <v>46066</v>
      </c>
      <c r="B594" s="12">
        <v>137</v>
      </c>
      <c r="C594" s="12" t="s">
        <v>855</v>
      </c>
      <c r="D594" s="13" t="s">
        <v>1384</v>
      </c>
      <c r="E594" s="14"/>
      <c r="F594" s="15">
        <v>107000</v>
      </c>
      <c r="G594" s="16"/>
      <c r="H594" s="16">
        <v>0</v>
      </c>
      <c r="I594" s="16">
        <v>0</v>
      </c>
      <c r="J594" s="16">
        <v>0</v>
      </c>
      <c r="K594" s="17">
        <v>0</v>
      </c>
    </row>
    <row r="595" spans="1:11" x14ac:dyDescent="0.25">
      <c r="A595" s="18">
        <v>46043</v>
      </c>
      <c r="B595" s="19">
        <v>140</v>
      </c>
      <c r="C595" s="19" t="s">
        <v>843</v>
      </c>
      <c r="D595" s="20" t="s">
        <v>1383</v>
      </c>
      <c r="E595" s="21">
        <v>500</v>
      </c>
      <c r="F595" s="22"/>
      <c r="G595" s="23">
        <v>50000</v>
      </c>
      <c r="H595" s="23">
        <v>0</v>
      </c>
      <c r="I595" s="23">
        <v>50000</v>
      </c>
      <c r="J595" s="23">
        <v>0</v>
      </c>
      <c r="K595" s="24">
        <v>0</v>
      </c>
    </row>
    <row r="596" spans="1:11" x14ac:dyDescent="0.25">
      <c r="A596" s="11">
        <v>46065</v>
      </c>
      <c r="B596" s="12">
        <v>140</v>
      </c>
      <c r="C596" s="12" t="s">
        <v>843</v>
      </c>
      <c r="D596" s="13" t="s">
        <v>1383</v>
      </c>
      <c r="E596" s="14">
        <v>1000</v>
      </c>
      <c r="F596" s="15"/>
      <c r="G596" s="16">
        <v>40000</v>
      </c>
      <c r="H596" s="16">
        <v>0</v>
      </c>
      <c r="I596" s="16">
        <v>90000</v>
      </c>
      <c r="J596" s="16">
        <v>0</v>
      </c>
      <c r="K596" s="17">
        <v>0</v>
      </c>
    </row>
    <row r="597" spans="1:11" x14ac:dyDescent="0.25">
      <c r="A597" s="18">
        <v>46065</v>
      </c>
      <c r="B597" s="19">
        <v>140</v>
      </c>
      <c r="C597" s="19" t="s">
        <v>843</v>
      </c>
      <c r="D597" s="20" t="s">
        <v>1385</v>
      </c>
      <c r="E597" s="21">
        <v>4950</v>
      </c>
      <c r="F597" s="22"/>
      <c r="G597" s="23">
        <v>138600</v>
      </c>
      <c r="H597" s="23">
        <v>0</v>
      </c>
      <c r="I597" s="23">
        <v>228600</v>
      </c>
      <c r="J597" s="23">
        <v>0</v>
      </c>
      <c r="K597" s="24">
        <v>0</v>
      </c>
    </row>
    <row r="598" spans="1:11" x14ac:dyDescent="0.25">
      <c r="A598" s="11">
        <v>46066</v>
      </c>
      <c r="B598" s="12">
        <v>140</v>
      </c>
      <c r="C598" s="12" t="s">
        <v>843</v>
      </c>
      <c r="D598" s="13" t="s">
        <v>1413</v>
      </c>
      <c r="E598" s="14"/>
      <c r="F598" s="15">
        <v>14000</v>
      </c>
      <c r="G598" s="16"/>
      <c r="H598" s="16">
        <v>0</v>
      </c>
      <c r="I598" s="16">
        <v>214600</v>
      </c>
      <c r="J598" s="16">
        <v>0</v>
      </c>
      <c r="K598" s="17">
        <v>0</v>
      </c>
    </row>
    <row r="599" spans="1:11" x14ac:dyDescent="0.25">
      <c r="A599" s="18">
        <v>46066</v>
      </c>
      <c r="B599" s="19">
        <v>140</v>
      </c>
      <c r="C599" s="19" t="s">
        <v>843</v>
      </c>
      <c r="D599" s="20" t="s">
        <v>1399</v>
      </c>
      <c r="E599" s="21"/>
      <c r="F599" s="22">
        <v>214600</v>
      </c>
      <c r="G599" s="23"/>
      <c r="H599" s="23">
        <v>0</v>
      </c>
      <c r="I599" s="23">
        <v>0</v>
      </c>
      <c r="J599" s="23">
        <v>0</v>
      </c>
      <c r="K599" s="24">
        <v>0</v>
      </c>
    </row>
    <row r="600" spans="1:11" x14ac:dyDescent="0.25">
      <c r="A600" s="11">
        <v>46039</v>
      </c>
      <c r="B600" s="12">
        <v>141</v>
      </c>
      <c r="C600" s="12" t="s">
        <v>839</v>
      </c>
      <c r="D600" s="13"/>
      <c r="E600" s="14"/>
      <c r="F600" s="15"/>
      <c r="G600" s="16">
        <v>125000</v>
      </c>
      <c r="H600" s="16">
        <v>0</v>
      </c>
      <c r="I600" s="16">
        <v>125000</v>
      </c>
      <c r="J600" s="16">
        <v>0</v>
      </c>
      <c r="K600" s="17">
        <v>0</v>
      </c>
    </row>
    <row r="601" spans="1:11" x14ac:dyDescent="0.25">
      <c r="A601" s="18">
        <v>46048</v>
      </c>
      <c r="B601" s="19">
        <v>141</v>
      </c>
      <c r="C601" s="19" t="s">
        <v>839</v>
      </c>
      <c r="D601" s="20" t="s">
        <v>1385</v>
      </c>
      <c r="E601" s="21">
        <v>5000</v>
      </c>
      <c r="F601" s="22"/>
      <c r="G601" s="23">
        <v>125000</v>
      </c>
      <c r="H601" s="23">
        <v>0</v>
      </c>
      <c r="I601" s="23">
        <v>250000</v>
      </c>
      <c r="J601" s="23">
        <v>0</v>
      </c>
      <c r="K601" s="24">
        <v>0</v>
      </c>
    </row>
    <row r="602" spans="1:11" x14ac:dyDescent="0.25">
      <c r="A602" s="11">
        <v>46057</v>
      </c>
      <c r="B602" s="12">
        <v>141</v>
      </c>
      <c r="C602" s="12" t="s">
        <v>839</v>
      </c>
      <c r="D602" s="13" t="s">
        <v>1385</v>
      </c>
      <c r="E602" s="14">
        <v>5000</v>
      </c>
      <c r="F602" s="15"/>
      <c r="G602" s="16">
        <v>125000</v>
      </c>
      <c r="H602" s="16">
        <v>0</v>
      </c>
      <c r="I602" s="16">
        <v>375000</v>
      </c>
      <c r="J602" s="16">
        <v>0</v>
      </c>
      <c r="K602" s="17">
        <v>0</v>
      </c>
    </row>
    <row r="603" spans="1:11" x14ac:dyDescent="0.25">
      <c r="A603" s="18">
        <v>46062</v>
      </c>
      <c r="B603" s="19">
        <v>141</v>
      </c>
      <c r="C603" s="19" t="s">
        <v>839</v>
      </c>
      <c r="D603" s="20" t="s">
        <v>1399</v>
      </c>
      <c r="E603" s="21"/>
      <c r="F603" s="22">
        <v>375000</v>
      </c>
      <c r="G603" s="23"/>
      <c r="H603" s="23">
        <v>0</v>
      </c>
      <c r="I603" s="23">
        <v>0</v>
      </c>
      <c r="J603" s="23">
        <v>0</v>
      </c>
      <c r="K603" s="24">
        <v>0</v>
      </c>
    </row>
    <row r="604" spans="1:11" x14ac:dyDescent="0.25">
      <c r="A604" s="11">
        <v>46065</v>
      </c>
      <c r="B604" s="12">
        <v>141</v>
      </c>
      <c r="C604" s="12" t="s">
        <v>839</v>
      </c>
      <c r="D604" s="13" t="s">
        <v>1385</v>
      </c>
      <c r="E604" s="14">
        <v>5000</v>
      </c>
      <c r="F604" s="15"/>
      <c r="G604" s="16">
        <v>125000</v>
      </c>
      <c r="H604" s="16">
        <v>0</v>
      </c>
      <c r="I604" s="16">
        <v>125000</v>
      </c>
      <c r="J604" s="16">
        <v>0</v>
      </c>
      <c r="K604" s="17">
        <v>125000</v>
      </c>
    </row>
    <row r="605" spans="1:11" x14ac:dyDescent="0.25">
      <c r="A605" s="18">
        <v>46052</v>
      </c>
      <c r="B605" s="19">
        <v>142</v>
      </c>
      <c r="C605" s="19" t="s">
        <v>835</v>
      </c>
      <c r="D605" s="20" t="s">
        <v>1384</v>
      </c>
      <c r="E605" s="21"/>
      <c r="F605" s="22">
        <v>128700</v>
      </c>
      <c r="G605" s="23"/>
      <c r="H605" s="23">
        <v>128700</v>
      </c>
      <c r="I605" s="23">
        <v>0</v>
      </c>
      <c r="J605" s="23">
        <v>0</v>
      </c>
      <c r="K605" s="24">
        <v>0</v>
      </c>
    </row>
    <row r="606" spans="1:11" x14ac:dyDescent="0.25">
      <c r="A606" s="11">
        <v>46052</v>
      </c>
      <c r="B606" s="12">
        <v>142</v>
      </c>
      <c r="C606" s="12" t="s">
        <v>835</v>
      </c>
      <c r="D606" s="13" t="s">
        <v>1385</v>
      </c>
      <c r="E606" s="14">
        <v>3300</v>
      </c>
      <c r="F606" s="15"/>
      <c r="G606" s="16">
        <v>118800</v>
      </c>
      <c r="H606" s="16">
        <v>9900</v>
      </c>
      <c r="I606" s="16">
        <v>0</v>
      </c>
      <c r="J606" s="16">
        <v>0</v>
      </c>
      <c r="K606" s="17">
        <v>0</v>
      </c>
    </row>
    <row r="607" spans="1:11" x14ac:dyDescent="0.25">
      <c r="A607" s="18">
        <v>46070</v>
      </c>
      <c r="B607" s="19">
        <v>142</v>
      </c>
      <c r="C607" s="19" t="s">
        <v>835</v>
      </c>
      <c r="D607" s="20" t="s">
        <v>1385</v>
      </c>
      <c r="E607" s="21">
        <v>3300</v>
      </c>
      <c r="F607" s="22"/>
      <c r="G607" s="23">
        <v>118800</v>
      </c>
      <c r="H607" s="23">
        <v>0</v>
      </c>
      <c r="I607" s="23">
        <v>108900</v>
      </c>
      <c r="J607" s="23">
        <v>0</v>
      </c>
      <c r="K607" s="24">
        <v>108900</v>
      </c>
    </row>
    <row r="608" spans="1:11" x14ac:dyDescent="0.25">
      <c r="A608" s="11">
        <v>46039</v>
      </c>
      <c r="B608" s="12">
        <v>143</v>
      </c>
      <c r="C608" s="12" t="s">
        <v>1414</v>
      </c>
      <c r="D608" s="13"/>
      <c r="E608" s="14"/>
      <c r="F608" s="15"/>
      <c r="G608" s="16">
        <v>59800</v>
      </c>
      <c r="H608" s="16">
        <v>0</v>
      </c>
      <c r="I608" s="16">
        <v>59800</v>
      </c>
      <c r="J608" s="16">
        <v>0</v>
      </c>
      <c r="K608" s="17">
        <v>0</v>
      </c>
    </row>
    <row r="609" spans="1:11" x14ac:dyDescent="0.25">
      <c r="A609" s="18">
        <v>46042</v>
      </c>
      <c r="B609" s="19">
        <v>143</v>
      </c>
      <c r="C609" s="19" t="s">
        <v>831</v>
      </c>
      <c r="D609" s="20" t="s">
        <v>1385</v>
      </c>
      <c r="E609" s="21">
        <v>2300</v>
      </c>
      <c r="F609" s="22"/>
      <c r="G609" s="23">
        <v>62100</v>
      </c>
      <c r="H609" s="23">
        <v>0</v>
      </c>
      <c r="I609" s="23">
        <v>121900</v>
      </c>
      <c r="J609" s="23">
        <v>0</v>
      </c>
      <c r="K609" s="24">
        <v>0</v>
      </c>
    </row>
    <row r="610" spans="1:11" x14ac:dyDescent="0.25">
      <c r="A610" s="11">
        <v>46055</v>
      </c>
      <c r="B610" s="12">
        <v>143</v>
      </c>
      <c r="C610" s="12" t="s">
        <v>831</v>
      </c>
      <c r="D610" s="13" t="s">
        <v>1384</v>
      </c>
      <c r="E610" s="14"/>
      <c r="F610" s="15">
        <v>121900</v>
      </c>
      <c r="G610" s="16"/>
      <c r="H610" s="16">
        <v>0</v>
      </c>
      <c r="I610" s="16">
        <v>0</v>
      </c>
      <c r="J610" s="16">
        <v>0</v>
      </c>
      <c r="K610" s="17">
        <v>0</v>
      </c>
    </row>
    <row r="611" spans="1:11" x14ac:dyDescent="0.25">
      <c r="A611" s="18">
        <v>46055</v>
      </c>
      <c r="B611" s="19">
        <v>143</v>
      </c>
      <c r="C611" s="19" t="s">
        <v>831</v>
      </c>
      <c r="D611" s="20" t="s">
        <v>1385</v>
      </c>
      <c r="E611" s="21">
        <v>2300</v>
      </c>
      <c r="F611" s="22"/>
      <c r="G611" s="23">
        <v>62100</v>
      </c>
      <c r="H611" s="23">
        <v>0</v>
      </c>
      <c r="I611" s="23">
        <v>62100</v>
      </c>
      <c r="J611" s="23">
        <v>0</v>
      </c>
      <c r="K611" s="24">
        <v>0</v>
      </c>
    </row>
    <row r="612" spans="1:11" x14ac:dyDescent="0.25">
      <c r="A612" s="11">
        <v>46065</v>
      </c>
      <c r="B612" s="12">
        <v>143</v>
      </c>
      <c r="C612" s="12" t="s">
        <v>831</v>
      </c>
      <c r="D612" s="13" t="s">
        <v>1385</v>
      </c>
      <c r="E612" s="14">
        <v>2300</v>
      </c>
      <c r="F612" s="15"/>
      <c r="G612" s="16">
        <v>62100</v>
      </c>
      <c r="H612" s="16">
        <v>0</v>
      </c>
      <c r="I612" s="16">
        <v>124200</v>
      </c>
      <c r="J612" s="16">
        <v>0</v>
      </c>
      <c r="K612" s="17">
        <v>124200</v>
      </c>
    </row>
    <row r="613" spans="1:11" x14ac:dyDescent="0.25">
      <c r="A613" s="18">
        <v>46042</v>
      </c>
      <c r="B613" s="19">
        <v>147</v>
      </c>
      <c r="C613" s="19" t="s">
        <v>818</v>
      </c>
      <c r="D613" s="20" t="s">
        <v>1385</v>
      </c>
      <c r="E613" s="21">
        <v>870</v>
      </c>
      <c r="F613" s="22"/>
      <c r="G613" s="23">
        <v>36000</v>
      </c>
      <c r="H613" s="23">
        <v>0</v>
      </c>
      <c r="I613" s="23">
        <v>36000</v>
      </c>
      <c r="J613" s="23">
        <v>0</v>
      </c>
      <c r="K613" s="24">
        <v>36000</v>
      </c>
    </row>
    <row r="614" spans="1:11" x14ac:dyDescent="0.25">
      <c r="A614" s="11">
        <v>46051</v>
      </c>
      <c r="B614" s="12">
        <v>148</v>
      </c>
      <c r="C614" s="12" t="s">
        <v>814</v>
      </c>
      <c r="D614" s="13" t="s">
        <v>1384</v>
      </c>
      <c r="E614" s="14"/>
      <c r="F614" s="15">
        <v>164100</v>
      </c>
      <c r="G614" s="16"/>
      <c r="H614" s="16">
        <v>164100</v>
      </c>
      <c r="I614" s="16">
        <v>0</v>
      </c>
      <c r="J614" s="16">
        <v>0</v>
      </c>
      <c r="K614" s="17">
        <v>0</v>
      </c>
    </row>
    <row r="615" spans="1:11" x14ac:dyDescent="0.25">
      <c r="A615" s="18">
        <v>46051</v>
      </c>
      <c r="B615" s="19">
        <v>148</v>
      </c>
      <c r="C615" s="19" t="s">
        <v>814</v>
      </c>
      <c r="D615" s="20" t="s">
        <v>1385</v>
      </c>
      <c r="E615" s="21">
        <v>4200</v>
      </c>
      <c r="F615" s="22"/>
      <c r="G615" s="23">
        <v>164100</v>
      </c>
      <c r="H615" s="23">
        <v>0</v>
      </c>
      <c r="I615" s="23">
        <v>0</v>
      </c>
      <c r="J615" s="23">
        <v>0</v>
      </c>
      <c r="K615" s="24">
        <v>0</v>
      </c>
    </row>
    <row r="616" spans="1:11" x14ac:dyDescent="0.25">
      <c r="A616" s="11">
        <v>46039</v>
      </c>
      <c r="B616" s="12">
        <v>149</v>
      </c>
      <c r="C616" s="12" t="s">
        <v>810</v>
      </c>
      <c r="D616" s="13" t="s">
        <v>1384</v>
      </c>
      <c r="E616" s="14"/>
      <c r="F616" s="15">
        <v>87000</v>
      </c>
      <c r="G616" s="16"/>
      <c r="H616" s="16">
        <v>87000</v>
      </c>
      <c r="I616" s="16">
        <v>0</v>
      </c>
      <c r="J616" s="16">
        <v>0</v>
      </c>
      <c r="K616" s="17">
        <v>0</v>
      </c>
    </row>
    <row r="617" spans="1:11" x14ac:dyDescent="0.25">
      <c r="A617" s="18">
        <v>46039</v>
      </c>
      <c r="B617" s="19">
        <v>149</v>
      </c>
      <c r="C617" s="19" t="s">
        <v>810</v>
      </c>
      <c r="D617" s="20"/>
      <c r="E617" s="21"/>
      <c r="F617" s="22"/>
      <c r="G617" s="23">
        <v>87000</v>
      </c>
      <c r="H617" s="23">
        <v>0</v>
      </c>
      <c r="I617" s="23">
        <v>0</v>
      </c>
      <c r="J617" s="23">
        <v>0</v>
      </c>
      <c r="K617" s="24">
        <v>0</v>
      </c>
    </row>
    <row r="618" spans="1:11" x14ac:dyDescent="0.25">
      <c r="A618" s="11">
        <v>46048</v>
      </c>
      <c r="B618" s="12">
        <v>149</v>
      </c>
      <c r="C618" s="12" t="s">
        <v>810</v>
      </c>
      <c r="D618" s="13" t="s">
        <v>1385</v>
      </c>
      <c r="E618" s="14">
        <v>750</v>
      </c>
      <c r="F618" s="15"/>
      <c r="G618" s="16">
        <v>29000</v>
      </c>
      <c r="H618" s="16">
        <v>0</v>
      </c>
      <c r="I618" s="16">
        <v>29000</v>
      </c>
      <c r="J618" s="16">
        <v>0</v>
      </c>
      <c r="K618" s="17">
        <v>0</v>
      </c>
    </row>
    <row r="619" spans="1:11" x14ac:dyDescent="0.25">
      <c r="A619" s="18">
        <v>46052</v>
      </c>
      <c r="B619" s="19">
        <v>149</v>
      </c>
      <c r="C619" s="19" t="s">
        <v>810</v>
      </c>
      <c r="D619" s="20" t="s">
        <v>1385</v>
      </c>
      <c r="E619" s="21">
        <v>2250</v>
      </c>
      <c r="F619" s="22"/>
      <c r="G619" s="23">
        <v>94500</v>
      </c>
      <c r="H619" s="23">
        <v>0</v>
      </c>
      <c r="I619" s="23">
        <v>123500</v>
      </c>
      <c r="J619" s="23">
        <v>0</v>
      </c>
      <c r="K619" s="24">
        <v>0</v>
      </c>
    </row>
    <row r="620" spans="1:11" x14ac:dyDescent="0.25">
      <c r="A620" s="11">
        <v>46058</v>
      </c>
      <c r="B620" s="12">
        <v>149</v>
      </c>
      <c r="C620" s="12" t="s">
        <v>810</v>
      </c>
      <c r="D620" s="13" t="s">
        <v>1384</v>
      </c>
      <c r="E620" s="14"/>
      <c r="F620" s="15">
        <v>94500</v>
      </c>
      <c r="G620" s="16"/>
      <c r="H620" s="16">
        <v>0</v>
      </c>
      <c r="I620" s="16">
        <v>29000</v>
      </c>
      <c r="J620" s="16">
        <v>0</v>
      </c>
      <c r="K620" s="17">
        <v>0</v>
      </c>
    </row>
    <row r="621" spans="1:11" x14ac:dyDescent="0.25">
      <c r="A621" s="18">
        <v>46069</v>
      </c>
      <c r="B621" s="19">
        <v>149</v>
      </c>
      <c r="C621" s="19" t="s">
        <v>810</v>
      </c>
      <c r="D621" s="20" t="s">
        <v>1384</v>
      </c>
      <c r="E621" s="21"/>
      <c r="F621" s="22">
        <v>94500</v>
      </c>
      <c r="G621" s="23"/>
      <c r="H621" s="23">
        <v>65500</v>
      </c>
      <c r="I621" s="23">
        <v>0</v>
      </c>
      <c r="J621" s="23">
        <v>0</v>
      </c>
      <c r="K621" s="24">
        <v>0</v>
      </c>
    </row>
    <row r="622" spans="1:11" x14ac:dyDescent="0.25">
      <c r="A622" s="11">
        <v>46069</v>
      </c>
      <c r="B622" s="12">
        <v>149</v>
      </c>
      <c r="C622" s="12" t="s">
        <v>810</v>
      </c>
      <c r="D622" s="13" t="s">
        <v>1385</v>
      </c>
      <c r="E622" s="14">
        <v>2250</v>
      </c>
      <c r="F622" s="15"/>
      <c r="G622" s="16">
        <v>94500</v>
      </c>
      <c r="H622" s="16">
        <v>0</v>
      </c>
      <c r="I622" s="16">
        <v>29000</v>
      </c>
      <c r="J622" s="16">
        <v>0</v>
      </c>
      <c r="K622" s="17">
        <v>29000</v>
      </c>
    </row>
    <row r="623" spans="1:11" x14ac:dyDescent="0.25">
      <c r="A623" s="18">
        <v>46039</v>
      </c>
      <c r="B623" s="19">
        <v>150</v>
      </c>
      <c r="C623" s="19" t="s">
        <v>805</v>
      </c>
      <c r="D623" s="20"/>
      <c r="E623" s="21"/>
      <c r="F623" s="22"/>
      <c r="G623" s="23">
        <v>162750</v>
      </c>
      <c r="H623" s="23">
        <v>0</v>
      </c>
      <c r="I623" s="23">
        <v>162750</v>
      </c>
      <c r="J623" s="23">
        <v>0</v>
      </c>
      <c r="K623" s="24">
        <v>0</v>
      </c>
    </row>
    <row r="624" spans="1:11" x14ac:dyDescent="0.25">
      <c r="A624" s="11">
        <v>46052</v>
      </c>
      <c r="B624" s="12">
        <v>150</v>
      </c>
      <c r="C624" s="12" t="s">
        <v>805</v>
      </c>
      <c r="D624" s="13" t="s">
        <v>1385</v>
      </c>
      <c r="E624" s="14">
        <v>4650</v>
      </c>
      <c r="F624" s="15"/>
      <c r="G624" s="16">
        <v>180000</v>
      </c>
      <c r="H624" s="16">
        <v>0</v>
      </c>
      <c r="I624" s="16">
        <v>342750</v>
      </c>
      <c r="J624" s="16">
        <v>0</v>
      </c>
      <c r="K624" s="17">
        <v>342750</v>
      </c>
    </row>
    <row r="625" spans="1:11" x14ac:dyDescent="0.25">
      <c r="A625" s="18">
        <v>46041</v>
      </c>
      <c r="B625" s="19">
        <v>152</v>
      </c>
      <c r="C625" s="19" t="s">
        <v>798</v>
      </c>
      <c r="D625" s="20" t="s">
        <v>1385</v>
      </c>
      <c r="E625" s="21">
        <v>2730</v>
      </c>
      <c r="F625" s="22"/>
      <c r="G625" s="23">
        <v>86600</v>
      </c>
      <c r="H625" s="23">
        <v>0</v>
      </c>
      <c r="I625" s="23">
        <v>86600</v>
      </c>
      <c r="J625" s="23">
        <v>0</v>
      </c>
      <c r="K625" s="24">
        <v>0</v>
      </c>
    </row>
    <row r="626" spans="1:11" x14ac:dyDescent="0.25">
      <c r="A626" s="11">
        <v>46049</v>
      </c>
      <c r="B626" s="12">
        <v>152</v>
      </c>
      <c r="C626" s="12" t="s">
        <v>798</v>
      </c>
      <c r="D626" s="13" t="s">
        <v>1384</v>
      </c>
      <c r="E626" s="14"/>
      <c r="F626" s="15">
        <v>86600</v>
      </c>
      <c r="G626" s="16"/>
      <c r="H626" s="16">
        <v>0</v>
      </c>
      <c r="I626" s="16">
        <v>0</v>
      </c>
      <c r="J626" s="16">
        <v>0</v>
      </c>
      <c r="K626" s="17">
        <v>0</v>
      </c>
    </row>
    <row r="627" spans="1:11" x14ac:dyDescent="0.25">
      <c r="A627" s="18">
        <v>46066</v>
      </c>
      <c r="B627" s="19">
        <v>152</v>
      </c>
      <c r="C627" s="19" t="s">
        <v>798</v>
      </c>
      <c r="D627" s="20" t="s">
        <v>1384</v>
      </c>
      <c r="E627" s="21"/>
      <c r="F627" s="22">
        <v>86600</v>
      </c>
      <c r="G627" s="23"/>
      <c r="H627" s="23">
        <v>86600</v>
      </c>
      <c r="I627" s="23">
        <v>0</v>
      </c>
      <c r="J627" s="23">
        <v>0</v>
      </c>
      <c r="K627" s="24">
        <v>0</v>
      </c>
    </row>
    <row r="628" spans="1:11" x14ac:dyDescent="0.25">
      <c r="A628" s="11">
        <v>46069</v>
      </c>
      <c r="B628" s="12">
        <v>152</v>
      </c>
      <c r="C628" s="12" t="s">
        <v>798</v>
      </c>
      <c r="D628" s="13" t="s">
        <v>1385</v>
      </c>
      <c r="E628" s="14">
        <v>3150</v>
      </c>
      <c r="F628" s="15"/>
      <c r="G628" s="16">
        <v>99900</v>
      </c>
      <c r="H628" s="16">
        <v>0</v>
      </c>
      <c r="I628" s="16">
        <v>13300</v>
      </c>
      <c r="J628" s="16">
        <v>0</v>
      </c>
      <c r="K628" s="17">
        <v>13300</v>
      </c>
    </row>
    <row r="629" spans="1:11" x14ac:dyDescent="0.25">
      <c r="A629" s="18">
        <v>46052</v>
      </c>
      <c r="B629" s="19">
        <v>153</v>
      </c>
      <c r="C629" s="19" t="s">
        <v>794</v>
      </c>
      <c r="D629" s="20" t="s">
        <v>1384</v>
      </c>
      <c r="E629" s="21"/>
      <c r="F629" s="22">
        <v>67500</v>
      </c>
      <c r="G629" s="23"/>
      <c r="H629" s="23">
        <v>67500</v>
      </c>
      <c r="I629" s="23">
        <v>0</v>
      </c>
      <c r="J629" s="23">
        <v>0</v>
      </c>
      <c r="K629" s="24">
        <v>0</v>
      </c>
    </row>
    <row r="630" spans="1:11" x14ac:dyDescent="0.25">
      <c r="A630" s="11">
        <v>46052</v>
      </c>
      <c r="B630" s="12">
        <v>153</v>
      </c>
      <c r="C630" s="12" t="s">
        <v>794</v>
      </c>
      <c r="D630" s="13" t="s">
        <v>1385</v>
      </c>
      <c r="E630" s="14">
        <v>2250</v>
      </c>
      <c r="F630" s="15"/>
      <c r="G630" s="16">
        <v>67500</v>
      </c>
      <c r="H630" s="16">
        <v>0</v>
      </c>
      <c r="I630" s="16">
        <v>0</v>
      </c>
      <c r="J630" s="16">
        <v>0</v>
      </c>
      <c r="K630" s="17">
        <v>0</v>
      </c>
    </row>
    <row r="631" spans="1:11" x14ac:dyDescent="0.25">
      <c r="A631" s="18">
        <v>46069</v>
      </c>
      <c r="B631" s="19">
        <v>153</v>
      </c>
      <c r="C631" s="19" t="s">
        <v>794</v>
      </c>
      <c r="D631" s="20" t="s">
        <v>1384</v>
      </c>
      <c r="E631" s="21"/>
      <c r="F631" s="22">
        <v>67500</v>
      </c>
      <c r="G631" s="23"/>
      <c r="H631" s="23">
        <v>67500</v>
      </c>
      <c r="I631" s="23">
        <v>0</v>
      </c>
      <c r="J631" s="23">
        <v>0</v>
      </c>
      <c r="K631" s="24">
        <v>0</v>
      </c>
    </row>
    <row r="632" spans="1:11" x14ac:dyDescent="0.25">
      <c r="A632" s="11">
        <v>46069</v>
      </c>
      <c r="B632" s="12">
        <v>153</v>
      </c>
      <c r="C632" s="12" t="s">
        <v>794</v>
      </c>
      <c r="D632" s="13" t="s">
        <v>1385</v>
      </c>
      <c r="E632" s="14">
        <v>2250</v>
      </c>
      <c r="F632" s="15"/>
      <c r="G632" s="16">
        <v>67500</v>
      </c>
      <c r="H632" s="16">
        <v>0</v>
      </c>
      <c r="I632" s="16">
        <v>0</v>
      </c>
      <c r="J632" s="16">
        <v>0</v>
      </c>
      <c r="K632" s="17">
        <v>0</v>
      </c>
    </row>
    <row r="633" spans="1:11" x14ac:dyDescent="0.25">
      <c r="A633" s="18">
        <v>46040</v>
      </c>
      <c r="B633" s="19">
        <v>154</v>
      </c>
      <c r="C633" s="19" t="s">
        <v>790</v>
      </c>
      <c r="D633" s="20" t="s">
        <v>1384</v>
      </c>
      <c r="E633" s="21"/>
      <c r="F633" s="22">
        <v>207000</v>
      </c>
      <c r="G633" s="23"/>
      <c r="H633" s="23">
        <v>207000</v>
      </c>
      <c r="I633" s="23">
        <v>0</v>
      </c>
      <c r="J633" s="23">
        <v>0</v>
      </c>
      <c r="K633" s="24">
        <v>0</v>
      </c>
    </row>
    <row r="634" spans="1:11" x14ac:dyDescent="0.25">
      <c r="A634" s="11">
        <v>46041</v>
      </c>
      <c r="B634" s="12">
        <v>154</v>
      </c>
      <c r="C634" s="12" t="s">
        <v>790</v>
      </c>
      <c r="D634" s="13" t="s">
        <v>1385</v>
      </c>
      <c r="E634" s="14">
        <v>4200</v>
      </c>
      <c r="F634" s="15"/>
      <c r="G634" s="16">
        <v>127000</v>
      </c>
      <c r="H634" s="16">
        <v>80000</v>
      </c>
      <c r="I634" s="16">
        <v>0</v>
      </c>
      <c r="J634" s="16">
        <v>0</v>
      </c>
      <c r="K634" s="17">
        <v>0</v>
      </c>
    </row>
    <row r="635" spans="1:11" x14ac:dyDescent="0.25">
      <c r="A635" s="18">
        <v>46041</v>
      </c>
      <c r="B635" s="19">
        <v>154</v>
      </c>
      <c r="C635" s="19" t="s">
        <v>790</v>
      </c>
      <c r="D635" s="20" t="s">
        <v>1383</v>
      </c>
      <c r="E635" s="21">
        <v>1000</v>
      </c>
      <c r="F635" s="22"/>
      <c r="G635" s="23">
        <v>80000</v>
      </c>
      <c r="H635" s="23">
        <v>0</v>
      </c>
      <c r="I635" s="23">
        <v>0</v>
      </c>
      <c r="J635" s="23">
        <v>0</v>
      </c>
      <c r="K635" s="24">
        <v>0</v>
      </c>
    </row>
    <row r="636" spans="1:11" x14ac:dyDescent="0.25">
      <c r="A636" s="11">
        <v>46053</v>
      </c>
      <c r="B636" s="12">
        <v>154</v>
      </c>
      <c r="C636" s="12" t="s">
        <v>790</v>
      </c>
      <c r="D636" s="13" t="s">
        <v>1384</v>
      </c>
      <c r="E636" s="14"/>
      <c r="F636" s="15">
        <v>166000</v>
      </c>
      <c r="G636" s="16"/>
      <c r="H636" s="16">
        <v>166000</v>
      </c>
      <c r="I636" s="16">
        <v>0</v>
      </c>
      <c r="J636" s="16">
        <v>0</v>
      </c>
      <c r="K636" s="17">
        <v>0</v>
      </c>
    </row>
    <row r="637" spans="1:11" x14ac:dyDescent="0.25">
      <c r="A637" s="18">
        <v>46055</v>
      </c>
      <c r="B637" s="19">
        <v>154</v>
      </c>
      <c r="C637" s="19" t="s">
        <v>790</v>
      </c>
      <c r="D637" s="20" t="s">
        <v>1383</v>
      </c>
      <c r="E637" s="21">
        <v>200</v>
      </c>
      <c r="F637" s="22"/>
      <c r="G637" s="23">
        <v>6000</v>
      </c>
      <c r="H637" s="23">
        <v>160000</v>
      </c>
      <c r="I637" s="23">
        <v>0</v>
      </c>
      <c r="J637" s="23">
        <v>0</v>
      </c>
      <c r="K637" s="24">
        <v>0</v>
      </c>
    </row>
    <row r="638" spans="1:11" x14ac:dyDescent="0.25">
      <c r="A638" s="11">
        <v>46055</v>
      </c>
      <c r="B638" s="12">
        <v>154</v>
      </c>
      <c r="C638" s="12" t="s">
        <v>790</v>
      </c>
      <c r="D638" s="13" t="s">
        <v>1385</v>
      </c>
      <c r="E638" s="14">
        <v>4200</v>
      </c>
      <c r="F638" s="15"/>
      <c r="G638" s="16">
        <v>126000</v>
      </c>
      <c r="H638" s="16">
        <v>34000</v>
      </c>
      <c r="I638" s="16">
        <v>0</v>
      </c>
      <c r="J638" s="16">
        <v>0</v>
      </c>
      <c r="K638" s="17">
        <v>0</v>
      </c>
    </row>
    <row r="639" spans="1:11" x14ac:dyDescent="0.25">
      <c r="A639" s="18">
        <v>46070</v>
      </c>
      <c r="B639" s="19">
        <v>154</v>
      </c>
      <c r="C639" s="19" t="s">
        <v>790</v>
      </c>
      <c r="D639" s="20" t="s">
        <v>1383</v>
      </c>
      <c r="E639" s="21">
        <v>1000</v>
      </c>
      <c r="F639" s="22"/>
      <c r="G639" s="23">
        <v>40000</v>
      </c>
      <c r="H639" s="23">
        <v>0</v>
      </c>
      <c r="I639" s="23">
        <v>6000</v>
      </c>
      <c r="J639" s="23">
        <v>0</v>
      </c>
      <c r="K639" s="24">
        <v>0</v>
      </c>
    </row>
    <row r="640" spans="1:11" x14ac:dyDescent="0.25">
      <c r="A640" s="11">
        <v>46070</v>
      </c>
      <c r="B640" s="12">
        <v>154</v>
      </c>
      <c r="C640" s="12" t="s">
        <v>790</v>
      </c>
      <c r="D640" s="13" t="s">
        <v>1384</v>
      </c>
      <c r="E640" s="14"/>
      <c r="F640" s="15">
        <v>207000</v>
      </c>
      <c r="G640" s="16"/>
      <c r="H640" s="16">
        <v>201000</v>
      </c>
      <c r="I640" s="16">
        <v>0</v>
      </c>
      <c r="J640" s="16">
        <v>0</v>
      </c>
      <c r="K640" s="17">
        <v>0</v>
      </c>
    </row>
    <row r="641" spans="1:11" x14ac:dyDescent="0.25">
      <c r="A641" s="18">
        <v>46070</v>
      </c>
      <c r="B641" s="19">
        <v>154</v>
      </c>
      <c r="C641" s="19" t="s">
        <v>790</v>
      </c>
      <c r="D641" s="20" t="s">
        <v>1385</v>
      </c>
      <c r="E641" s="21">
        <v>4200</v>
      </c>
      <c r="F641" s="22"/>
      <c r="G641" s="23">
        <v>126000</v>
      </c>
      <c r="H641" s="23">
        <v>75000</v>
      </c>
      <c r="I641" s="23">
        <v>0</v>
      </c>
      <c r="J641" s="23">
        <v>75000</v>
      </c>
      <c r="K641" s="24">
        <v>0</v>
      </c>
    </row>
    <row r="642" spans="1:11" x14ac:dyDescent="0.25">
      <c r="A642" s="11">
        <v>46039</v>
      </c>
      <c r="B642" s="12">
        <v>155</v>
      </c>
      <c r="C642" s="12" t="s">
        <v>786</v>
      </c>
      <c r="D642" s="13"/>
      <c r="E642" s="14"/>
      <c r="F642" s="15">
        <v>48900</v>
      </c>
      <c r="G642" s="16"/>
      <c r="H642" s="16">
        <v>48900</v>
      </c>
      <c r="I642" s="16">
        <v>0</v>
      </c>
      <c r="J642" s="16">
        <v>0</v>
      </c>
      <c r="K642" s="17">
        <v>0</v>
      </c>
    </row>
    <row r="643" spans="1:11" x14ac:dyDescent="0.25">
      <c r="A643" s="18">
        <v>46041</v>
      </c>
      <c r="B643" s="19">
        <v>155</v>
      </c>
      <c r="C643" s="19" t="s">
        <v>786</v>
      </c>
      <c r="D643" s="20" t="s">
        <v>1385</v>
      </c>
      <c r="E643" s="21">
        <v>1190</v>
      </c>
      <c r="F643" s="22"/>
      <c r="G643" s="23">
        <v>48900</v>
      </c>
      <c r="H643" s="23">
        <v>0</v>
      </c>
      <c r="I643" s="23">
        <v>0</v>
      </c>
      <c r="J643" s="23">
        <v>0</v>
      </c>
      <c r="K643" s="24">
        <v>0</v>
      </c>
    </row>
    <row r="644" spans="1:11" x14ac:dyDescent="0.25">
      <c r="A644" s="11">
        <v>46065</v>
      </c>
      <c r="B644" s="12">
        <v>155</v>
      </c>
      <c r="C644" s="12" t="s">
        <v>786</v>
      </c>
      <c r="D644" s="13" t="s">
        <v>1384</v>
      </c>
      <c r="E644" s="14"/>
      <c r="F644" s="15">
        <v>48900</v>
      </c>
      <c r="G644" s="16"/>
      <c r="H644" s="16">
        <v>48900</v>
      </c>
      <c r="I644" s="16">
        <v>0</v>
      </c>
      <c r="J644" s="16">
        <v>0</v>
      </c>
      <c r="K644" s="17">
        <v>0</v>
      </c>
    </row>
    <row r="645" spans="1:11" x14ac:dyDescent="0.25">
      <c r="A645" s="18">
        <v>46066</v>
      </c>
      <c r="B645" s="19">
        <v>155</v>
      </c>
      <c r="C645" s="19" t="s">
        <v>786</v>
      </c>
      <c r="D645" s="20" t="s">
        <v>1385</v>
      </c>
      <c r="E645" s="21">
        <v>1190</v>
      </c>
      <c r="F645" s="22"/>
      <c r="G645" s="23">
        <v>48900</v>
      </c>
      <c r="H645" s="23">
        <v>0</v>
      </c>
      <c r="I645" s="23">
        <v>0</v>
      </c>
      <c r="J645" s="23">
        <v>0</v>
      </c>
      <c r="K645" s="24">
        <v>0</v>
      </c>
    </row>
    <row r="646" spans="1:11" x14ac:dyDescent="0.25">
      <c r="A646" s="11">
        <v>46041</v>
      </c>
      <c r="B646" s="12">
        <v>156</v>
      </c>
      <c r="C646" s="12" t="s">
        <v>19</v>
      </c>
      <c r="D646" s="13" t="s">
        <v>1384</v>
      </c>
      <c r="E646" s="14"/>
      <c r="F646" s="15">
        <v>267600</v>
      </c>
      <c r="G646" s="16"/>
      <c r="H646" s="16">
        <v>267600</v>
      </c>
      <c r="I646" s="16">
        <v>0</v>
      </c>
      <c r="J646" s="16">
        <v>0</v>
      </c>
      <c r="K646" s="17">
        <v>0</v>
      </c>
    </row>
    <row r="647" spans="1:11" x14ac:dyDescent="0.25">
      <c r="A647" s="18">
        <v>46041</v>
      </c>
      <c r="B647" s="19">
        <v>156</v>
      </c>
      <c r="C647" s="19" t="s">
        <v>19</v>
      </c>
      <c r="D647" s="20" t="s">
        <v>1385</v>
      </c>
      <c r="E647" s="21">
        <v>3772</v>
      </c>
      <c r="F647" s="22"/>
      <c r="G647" s="23">
        <v>136773</v>
      </c>
      <c r="H647" s="23">
        <v>130827</v>
      </c>
      <c r="I647" s="23">
        <v>0</v>
      </c>
      <c r="J647" s="23">
        <v>0</v>
      </c>
      <c r="K647" s="24">
        <v>0</v>
      </c>
    </row>
    <row r="648" spans="1:11" x14ac:dyDescent="0.25">
      <c r="A648" s="11">
        <v>46041</v>
      </c>
      <c r="B648" s="12">
        <v>156</v>
      </c>
      <c r="C648" s="12" t="s">
        <v>19</v>
      </c>
      <c r="D648" s="13" t="s">
        <v>1385</v>
      </c>
      <c r="E648" s="14">
        <v>3608</v>
      </c>
      <c r="F648" s="15"/>
      <c r="G648" s="16">
        <v>130827</v>
      </c>
      <c r="H648" s="16">
        <v>0</v>
      </c>
      <c r="I648" s="16">
        <v>0</v>
      </c>
      <c r="J648" s="16">
        <v>0</v>
      </c>
      <c r="K648" s="17">
        <v>0</v>
      </c>
    </row>
    <row r="649" spans="1:11" x14ac:dyDescent="0.25">
      <c r="A649" s="18">
        <v>46066</v>
      </c>
      <c r="B649" s="19">
        <v>157</v>
      </c>
      <c r="C649" s="19" t="s">
        <v>781</v>
      </c>
      <c r="D649" s="20" t="s">
        <v>1385</v>
      </c>
      <c r="E649" s="21">
        <v>4200</v>
      </c>
      <c r="F649" s="22"/>
      <c r="G649" s="23">
        <v>0</v>
      </c>
      <c r="H649" s="23">
        <v>0</v>
      </c>
      <c r="I649" s="23">
        <v>0</v>
      </c>
      <c r="J649" s="23">
        <v>0</v>
      </c>
      <c r="K649" s="24">
        <v>0</v>
      </c>
    </row>
    <row r="650" spans="1:11" x14ac:dyDescent="0.25">
      <c r="A650" s="11">
        <v>46039</v>
      </c>
      <c r="B650" s="12">
        <v>158</v>
      </c>
      <c r="C650" s="12" t="s">
        <v>778</v>
      </c>
      <c r="D650" s="13"/>
      <c r="E650" s="14"/>
      <c r="F650" s="15"/>
      <c r="G650" s="16">
        <v>69000</v>
      </c>
      <c r="H650" s="16">
        <v>0</v>
      </c>
      <c r="I650" s="16">
        <v>69000</v>
      </c>
      <c r="J650" s="16">
        <v>0</v>
      </c>
      <c r="K650" s="17">
        <v>0</v>
      </c>
    </row>
    <row r="651" spans="1:11" x14ac:dyDescent="0.25">
      <c r="A651" s="18">
        <v>46041</v>
      </c>
      <c r="B651" s="19">
        <v>158</v>
      </c>
      <c r="C651" s="19" t="s">
        <v>778</v>
      </c>
      <c r="D651" s="20" t="s">
        <v>1385</v>
      </c>
      <c r="E651" s="21">
        <v>12000</v>
      </c>
      <c r="F651" s="22"/>
      <c r="G651" s="23">
        <v>276000</v>
      </c>
      <c r="H651" s="23">
        <v>0</v>
      </c>
      <c r="I651" s="23">
        <v>345000</v>
      </c>
      <c r="J651" s="23">
        <v>0</v>
      </c>
      <c r="K651" s="24">
        <v>0</v>
      </c>
    </row>
    <row r="652" spans="1:11" x14ac:dyDescent="0.25">
      <c r="A652" s="11">
        <v>46048</v>
      </c>
      <c r="B652" s="12">
        <v>158</v>
      </c>
      <c r="C652" s="12" t="s">
        <v>778</v>
      </c>
      <c r="D652" s="13" t="s">
        <v>1384</v>
      </c>
      <c r="E652" s="14"/>
      <c r="F652" s="15">
        <v>345000</v>
      </c>
      <c r="G652" s="16"/>
      <c r="H652" s="16">
        <v>0</v>
      </c>
      <c r="I652" s="16">
        <v>0</v>
      </c>
      <c r="J652" s="16">
        <v>0</v>
      </c>
      <c r="K652" s="17">
        <v>0</v>
      </c>
    </row>
    <row r="653" spans="1:11" x14ac:dyDescent="0.25">
      <c r="A653" s="18">
        <v>46063</v>
      </c>
      <c r="B653" s="19">
        <v>158</v>
      </c>
      <c r="C653" s="19" t="s">
        <v>778</v>
      </c>
      <c r="D653" s="20" t="s">
        <v>1385</v>
      </c>
      <c r="E653" s="21">
        <v>15000</v>
      </c>
      <c r="F653" s="22"/>
      <c r="G653" s="23">
        <v>345000</v>
      </c>
      <c r="H653" s="23">
        <v>0</v>
      </c>
      <c r="I653" s="23">
        <v>345000</v>
      </c>
      <c r="J653" s="23">
        <v>0</v>
      </c>
      <c r="K653" s="24">
        <v>345000</v>
      </c>
    </row>
    <row r="654" spans="1:11" x14ac:dyDescent="0.25">
      <c r="A654" s="11">
        <v>46050</v>
      </c>
      <c r="B654" s="12">
        <v>159</v>
      </c>
      <c r="C654" s="12" t="s">
        <v>775</v>
      </c>
      <c r="D654" s="13" t="s">
        <v>1399</v>
      </c>
      <c r="E654" s="14"/>
      <c r="F654" s="15">
        <v>295800</v>
      </c>
      <c r="G654" s="16"/>
      <c r="H654" s="16">
        <v>295800</v>
      </c>
      <c r="I654" s="16">
        <v>0</v>
      </c>
      <c r="J654" s="16">
        <v>0</v>
      </c>
      <c r="K654" s="17">
        <v>0</v>
      </c>
    </row>
    <row r="655" spans="1:11" x14ac:dyDescent="0.25">
      <c r="A655" s="18">
        <v>46051</v>
      </c>
      <c r="B655" s="19">
        <v>159</v>
      </c>
      <c r="C655" s="19" t="s">
        <v>775</v>
      </c>
      <c r="D655" s="20" t="s">
        <v>1385</v>
      </c>
      <c r="E655" s="21">
        <v>3450</v>
      </c>
      <c r="F655" s="22"/>
      <c r="G655" s="23">
        <v>117300</v>
      </c>
      <c r="H655" s="23">
        <v>178500</v>
      </c>
      <c r="I655" s="23">
        <v>0</v>
      </c>
      <c r="J655" s="23">
        <v>0</v>
      </c>
      <c r="K655" s="24">
        <v>0</v>
      </c>
    </row>
    <row r="656" spans="1:11" x14ac:dyDescent="0.25">
      <c r="A656" s="11">
        <v>46051</v>
      </c>
      <c r="B656" s="12">
        <v>159</v>
      </c>
      <c r="C656" s="12" t="s">
        <v>1415</v>
      </c>
      <c r="D656" s="13" t="s">
        <v>1385</v>
      </c>
      <c r="E656" s="14">
        <v>5250</v>
      </c>
      <c r="F656" s="15"/>
      <c r="G656" s="16">
        <v>178500</v>
      </c>
      <c r="H656" s="16">
        <v>0</v>
      </c>
      <c r="I656" s="16">
        <v>0</v>
      </c>
      <c r="J656" s="16">
        <v>0</v>
      </c>
      <c r="K656" s="17">
        <v>0</v>
      </c>
    </row>
    <row r="657" spans="1:11" x14ac:dyDescent="0.25">
      <c r="A657" s="18">
        <v>46064</v>
      </c>
      <c r="B657" s="19">
        <v>159</v>
      </c>
      <c r="C657" s="19" t="s">
        <v>775</v>
      </c>
      <c r="D657" s="20" t="s">
        <v>1399</v>
      </c>
      <c r="E657" s="21"/>
      <c r="F657" s="22">
        <v>352800</v>
      </c>
      <c r="G657" s="23"/>
      <c r="H657" s="23">
        <v>352800</v>
      </c>
      <c r="I657" s="23">
        <v>0</v>
      </c>
      <c r="J657" s="23">
        <v>0</v>
      </c>
      <c r="K657" s="24">
        <v>0</v>
      </c>
    </row>
    <row r="658" spans="1:11" x14ac:dyDescent="0.25">
      <c r="A658" s="11">
        <v>46066</v>
      </c>
      <c r="B658" s="12">
        <v>159</v>
      </c>
      <c r="C658" s="12" t="s">
        <v>775</v>
      </c>
      <c r="D658" s="13" t="s">
        <v>1385</v>
      </c>
      <c r="E658" s="14">
        <v>3450</v>
      </c>
      <c r="F658" s="15"/>
      <c r="G658" s="16">
        <v>117300</v>
      </c>
      <c r="H658" s="16">
        <v>235500</v>
      </c>
      <c r="I658" s="16">
        <v>0</v>
      </c>
      <c r="J658" s="16">
        <v>0</v>
      </c>
      <c r="K658" s="17">
        <v>0</v>
      </c>
    </row>
    <row r="659" spans="1:11" x14ac:dyDescent="0.25">
      <c r="A659" s="18">
        <v>46066</v>
      </c>
      <c r="B659" s="19">
        <v>159</v>
      </c>
      <c r="C659" s="19" t="s">
        <v>1415</v>
      </c>
      <c r="D659" s="20" t="s">
        <v>1383</v>
      </c>
      <c r="E659" s="21">
        <v>2000</v>
      </c>
      <c r="F659" s="22"/>
      <c r="G659" s="23">
        <v>57000</v>
      </c>
      <c r="H659" s="23">
        <v>178500</v>
      </c>
      <c r="I659" s="23">
        <v>0</v>
      </c>
      <c r="J659" s="23">
        <v>0</v>
      </c>
      <c r="K659" s="24">
        <v>0</v>
      </c>
    </row>
    <row r="660" spans="1:11" x14ac:dyDescent="0.25">
      <c r="A660" s="11">
        <v>46066</v>
      </c>
      <c r="B660" s="12">
        <v>159</v>
      </c>
      <c r="C660" s="12" t="s">
        <v>1415</v>
      </c>
      <c r="D660" s="13" t="s">
        <v>1385</v>
      </c>
      <c r="E660" s="14">
        <v>5250</v>
      </c>
      <c r="F660" s="15"/>
      <c r="G660" s="16">
        <v>178500</v>
      </c>
      <c r="H660" s="16">
        <v>0</v>
      </c>
      <c r="I660" s="16">
        <v>0</v>
      </c>
      <c r="J660" s="16">
        <v>0</v>
      </c>
      <c r="K660" s="17">
        <v>0</v>
      </c>
    </row>
    <row r="661" spans="1:11" x14ac:dyDescent="0.25">
      <c r="A661" s="18">
        <v>46057</v>
      </c>
      <c r="B661" s="19">
        <v>160</v>
      </c>
      <c r="C661" s="19" t="s">
        <v>772</v>
      </c>
      <c r="D661" s="20" t="s">
        <v>1385</v>
      </c>
      <c r="E661" s="21">
        <v>900</v>
      </c>
      <c r="F661" s="22"/>
      <c r="G661" s="23">
        <v>50800</v>
      </c>
      <c r="H661" s="23">
        <v>0</v>
      </c>
      <c r="I661" s="23">
        <v>50800</v>
      </c>
      <c r="J661" s="23">
        <v>0</v>
      </c>
      <c r="K661" s="24">
        <v>0</v>
      </c>
    </row>
    <row r="662" spans="1:11" x14ac:dyDescent="0.25">
      <c r="A662" s="11">
        <v>46057</v>
      </c>
      <c r="B662" s="12">
        <v>160</v>
      </c>
      <c r="C662" s="12" t="s">
        <v>1416</v>
      </c>
      <c r="D662" s="13" t="s">
        <v>1385</v>
      </c>
      <c r="E662" s="14">
        <v>1350</v>
      </c>
      <c r="F662" s="15"/>
      <c r="G662" s="16">
        <v>72800</v>
      </c>
      <c r="H662" s="16">
        <v>0</v>
      </c>
      <c r="I662" s="16">
        <v>123600</v>
      </c>
      <c r="J662" s="16">
        <v>0</v>
      </c>
      <c r="K662" s="17">
        <v>0</v>
      </c>
    </row>
    <row r="663" spans="1:11" x14ac:dyDescent="0.25">
      <c r="A663" s="18">
        <v>46058</v>
      </c>
      <c r="B663" s="19">
        <v>160</v>
      </c>
      <c r="C663" s="19" t="s">
        <v>772</v>
      </c>
      <c r="D663" s="20" t="s">
        <v>208</v>
      </c>
      <c r="E663" s="21">
        <v>0</v>
      </c>
      <c r="F663" s="22"/>
      <c r="G663" s="23">
        <v>0</v>
      </c>
      <c r="H663" s="23">
        <v>0</v>
      </c>
      <c r="I663" s="23">
        <v>123600</v>
      </c>
      <c r="J663" s="23">
        <v>0</v>
      </c>
      <c r="K663" s="24">
        <v>0</v>
      </c>
    </row>
    <row r="664" spans="1:11" x14ac:dyDescent="0.25">
      <c r="A664" s="11">
        <v>46071</v>
      </c>
      <c r="B664" s="12">
        <v>160</v>
      </c>
      <c r="C664" s="12" t="s">
        <v>772</v>
      </c>
      <c r="D664" s="13" t="s">
        <v>1411</v>
      </c>
      <c r="E664" s="14"/>
      <c r="F664" s="15">
        <v>123400</v>
      </c>
      <c r="G664" s="16"/>
      <c r="H664" s="16">
        <v>0</v>
      </c>
      <c r="I664" s="16">
        <v>200</v>
      </c>
      <c r="J664" s="16">
        <v>0</v>
      </c>
      <c r="K664" s="17">
        <v>0</v>
      </c>
    </row>
    <row r="665" spans="1:11" x14ac:dyDescent="0.25">
      <c r="A665" s="18">
        <v>46071</v>
      </c>
      <c r="B665" s="19">
        <v>160</v>
      </c>
      <c r="C665" s="19" t="s">
        <v>772</v>
      </c>
      <c r="D665" s="20" t="s">
        <v>208</v>
      </c>
      <c r="E665" s="21">
        <v>0</v>
      </c>
      <c r="F665" s="22"/>
      <c r="G665" s="23">
        <v>0</v>
      </c>
      <c r="H665" s="23">
        <v>0</v>
      </c>
      <c r="I665" s="23">
        <v>200</v>
      </c>
      <c r="J665" s="23">
        <v>0</v>
      </c>
      <c r="K665" s="24">
        <v>200</v>
      </c>
    </row>
    <row r="666" spans="1:11" x14ac:dyDescent="0.25">
      <c r="A666" s="11">
        <v>46059</v>
      </c>
      <c r="B666" s="12">
        <v>161</v>
      </c>
      <c r="C666" s="12" t="s">
        <v>768</v>
      </c>
      <c r="D666" s="13" t="s">
        <v>1390</v>
      </c>
      <c r="E666" s="14"/>
      <c r="F666" s="15">
        <v>188000</v>
      </c>
      <c r="G666" s="16"/>
      <c r="H666" s="16">
        <v>188000</v>
      </c>
      <c r="I666" s="16">
        <v>0</v>
      </c>
      <c r="J666" s="16">
        <v>0</v>
      </c>
      <c r="K666" s="17">
        <v>0</v>
      </c>
    </row>
    <row r="667" spans="1:11" x14ac:dyDescent="0.25">
      <c r="A667" s="18">
        <v>46059</v>
      </c>
      <c r="B667" s="19">
        <v>161</v>
      </c>
      <c r="C667" s="19" t="s">
        <v>768</v>
      </c>
      <c r="D667" s="20" t="s">
        <v>1385</v>
      </c>
      <c r="E667" s="21">
        <v>4950</v>
      </c>
      <c r="F667" s="22"/>
      <c r="G667" s="23">
        <v>188100</v>
      </c>
      <c r="H667" s="23">
        <v>0</v>
      </c>
      <c r="I667" s="23">
        <v>100</v>
      </c>
      <c r="J667" s="23">
        <v>0</v>
      </c>
      <c r="K667" s="24">
        <v>100</v>
      </c>
    </row>
    <row r="668" spans="1:11" x14ac:dyDescent="0.25">
      <c r="A668" s="11">
        <v>46042</v>
      </c>
      <c r="B668" s="12">
        <v>162</v>
      </c>
      <c r="C668" s="12" t="s">
        <v>764</v>
      </c>
      <c r="D668" s="13" t="s">
        <v>1385</v>
      </c>
      <c r="E668" s="14">
        <v>3750</v>
      </c>
      <c r="F668" s="15"/>
      <c r="G668" s="16">
        <v>127500</v>
      </c>
      <c r="H668" s="16">
        <v>0</v>
      </c>
      <c r="I668" s="16">
        <v>127500</v>
      </c>
      <c r="J668" s="16">
        <v>0</v>
      </c>
      <c r="K668" s="17">
        <v>0</v>
      </c>
    </row>
    <row r="669" spans="1:11" x14ac:dyDescent="0.25">
      <c r="A669" s="18">
        <v>46056</v>
      </c>
      <c r="B669" s="19">
        <v>162</v>
      </c>
      <c r="C669" s="19" t="s">
        <v>764</v>
      </c>
      <c r="D669" s="20" t="s">
        <v>1384</v>
      </c>
      <c r="E669" s="21"/>
      <c r="F669" s="22">
        <v>255000</v>
      </c>
      <c r="G669" s="23"/>
      <c r="H669" s="23">
        <v>127500</v>
      </c>
      <c r="I669" s="23">
        <v>0</v>
      </c>
      <c r="J669" s="23">
        <v>0</v>
      </c>
      <c r="K669" s="24">
        <v>0</v>
      </c>
    </row>
    <row r="670" spans="1:11" x14ac:dyDescent="0.25">
      <c r="A670" s="11">
        <v>46057</v>
      </c>
      <c r="B670" s="12">
        <v>162</v>
      </c>
      <c r="C670" s="12" t="s">
        <v>764</v>
      </c>
      <c r="D670" s="13" t="s">
        <v>1385</v>
      </c>
      <c r="E670" s="14">
        <v>3750</v>
      </c>
      <c r="F670" s="15"/>
      <c r="G670" s="16">
        <v>127500</v>
      </c>
      <c r="H670" s="16">
        <v>0</v>
      </c>
      <c r="I670" s="16">
        <v>0</v>
      </c>
      <c r="J670" s="16">
        <v>0</v>
      </c>
      <c r="K670" s="17">
        <v>0</v>
      </c>
    </row>
    <row r="671" spans="1:11" x14ac:dyDescent="0.25">
      <c r="A671" s="18">
        <v>46071</v>
      </c>
      <c r="B671" s="19">
        <v>162</v>
      </c>
      <c r="C671" s="19" t="s">
        <v>764</v>
      </c>
      <c r="D671" s="20" t="s">
        <v>1385</v>
      </c>
      <c r="E671" s="21">
        <v>3750</v>
      </c>
      <c r="F671" s="22"/>
      <c r="G671" s="23">
        <v>127500</v>
      </c>
      <c r="H671" s="23">
        <v>0</v>
      </c>
      <c r="I671" s="23">
        <v>127500</v>
      </c>
      <c r="J671" s="23">
        <v>0</v>
      </c>
      <c r="K671" s="24">
        <v>127500</v>
      </c>
    </row>
    <row r="672" spans="1:11" x14ac:dyDescent="0.25">
      <c r="A672" s="11">
        <v>46039</v>
      </c>
      <c r="B672" s="12">
        <v>163</v>
      </c>
      <c r="C672" s="12" t="s">
        <v>760</v>
      </c>
      <c r="D672" s="13" t="s">
        <v>1384</v>
      </c>
      <c r="E672" s="14"/>
      <c r="F672" s="15">
        <v>334400</v>
      </c>
      <c r="G672" s="16"/>
      <c r="H672" s="16">
        <v>334400</v>
      </c>
      <c r="I672" s="16">
        <v>0</v>
      </c>
      <c r="J672" s="16">
        <v>0</v>
      </c>
      <c r="K672" s="17">
        <v>0</v>
      </c>
    </row>
    <row r="673" spans="1:11" x14ac:dyDescent="0.25">
      <c r="A673" s="18">
        <v>46039</v>
      </c>
      <c r="B673" s="19">
        <v>163</v>
      </c>
      <c r="C673" s="19" t="s">
        <v>760</v>
      </c>
      <c r="D673" s="20"/>
      <c r="E673" s="21"/>
      <c r="F673" s="22"/>
      <c r="G673" s="23">
        <v>18900</v>
      </c>
      <c r="H673" s="23">
        <v>315500</v>
      </c>
      <c r="I673" s="23">
        <v>0</v>
      </c>
      <c r="J673" s="23">
        <v>0</v>
      </c>
      <c r="K673" s="24">
        <v>0</v>
      </c>
    </row>
    <row r="674" spans="1:11" x14ac:dyDescent="0.25">
      <c r="A674" s="11">
        <v>46041</v>
      </c>
      <c r="B674" s="12">
        <v>163</v>
      </c>
      <c r="C674" s="12" t="s">
        <v>760</v>
      </c>
      <c r="D674" s="13" t="s">
        <v>1385</v>
      </c>
      <c r="E674" s="14">
        <v>1500</v>
      </c>
      <c r="F674" s="15"/>
      <c r="G674" s="16">
        <v>43500</v>
      </c>
      <c r="H674" s="16">
        <v>272000</v>
      </c>
      <c r="I674" s="16">
        <v>0</v>
      </c>
      <c r="J674" s="16">
        <v>0</v>
      </c>
      <c r="K674" s="17">
        <v>0</v>
      </c>
    </row>
    <row r="675" spans="1:11" x14ac:dyDescent="0.25">
      <c r="A675" s="18">
        <v>46041</v>
      </c>
      <c r="B675" s="19">
        <v>163</v>
      </c>
      <c r="C675" s="19" t="s">
        <v>1417</v>
      </c>
      <c r="D675" s="20" t="s">
        <v>1385</v>
      </c>
      <c r="E675" s="21">
        <v>2000</v>
      </c>
      <c r="F675" s="22"/>
      <c r="G675" s="23">
        <v>58000</v>
      </c>
      <c r="H675" s="23">
        <v>214000</v>
      </c>
      <c r="I675" s="23">
        <v>0</v>
      </c>
      <c r="J675" s="23">
        <v>0</v>
      </c>
      <c r="K675" s="24">
        <v>0</v>
      </c>
    </row>
    <row r="676" spans="1:11" x14ac:dyDescent="0.25">
      <c r="A676" s="11">
        <v>46052</v>
      </c>
      <c r="B676" s="12">
        <v>163</v>
      </c>
      <c r="C676" s="12" t="s">
        <v>760</v>
      </c>
      <c r="D676" s="13" t="s">
        <v>1385</v>
      </c>
      <c r="E676" s="14">
        <v>1500</v>
      </c>
      <c r="F676" s="15"/>
      <c r="G676" s="16">
        <v>43500</v>
      </c>
      <c r="H676" s="16">
        <v>170500</v>
      </c>
      <c r="I676" s="16">
        <v>0</v>
      </c>
      <c r="J676" s="16">
        <v>0</v>
      </c>
      <c r="K676" s="17">
        <v>0</v>
      </c>
    </row>
    <row r="677" spans="1:11" x14ac:dyDescent="0.25">
      <c r="A677" s="18">
        <v>46052</v>
      </c>
      <c r="B677" s="19">
        <v>163</v>
      </c>
      <c r="C677" s="19" t="s">
        <v>1417</v>
      </c>
      <c r="D677" s="20" t="s">
        <v>1385</v>
      </c>
      <c r="E677" s="21">
        <v>2000</v>
      </c>
      <c r="F677" s="22"/>
      <c r="G677" s="23">
        <v>58000</v>
      </c>
      <c r="H677" s="23">
        <v>112500</v>
      </c>
      <c r="I677" s="23">
        <v>0</v>
      </c>
      <c r="J677" s="23">
        <v>0</v>
      </c>
      <c r="K677" s="24">
        <v>0</v>
      </c>
    </row>
    <row r="678" spans="1:11" x14ac:dyDescent="0.25">
      <c r="A678" s="11">
        <v>46062</v>
      </c>
      <c r="B678" s="12">
        <v>163</v>
      </c>
      <c r="C678" s="12" t="s">
        <v>760</v>
      </c>
      <c r="D678" s="13" t="s">
        <v>1385</v>
      </c>
      <c r="E678" s="14">
        <v>1500</v>
      </c>
      <c r="F678" s="15"/>
      <c r="G678" s="16">
        <v>43500</v>
      </c>
      <c r="H678" s="16">
        <v>69000</v>
      </c>
      <c r="I678" s="16">
        <v>0</v>
      </c>
      <c r="J678" s="16">
        <v>0</v>
      </c>
      <c r="K678" s="17">
        <v>0</v>
      </c>
    </row>
    <row r="679" spans="1:11" x14ac:dyDescent="0.25">
      <c r="A679" s="18">
        <v>46062</v>
      </c>
      <c r="B679" s="19">
        <v>163</v>
      </c>
      <c r="C679" s="19" t="s">
        <v>1417</v>
      </c>
      <c r="D679" s="20" t="s">
        <v>1385</v>
      </c>
      <c r="E679" s="21">
        <v>2000</v>
      </c>
      <c r="F679" s="22"/>
      <c r="G679" s="23">
        <v>58000</v>
      </c>
      <c r="H679" s="23">
        <v>11000</v>
      </c>
      <c r="I679" s="23">
        <v>0</v>
      </c>
      <c r="J679" s="23">
        <v>0</v>
      </c>
      <c r="K679" s="24">
        <v>0</v>
      </c>
    </row>
    <row r="680" spans="1:11" x14ac:dyDescent="0.25">
      <c r="A680" s="11">
        <v>46071</v>
      </c>
      <c r="B680" s="12">
        <v>163</v>
      </c>
      <c r="C680" s="12" t="s">
        <v>760</v>
      </c>
      <c r="D680" s="13" t="s">
        <v>1385</v>
      </c>
      <c r="E680" s="14">
        <v>1500</v>
      </c>
      <c r="F680" s="15"/>
      <c r="G680" s="16">
        <v>43500</v>
      </c>
      <c r="H680" s="16">
        <v>0</v>
      </c>
      <c r="I680" s="16">
        <v>32500</v>
      </c>
      <c r="J680" s="16">
        <v>0</v>
      </c>
      <c r="K680" s="17">
        <v>0</v>
      </c>
    </row>
    <row r="681" spans="1:11" x14ac:dyDescent="0.25">
      <c r="A681" s="18">
        <v>46071</v>
      </c>
      <c r="B681" s="19">
        <v>163</v>
      </c>
      <c r="C681" s="19" t="s">
        <v>1417</v>
      </c>
      <c r="D681" s="20" t="s">
        <v>1385</v>
      </c>
      <c r="E681" s="21">
        <v>2000</v>
      </c>
      <c r="F681" s="22"/>
      <c r="G681" s="23">
        <v>58000</v>
      </c>
      <c r="H681" s="23">
        <v>0</v>
      </c>
      <c r="I681" s="23">
        <v>90500</v>
      </c>
      <c r="J681" s="23">
        <v>0</v>
      </c>
      <c r="K681" s="24">
        <v>90500</v>
      </c>
    </row>
    <row r="682" spans="1:11" x14ac:dyDescent="0.25">
      <c r="A682" s="11">
        <v>46040</v>
      </c>
      <c r="B682" s="12">
        <v>164</v>
      </c>
      <c r="C682" s="12" t="s">
        <v>756</v>
      </c>
      <c r="D682" s="13" t="s">
        <v>1384</v>
      </c>
      <c r="E682" s="14"/>
      <c r="F682" s="15">
        <v>95550</v>
      </c>
      <c r="G682" s="16"/>
      <c r="H682" s="16">
        <v>95550</v>
      </c>
      <c r="I682" s="16">
        <v>0</v>
      </c>
      <c r="J682" s="16">
        <v>0</v>
      </c>
      <c r="K682" s="17">
        <v>0</v>
      </c>
    </row>
    <row r="683" spans="1:11" x14ac:dyDescent="0.25">
      <c r="A683" s="18">
        <v>46041</v>
      </c>
      <c r="B683" s="19">
        <v>164</v>
      </c>
      <c r="C683" s="19" t="s">
        <v>756</v>
      </c>
      <c r="D683" s="20" t="s">
        <v>1385</v>
      </c>
      <c r="E683" s="21">
        <v>2450</v>
      </c>
      <c r="F683" s="22"/>
      <c r="G683" s="23">
        <v>95550</v>
      </c>
      <c r="H683" s="23">
        <v>0</v>
      </c>
      <c r="I683" s="23">
        <v>0</v>
      </c>
      <c r="J683" s="23">
        <v>0</v>
      </c>
      <c r="K683" s="24">
        <v>0</v>
      </c>
    </row>
    <row r="684" spans="1:11" x14ac:dyDescent="0.25">
      <c r="A684" s="11">
        <v>46047</v>
      </c>
      <c r="B684" s="12">
        <v>164</v>
      </c>
      <c r="C684" s="12" t="s">
        <v>756</v>
      </c>
      <c r="D684" s="13" t="s">
        <v>1384</v>
      </c>
      <c r="E684" s="14"/>
      <c r="F684" s="15">
        <v>95550</v>
      </c>
      <c r="G684" s="16"/>
      <c r="H684" s="16">
        <v>95550</v>
      </c>
      <c r="I684" s="16">
        <v>0</v>
      </c>
      <c r="J684" s="16">
        <v>0</v>
      </c>
      <c r="K684" s="17">
        <v>0</v>
      </c>
    </row>
    <row r="685" spans="1:11" x14ac:dyDescent="0.25">
      <c r="A685" s="18">
        <v>46048</v>
      </c>
      <c r="B685" s="19">
        <v>164</v>
      </c>
      <c r="C685" s="19" t="s">
        <v>756</v>
      </c>
      <c r="D685" s="20" t="s">
        <v>1385</v>
      </c>
      <c r="E685" s="21">
        <v>2450</v>
      </c>
      <c r="F685" s="22"/>
      <c r="G685" s="23">
        <v>95550</v>
      </c>
      <c r="H685" s="23">
        <v>0</v>
      </c>
      <c r="I685" s="23">
        <v>0</v>
      </c>
      <c r="J685" s="23">
        <v>0</v>
      </c>
      <c r="K685" s="24">
        <v>0</v>
      </c>
    </row>
    <row r="686" spans="1:11" x14ac:dyDescent="0.25">
      <c r="A686" s="11">
        <v>46054</v>
      </c>
      <c r="B686" s="12">
        <v>164</v>
      </c>
      <c r="C686" s="12" t="s">
        <v>756</v>
      </c>
      <c r="D686" s="13" t="s">
        <v>1384</v>
      </c>
      <c r="E686" s="14"/>
      <c r="F686" s="15">
        <v>109200</v>
      </c>
      <c r="G686" s="16"/>
      <c r="H686" s="16">
        <v>109200</v>
      </c>
      <c r="I686" s="16">
        <v>0</v>
      </c>
      <c r="J686" s="16">
        <v>0</v>
      </c>
      <c r="K686" s="17">
        <v>0</v>
      </c>
    </row>
    <row r="687" spans="1:11" x14ac:dyDescent="0.25">
      <c r="A687" s="18">
        <v>46055</v>
      </c>
      <c r="B687" s="19">
        <v>164</v>
      </c>
      <c r="C687" s="19" t="s">
        <v>756</v>
      </c>
      <c r="D687" s="20" t="s">
        <v>1385</v>
      </c>
      <c r="E687" s="21">
        <v>2800</v>
      </c>
      <c r="F687" s="22"/>
      <c r="G687" s="23">
        <v>109200</v>
      </c>
      <c r="H687" s="23">
        <v>0</v>
      </c>
      <c r="I687" s="23">
        <v>0</v>
      </c>
      <c r="J687" s="23">
        <v>0</v>
      </c>
      <c r="K687" s="24">
        <v>0</v>
      </c>
    </row>
    <row r="688" spans="1:11" x14ac:dyDescent="0.25">
      <c r="A688" s="11">
        <v>46061</v>
      </c>
      <c r="B688" s="12">
        <v>164</v>
      </c>
      <c r="C688" s="12" t="s">
        <v>756</v>
      </c>
      <c r="D688" s="13" t="s">
        <v>1384</v>
      </c>
      <c r="E688" s="14"/>
      <c r="F688" s="15">
        <v>109200</v>
      </c>
      <c r="G688" s="16"/>
      <c r="H688" s="16">
        <v>109200</v>
      </c>
      <c r="I688" s="16">
        <v>0</v>
      </c>
      <c r="J688" s="16">
        <v>0</v>
      </c>
      <c r="K688" s="17">
        <v>0</v>
      </c>
    </row>
    <row r="689" spans="1:11" x14ac:dyDescent="0.25">
      <c r="A689" s="18">
        <v>46062</v>
      </c>
      <c r="B689" s="19">
        <v>164</v>
      </c>
      <c r="C689" s="19" t="s">
        <v>756</v>
      </c>
      <c r="D689" s="20" t="s">
        <v>1385</v>
      </c>
      <c r="E689" s="21">
        <v>2800</v>
      </c>
      <c r="F689" s="22"/>
      <c r="G689" s="23">
        <v>109200</v>
      </c>
      <c r="H689" s="23">
        <v>0</v>
      </c>
      <c r="I689" s="23">
        <v>0</v>
      </c>
      <c r="J689" s="23">
        <v>0</v>
      </c>
      <c r="K689" s="24">
        <v>0</v>
      </c>
    </row>
    <row r="690" spans="1:11" x14ac:dyDescent="0.25">
      <c r="A690" s="11">
        <v>46068</v>
      </c>
      <c r="B690" s="12">
        <v>164</v>
      </c>
      <c r="C690" s="12" t="s">
        <v>756</v>
      </c>
      <c r="D690" s="13" t="s">
        <v>1384</v>
      </c>
      <c r="E690" s="14"/>
      <c r="F690" s="15">
        <v>109200</v>
      </c>
      <c r="G690" s="16"/>
      <c r="H690" s="16">
        <v>109200</v>
      </c>
      <c r="I690" s="16">
        <v>0</v>
      </c>
      <c r="J690" s="16">
        <v>0</v>
      </c>
      <c r="K690" s="17">
        <v>0</v>
      </c>
    </row>
    <row r="691" spans="1:11" x14ac:dyDescent="0.25">
      <c r="A691" s="18">
        <v>46069</v>
      </c>
      <c r="B691" s="19">
        <v>164</v>
      </c>
      <c r="C691" s="19" t="s">
        <v>756</v>
      </c>
      <c r="D691" s="20" t="s">
        <v>1385</v>
      </c>
      <c r="E691" s="21">
        <v>2800</v>
      </c>
      <c r="F691" s="22"/>
      <c r="G691" s="23">
        <v>109200</v>
      </c>
      <c r="H691" s="23">
        <v>0</v>
      </c>
      <c r="I691" s="23">
        <v>0</v>
      </c>
      <c r="J691" s="23">
        <v>0</v>
      </c>
      <c r="K691" s="24">
        <v>0</v>
      </c>
    </row>
    <row r="692" spans="1:11" x14ac:dyDescent="0.25">
      <c r="A692" s="11">
        <v>46050</v>
      </c>
      <c r="B692" s="12">
        <v>165</v>
      </c>
      <c r="C692" s="12" t="s">
        <v>751</v>
      </c>
      <c r="D692" s="13" t="s">
        <v>1385</v>
      </c>
      <c r="E692" s="14">
        <v>4500</v>
      </c>
      <c r="F692" s="15"/>
      <c r="G692" s="16">
        <v>85500</v>
      </c>
      <c r="H692" s="16">
        <v>0</v>
      </c>
      <c r="I692" s="16">
        <v>85500</v>
      </c>
      <c r="J692" s="16">
        <v>0</v>
      </c>
      <c r="K692" s="17">
        <v>0</v>
      </c>
    </row>
    <row r="693" spans="1:11" x14ac:dyDescent="0.25">
      <c r="A693" s="18">
        <v>46050</v>
      </c>
      <c r="B693" s="19">
        <v>165</v>
      </c>
      <c r="C693" s="19" t="s">
        <v>751</v>
      </c>
      <c r="D693" s="20" t="s">
        <v>1390</v>
      </c>
      <c r="E693" s="21"/>
      <c r="F693" s="22">
        <v>156750</v>
      </c>
      <c r="G693" s="23"/>
      <c r="H693" s="23">
        <v>71250</v>
      </c>
      <c r="I693" s="23">
        <v>0</v>
      </c>
      <c r="J693" s="23">
        <v>0</v>
      </c>
      <c r="K693" s="24">
        <v>0</v>
      </c>
    </row>
    <row r="694" spans="1:11" x14ac:dyDescent="0.25">
      <c r="A694" s="11">
        <v>46050</v>
      </c>
      <c r="B694" s="12">
        <v>165</v>
      </c>
      <c r="C694" s="12" t="s">
        <v>1418</v>
      </c>
      <c r="D694" s="13" t="s">
        <v>1385</v>
      </c>
      <c r="E694" s="14">
        <v>3750</v>
      </c>
      <c r="F694" s="15"/>
      <c r="G694" s="16">
        <v>71250</v>
      </c>
      <c r="H694" s="16">
        <v>0</v>
      </c>
      <c r="I694" s="16">
        <v>0</v>
      </c>
      <c r="J694" s="16">
        <v>0</v>
      </c>
      <c r="K694" s="17">
        <v>0</v>
      </c>
    </row>
    <row r="695" spans="1:11" x14ac:dyDescent="0.25">
      <c r="A695" s="18">
        <v>46070</v>
      </c>
      <c r="B695" s="19">
        <v>165</v>
      </c>
      <c r="C695" s="19" t="s">
        <v>751</v>
      </c>
      <c r="D695" s="20" t="s">
        <v>1384</v>
      </c>
      <c r="E695" s="21"/>
      <c r="F695" s="22">
        <v>73750</v>
      </c>
      <c r="G695" s="23"/>
      <c r="H695" s="23">
        <v>73750</v>
      </c>
      <c r="I695" s="23">
        <v>0</v>
      </c>
      <c r="J695" s="23">
        <v>0</v>
      </c>
      <c r="K695" s="24">
        <v>0</v>
      </c>
    </row>
    <row r="696" spans="1:11" x14ac:dyDescent="0.25">
      <c r="A696" s="11">
        <v>46070</v>
      </c>
      <c r="B696" s="12">
        <v>165</v>
      </c>
      <c r="C696" s="12" t="s">
        <v>751</v>
      </c>
      <c r="D696" s="13" t="s">
        <v>1385</v>
      </c>
      <c r="E696" s="14">
        <v>4500</v>
      </c>
      <c r="F696" s="15"/>
      <c r="G696" s="16">
        <v>85500</v>
      </c>
      <c r="H696" s="16">
        <v>0</v>
      </c>
      <c r="I696" s="16">
        <v>11750</v>
      </c>
      <c r="J696" s="16">
        <v>0</v>
      </c>
      <c r="K696" s="17">
        <v>0</v>
      </c>
    </row>
    <row r="697" spans="1:11" x14ac:dyDescent="0.25">
      <c r="A697" s="18">
        <v>46070</v>
      </c>
      <c r="B697" s="19">
        <v>165</v>
      </c>
      <c r="C697" s="19" t="s">
        <v>751</v>
      </c>
      <c r="D697" s="20" t="s">
        <v>1390</v>
      </c>
      <c r="E697" s="21"/>
      <c r="F697" s="22">
        <v>83000</v>
      </c>
      <c r="G697" s="23"/>
      <c r="H697" s="23">
        <v>71250</v>
      </c>
      <c r="I697" s="23">
        <v>0</v>
      </c>
      <c r="J697" s="23">
        <v>0</v>
      </c>
      <c r="K697" s="24">
        <v>0</v>
      </c>
    </row>
    <row r="698" spans="1:11" x14ac:dyDescent="0.25">
      <c r="A698" s="11">
        <v>46070</v>
      </c>
      <c r="B698" s="12">
        <v>165</v>
      </c>
      <c r="C698" s="12" t="s">
        <v>1418</v>
      </c>
      <c r="D698" s="13" t="s">
        <v>1385</v>
      </c>
      <c r="E698" s="14">
        <v>3750</v>
      </c>
      <c r="F698" s="15"/>
      <c r="G698" s="16">
        <v>71250</v>
      </c>
      <c r="H698" s="16">
        <v>0</v>
      </c>
      <c r="I698" s="16">
        <v>0</v>
      </c>
      <c r="J698" s="16">
        <v>0</v>
      </c>
      <c r="K698" s="17">
        <v>0</v>
      </c>
    </row>
    <row r="699" spans="1:11" x14ac:dyDescent="0.25">
      <c r="A699" s="18">
        <v>46042</v>
      </c>
      <c r="B699" s="19">
        <v>167</v>
      </c>
      <c r="C699" s="19" t="s">
        <v>742</v>
      </c>
      <c r="D699" s="20" t="s">
        <v>1385</v>
      </c>
      <c r="E699" s="21">
        <v>3000</v>
      </c>
      <c r="F699" s="22"/>
      <c r="G699" s="23">
        <v>126000</v>
      </c>
      <c r="H699" s="23">
        <v>0</v>
      </c>
      <c r="I699" s="23">
        <v>126000</v>
      </c>
      <c r="J699" s="23">
        <v>0</v>
      </c>
      <c r="K699" s="24">
        <v>0</v>
      </c>
    </row>
    <row r="700" spans="1:11" x14ac:dyDescent="0.25">
      <c r="A700" s="11">
        <v>46044</v>
      </c>
      <c r="B700" s="12">
        <v>167</v>
      </c>
      <c r="C700" s="12" t="s">
        <v>742</v>
      </c>
      <c r="D700" s="13" t="s">
        <v>1384</v>
      </c>
      <c r="E700" s="14"/>
      <c r="F700" s="15">
        <v>126000</v>
      </c>
      <c r="G700" s="16"/>
      <c r="H700" s="16">
        <v>0</v>
      </c>
      <c r="I700" s="16">
        <v>0</v>
      </c>
      <c r="J700" s="16">
        <v>0</v>
      </c>
      <c r="K700" s="17">
        <v>0</v>
      </c>
    </row>
    <row r="701" spans="1:11" x14ac:dyDescent="0.25">
      <c r="A701" s="18">
        <v>46059</v>
      </c>
      <c r="B701" s="19">
        <v>167</v>
      </c>
      <c r="C701" s="19" t="s">
        <v>742</v>
      </c>
      <c r="D701" s="20" t="s">
        <v>1385</v>
      </c>
      <c r="E701" s="21">
        <v>3000</v>
      </c>
      <c r="F701" s="22"/>
      <c r="G701" s="23">
        <v>126000</v>
      </c>
      <c r="H701" s="23">
        <v>0</v>
      </c>
      <c r="I701" s="23">
        <v>126000</v>
      </c>
      <c r="J701" s="23">
        <v>0</v>
      </c>
      <c r="K701" s="24">
        <v>0</v>
      </c>
    </row>
    <row r="702" spans="1:11" x14ac:dyDescent="0.25">
      <c r="A702" s="11">
        <v>46064</v>
      </c>
      <c r="B702" s="12">
        <v>167</v>
      </c>
      <c r="C702" s="12" t="s">
        <v>742</v>
      </c>
      <c r="D702" s="13" t="s">
        <v>1384</v>
      </c>
      <c r="E702" s="14"/>
      <c r="F702" s="15">
        <v>126000</v>
      </c>
      <c r="G702" s="16"/>
      <c r="H702" s="16">
        <v>0</v>
      </c>
      <c r="I702" s="16">
        <v>0</v>
      </c>
      <c r="J702" s="16">
        <v>0</v>
      </c>
      <c r="K702" s="17">
        <v>0</v>
      </c>
    </row>
    <row r="703" spans="1:11" x14ac:dyDescent="0.25">
      <c r="A703" s="18">
        <v>46049</v>
      </c>
      <c r="B703" s="19">
        <v>168</v>
      </c>
      <c r="C703" s="19" t="s">
        <v>738</v>
      </c>
      <c r="D703" s="20" t="s">
        <v>1385</v>
      </c>
      <c r="E703" s="21">
        <v>1965</v>
      </c>
      <c r="F703" s="22"/>
      <c r="G703" s="23">
        <v>78600</v>
      </c>
      <c r="H703" s="23">
        <v>0</v>
      </c>
      <c r="I703" s="23">
        <v>78600</v>
      </c>
      <c r="J703" s="23">
        <v>0</v>
      </c>
      <c r="K703" s="24">
        <v>78600</v>
      </c>
    </row>
    <row r="704" spans="1:11" x14ac:dyDescent="0.25">
      <c r="A704" s="11">
        <v>46039</v>
      </c>
      <c r="B704" s="12">
        <v>169</v>
      </c>
      <c r="C704" s="12" t="s">
        <v>45</v>
      </c>
      <c r="D704" s="13"/>
      <c r="E704" s="14"/>
      <c r="F704" s="15"/>
      <c r="G704" s="16">
        <v>150000</v>
      </c>
      <c r="H704" s="16">
        <v>0</v>
      </c>
      <c r="I704" s="16">
        <v>150000</v>
      </c>
      <c r="J704" s="16">
        <v>0</v>
      </c>
      <c r="K704" s="17">
        <v>0</v>
      </c>
    </row>
    <row r="705" spans="1:11" x14ac:dyDescent="0.25">
      <c r="A705" s="18">
        <v>46048</v>
      </c>
      <c r="B705" s="19">
        <v>169</v>
      </c>
      <c r="C705" s="19" t="s">
        <v>45</v>
      </c>
      <c r="D705" s="20" t="s">
        <v>1384</v>
      </c>
      <c r="E705" s="21"/>
      <c r="F705" s="22">
        <v>129000</v>
      </c>
      <c r="G705" s="23"/>
      <c r="H705" s="23">
        <v>0</v>
      </c>
      <c r="I705" s="23">
        <v>21000</v>
      </c>
      <c r="J705" s="23">
        <v>0</v>
      </c>
      <c r="K705" s="24">
        <v>0</v>
      </c>
    </row>
    <row r="706" spans="1:11" x14ac:dyDescent="0.25">
      <c r="A706" s="11">
        <v>46048</v>
      </c>
      <c r="B706" s="12">
        <v>169</v>
      </c>
      <c r="C706" s="12" t="s">
        <v>45</v>
      </c>
      <c r="D706" s="13" t="s">
        <v>208</v>
      </c>
      <c r="E706" s="14">
        <v>0</v>
      </c>
      <c r="F706" s="15"/>
      <c r="G706" s="16">
        <v>0</v>
      </c>
      <c r="H706" s="16">
        <v>0</v>
      </c>
      <c r="I706" s="16">
        <v>21000</v>
      </c>
      <c r="J706" s="16">
        <v>0</v>
      </c>
      <c r="K706" s="17">
        <v>21000</v>
      </c>
    </row>
    <row r="707" spans="1:11" x14ac:dyDescent="0.25">
      <c r="A707" s="18">
        <v>46039</v>
      </c>
      <c r="B707" s="19">
        <v>171</v>
      </c>
      <c r="C707" s="19" t="s">
        <v>731</v>
      </c>
      <c r="D707" s="20"/>
      <c r="E707" s="21"/>
      <c r="F707" s="22">
        <v>0</v>
      </c>
      <c r="G707" s="23"/>
      <c r="H707" s="23">
        <v>0</v>
      </c>
      <c r="I707" s="23">
        <v>0</v>
      </c>
      <c r="J707" s="23">
        <v>0</v>
      </c>
      <c r="K707" s="24">
        <v>0</v>
      </c>
    </row>
    <row r="708" spans="1:11" x14ac:dyDescent="0.25">
      <c r="A708" s="11">
        <v>46045</v>
      </c>
      <c r="B708" s="12">
        <v>171</v>
      </c>
      <c r="C708" s="12" t="s">
        <v>731</v>
      </c>
      <c r="D708" s="13" t="s">
        <v>1385</v>
      </c>
      <c r="E708" s="14">
        <v>6450</v>
      </c>
      <c r="F708" s="15"/>
      <c r="G708" s="16">
        <v>219300</v>
      </c>
      <c r="H708" s="16">
        <v>0</v>
      </c>
      <c r="I708" s="16">
        <v>219300</v>
      </c>
      <c r="J708" s="16">
        <v>0</v>
      </c>
      <c r="K708" s="17">
        <v>0</v>
      </c>
    </row>
    <row r="709" spans="1:11" x14ac:dyDescent="0.25">
      <c r="A709" s="18">
        <v>46070</v>
      </c>
      <c r="B709" s="19">
        <v>171</v>
      </c>
      <c r="C709" s="19" t="s">
        <v>731</v>
      </c>
      <c r="D709" s="20" t="s">
        <v>1384</v>
      </c>
      <c r="E709" s="21"/>
      <c r="F709" s="22">
        <v>219300</v>
      </c>
      <c r="G709" s="23"/>
      <c r="H709" s="23">
        <v>0</v>
      </c>
      <c r="I709" s="23">
        <v>0</v>
      </c>
      <c r="J709" s="23">
        <v>0</v>
      </c>
      <c r="K709" s="24">
        <v>0</v>
      </c>
    </row>
    <row r="710" spans="1:11" x14ac:dyDescent="0.25">
      <c r="A710" s="11">
        <v>46039</v>
      </c>
      <c r="B710" s="12">
        <v>174</v>
      </c>
      <c r="C710" s="12" t="s">
        <v>720</v>
      </c>
      <c r="D710" s="13"/>
      <c r="E710" s="14"/>
      <c r="F710" s="15">
        <v>0</v>
      </c>
      <c r="G710" s="16"/>
      <c r="H710" s="16">
        <v>0</v>
      </c>
      <c r="I710" s="16">
        <v>0</v>
      </c>
      <c r="J710" s="16">
        <v>0</v>
      </c>
      <c r="K710" s="17">
        <v>0</v>
      </c>
    </row>
    <row r="711" spans="1:11" x14ac:dyDescent="0.25">
      <c r="A711" s="18">
        <v>46039</v>
      </c>
      <c r="B711" s="19">
        <v>175</v>
      </c>
      <c r="C711" s="19" t="s">
        <v>715</v>
      </c>
      <c r="D711" s="20"/>
      <c r="E711" s="21"/>
      <c r="F711" s="22">
        <v>107600</v>
      </c>
      <c r="G711" s="23"/>
      <c r="H711" s="23">
        <v>107600</v>
      </c>
      <c r="I711" s="23">
        <v>0</v>
      </c>
      <c r="J711" s="23">
        <v>107600</v>
      </c>
      <c r="K711" s="24">
        <v>0</v>
      </c>
    </row>
    <row r="712" spans="1:11" x14ac:dyDescent="0.25">
      <c r="A712" s="11">
        <v>46047</v>
      </c>
      <c r="B712" s="12">
        <v>176</v>
      </c>
      <c r="C712" s="12" t="s">
        <v>710</v>
      </c>
      <c r="D712" s="13" t="s">
        <v>1384</v>
      </c>
      <c r="E712" s="14"/>
      <c r="F712" s="15">
        <v>445500</v>
      </c>
      <c r="G712" s="16"/>
      <c r="H712" s="16">
        <v>445500</v>
      </c>
      <c r="I712" s="16">
        <v>0</v>
      </c>
      <c r="J712" s="16">
        <v>0</v>
      </c>
      <c r="K712" s="17">
        <v>0</v>
      </c>
    </row>
    <row r="713" spans="1:11" x14ac:dyDescent="0.25">
      <c r="A713" s="18">
        <v>46048</v>
      </c>
      <c r="B713" s="19">
        <v>176</v>
      </c>
      <c r="C713" s="19" t="s">
        <v>710</v>
      </c>
      <c r="D713" s="20" t="s">
        <v>1385</v>
      </c>
      <c r="E713" s="21">
        <v>13500</v>
      </c>
      <c r="F713" s="22"/>
      <c r="G713" s="23">
        <v>445500</v>
      </c>
      <c r="H713" s="23">
        <v>0</v>
      </c>
      <c r="I713" s="23">
        <v>0</v>
      </c>
      <c r="J713" s="23">
        <v>0</v>
      </c>
      <c r="K713" s="24">
        <v>0</v>
      </c>
    </row>
    <row r="714" spans="1:11" x14ac:dyDescent="0.25">
      <c r="A714" s="11">
        <v>46060</v>
      </c>
      <c r="B714" s="12">
        <v>176</v>
      </c>
      <c r="C714" s="12" t="s">
        <v>710</v>
      </c>
      <c r="D714" s="13" t="s">
        <v>1384</v>
      </c>
      <c r="E714" s="14"/>
      <c r="F714" s="15">
        <v>445500</v>
      </c>
      <c r="G714" s="16"/>
      <c r="H714" s="16">
        <v>445500</v>
      </c>
      <c r="I714" s="16">
        <v>0</v>
      </c>
      <c r="J714" s="16">
        <v>0</v>
      </c>
      <c r="K714" s="17">
        <v>0</v>
      </c>
    </row>
    <row r="715" spans="1:11" x14ac:dyDescent="0.25">
      <c r="A715" s="18">
        <v>46062</v>
      </c>
      <c r="B715" s="19">
        <v>176</v>
      </c>
      <c r="C715" s="19" t="s">
        <v>710</v>
      </c>
      <c r="D715" s="20" t="s">
        <v>1385</v>
      </c>
      <c r="E715" s="21">
        <v>13500</v>
      </c>
      <c r="F715" s="22"/>
      <c r="G715" s="23">
        <v>445500</v>
      </c>
      <c r="H715" s="23">
        <v>0</v>
      </c>
      <c r="I715" s="23">
        <v>0</v>
      </c>
      <c r="J715" s="23">
        <v>0</v>
      </c>
      <c r="K715" s="24">
        <v>0</v>
      </c>
    </row>
    <row r="716" spans="1:11" x14ac:dyDescent="0.25">
      <c r="A716" s="11">
        <v>46065</v>
      </c>
      <c r="B716" s="12">
        <v>177</v>
      </c>
      <c r="C716" s="12" t="s">
        <v>706</v>
      </c>
      <c r="D716" s="13" t="s">
        <v>1385</v>
      </c>
      <c r="E716" s="14">
        <v>4900</v>
      </c>
      <c r="F716" s="15"/>
      <c r="G716" s="16">
        <v>127400</v>
      </c>
      <c r="H716" s="16">
        <v>0</v>
      </c>
      <c r="I716" s="16">
        <v>127400</v>
      </c>
      <c r="J716" s="16">
        <v>0</v>
      </c>
      <c r="K716" s="17">
        <v>0</v>
      </c>
    </row>
    <row r="717" spans="1:11" x14ac:dyDescent="0.25">
      <c r="A717" s="18">
        <v>46067</v>
      </c>
      <c r="B717" s="19">
        <v>177</v>
      </c>
      <c r="C717" s="19" t="s">
        <v>706</v>
      </c>
      <c r="D717" s="20" t="s">
        <v>1384</v>
      </c>
      <c r="E717" s="21"/>
      <c r="F717" s="22">
        <v>127400</v>
      </c>
      <c r="G717" s="23"/>
      <c r="H717" s="23">
        <v>0</v>
      </c>
      <c r="I717" s="23">
        <v>0</v>
      </c>
      <c r="J717" s="23">
        <v>0</v>
      </c>
      <c r="K717" s="24">
        <v>0</v>
      </c>
    </row>
    <row r="718" spans="1:11" x14ac:dyDescent="0.25">
      <c r="A718" s="11">
        <v>46041</v>
      </c>
      <c r="B718" s="12">
        <v>178</v>
      </c>
      <c r="C718" s="12" t="s">
        <v>702</v>
      </c>
      <c r="D718" s="13" t="s">
        <v>1384</v>
      </c>
      <c r="E718" s="14"/>
      <c r="F718" s="15">
        <v>66000</v>
      </c>
      <c r="G718" s="16"/>
      <c r="H718" s="16">
        <v>66000</v>
      </c>
      <c r="I718" s="16">
        <v>0</v>
      </c>
      <c r="J718" s="16">
        <v>0</v>
      </c>
      <c r="K718" s="17">
        <v>0</v>
      </c>
    </row>
    <row r="719" spans="1:11" x14ac:dyDescent="0.25">
      <c r="A719" s="18">
        <v>46041</v>
      </c>
      <c r="B719" s="19">
        <v>178</v>
      </c>
      <c r="C719" s="19" t="s">
        <v>702</v>
      </c>
      <c r="D719" s="20" t="s">
        <v>1385</v>
      </c>
      <c r="E719" s="21">
        <v>3000</v>
      </c>
      <c r="F719" s="22"/>
      <c r="G719" s="23">
        <v>66000</v>
      </c>
      <c r="H719" s="23">
        <v>0</v>
      </c>
      <c r="I719" s="23">
        <v>0</v>
      </c>
      <c r="J719" s="23">
        <v>0</v>
      </c>
      <c r="K719" s="24">
        <v>0</v>
      </c>
    </row>
    <row r="720" spans="1:11" x14ac:dyDescent="0.25">
      <c r="A720" s="11">
        <v>46057</v>
      </c>
      <c r="B720" s="12">
        <v>178</v>
      </c>
      <c r="C720" s="12" t="s">
        <v>702</v>
      </c>
      <c r="D720" s="13" t="s">
        <v>1390</v>
      </c>
      <c r="E720" s="14"/>
      <c r="F720" s="15">
        <v>66000</v>
      </c>
      <c r="G720" s="16"/>
      <c r="H720" s="16">
        <v>66000</v>
      </c>
      <c r="I720" s="16">
        <v>0</v>
      </c>
      <c r="J720" s="16">
        <v>0</v>
      </c>
      <c r="K720" s="17">
        <v>0</v>
      </c>
    </row>
    <row r="721" spans="1:11" x14ac:dyDescent="0.25">
      <c r="A721" s="18">
        <v>46057</v>
      </c>
      <c r="B721" s="19">
        <v>178</v>
      </c>
      <c r="C721" s="19" t="s">
        <v>702</v>
      </c>
      <c r="D721" s="20" t="s">
        <v>1385</v>
      </c>
      <c r="E721" s="21">
        <v>3000</v>
      </c>
      <c r="F721" s="22"/>
      <c r="G721" s="23">
        <v>90000</v>
      </c>
      <c r="H721" s="23">
        <v>0</v>
      </c>
      <c r="I721" s="23">
        <v>24000</v>
      </c>
      <c r="J721" s="23">
        <v>0</v>
      </c>
      <c r="K721" s="24">
        <v>0</v>
      </c>
    </row>
    <row r="722" spans="1:11" x14ac:dyDescent="0.25">
      <c r="A722" s="11">
        <v>46059</v>
      </c>
      <c r="B722" s="12">
        <v>178</v>
      </c>
      <c r="C722" s="12" t="s">
        <v>702</v>
      </c>
      <c r="D722" s="13" t="s">
        <v>1385</v>
      </c>
      <c r="E722" s="14">
        <v>3900</v>
      </c>
      <c r="F722" s="15"/>
      <c r="G722" s="16">
        <v>117000</v>
      </c>
      <c r="H722" s="16">
        <v>0</v>
      </c>
      <c r="I722" s="16">
        <v>141000</v>
      </c>
      <c r="J722" s="16">
        <v>0</v>
      </c>
      <c r="K722" s="17">
        <v>141000</v>
      </c>
    </row>
    <row r="723" spans="1:11" x14ac:dyDescent="0.25">
      <c r="A723" s="18">
        <v>46051</v>
      </c>
      <c r="B723" s="19">
        <v>179</v>
      </c>
      <c r="C723" s="19" t="s">
        <v>698</v>
      </c>
      <c r="D723" s="20" t="s">
        <v>1385</v>
      </c>
      <c r="E723" s="21">
        <v>3300</v>
      </c>
      <c r="F723" s="22"/>
      <c r="G723" s="23">
        <v>125400</v>
      </c>
      <c r="H723" s="23">
        <v>0</v>
      </c>
      <c r="I723" s="23">
        <v>125400</v>
      </c>
      <c r="J723" s="23">
        <v>0</v>
      </c>
      <c r="K723" s="24">
        <v>0</v>
      </c>
    </row>
    <row r="724" spans="1:11" x14ac:dyDescent="0.25">
      <c r="A724" s="11">
        <v>46052</v>
      </c>
      <c r="B724" s="12">
        <v>179</v>
      </c>
      <c r="C724" s="12" t="s">
        <v>698</v>
      </c>
      <c r="D724" s="13" t="s">
        <v>1384</v>
      </c>
      <c r="E724" s="14"/>
      <c r="F724" s="15">
        <v>125400</v>
      </c>
      <c r="G724" s="16"/>
      <c r="H724" s="16">
        <v>0</v>
      </c>
      <c r="I724" s="16">
        <v>0</v>
      </c>
      <c r="J724" s="16">
        <v>0</v>
      </c>
      <c r="K724" s="17">
        <v>0</v>
      </c>
    </row>
    <row r="725" spans="1:11" x14ac:dyDescent="0.25">
      <c r="A725" s="18">
        <v>46062</v>
      </c>
      <c r="B725" s="19">
        <v>179</v>
      </c>
      <c r="C725" s="19" t="s">
        <v>698</v>
      </c>
      <c r="D725" s="20" t="s">
        <v>1384</v>
      </c>
      <c r="E725" s="21"/>
      <c r="F725" s="22">
        <v>108000</v>
      </c>
      <c r="G725" s="23"/>
      <c r="H725" s="23">
        <v>108000</v>
      </c>
      <c r="I725" s="23">
        <v>0</v>
      </c>
      <c r="J725" s="23">
        <v>0</v>
      </c>
      <c r="K725" s="24">
        <v>0</v>
      </c>
    </row>
    <row r="726" spans="1:11" x14ac:dyDescent="0.25">
      <c r="A726" s="11">
        <v>46069</v>
      </c>
      <c r="B726" s="12">
        <v>179</v>
      </c>
      <c r="C726" s="12" t="s">
        <v>698</v>
      </c>
      <c r="D726" s="13" t="s">
        <v>1384</v>
      </c>
      <c r="E726" s="14"/>
      <c r="F726" s="15">
        <v>125400</v>
      </c>
      <c r="G726" s="16"/>
      <c r="H726" s="16">
        <v>233400</v>
      </c>
      <c r="I726" s="16">
        <v>0</v>
      </c>
      <c r="J726" s="16">
        <v>0</v>
      </c>
      <c r="K726" s="17">
        <v>0</v>
      </c>
    </row>
    <row r="727" spans="1:11" x14ac:dyDescent="0.25">
      <c r="A727" s="18">
        <v>46069</v>
      </c>
      <c r="B727" s="19">
        <v>179</v>
      </c>
      <c r="C727" s="19" t="s">
        <v>698</v>
      </c>
      <c r="D727" s="20" t="s">
        <v>1385</v>
      </c>
      <c r="E727" s="21">
        <v>3300</v>
      </c>
      <c r="F727" s="22"/>
      <c r="G727" s="23">
        <v>125400</v>
      </c>
      <c r="H727" s="23">
        <v>108000</v>
      </c>
      <c r="I727" s="23">
        <v>0</v>
      </c>
      <c r="J727" s="23">
        <v>108000</v>
      </c>
      <c r="K727" s="24">
        <v>0</v>
      </c>
    </row>
    <row r="728" spans="1:11" x14ac:dyDescent="0.25">
      <c r="A728" s="11">
        <v>46044</v>
      </c>
      <c r="B728" s="12">
        <v>180</v>
      </c>
      <c r="C728" s="12" t="s">
        <v>694</v>
      </c>
      <c r="D728" s="13" t="s">
        <v>1385</v>
      </c>
      <c r="E728" s="14">
        <v>5400</v>
      </c>
      <c r="F728" s="15"/>
      <c r="G728" s="16">
        <v>136000</v>
      </c>
      <c r="H728" s="16">
        <v>0</v>
      </c>
      <c r="I728" s="16">
        <v>136000</v>
      </c>
      <c r="J728" s="16">
        <v>0</v>
      </c>
      <c r="K728" s="17">
        <v>0</v>
      </c>
    </row>
    <row r="729" spans="1:11" x14ac:dyDescent="0.25">
      <c r="A729" s="18">
        <v>46056</v>
      </c>
      <c r="B729" s="19">
        <v>180</v>
      </c>
      <c r="C729" s="19" t="s">
        <v>694</v>
      </c>
      <c r="D729" s="20" t="s">
        <v>1384</v>
      </c>
      <c r="E729" s="21"/>
      <c r="F729" s="22">
        <v>272000</v>
      </c>
      <c r="G729" s="23"/>
      <c r="H729" s="23">
        <v>136000</v>
      </c>
      <c r="I729" s="23">
        <v>0</v>
      </c>
      <c r="J729" s="23">
        <v>0</v>
      </c>
      <c r="K729" s="24">
        <v>0</v>
      </c>
    </row>
    <row r="730" spans="1:11" x14ac:dyDescent="0.25">
      <c r="A730" s="11">
        <v>46059</v>
      </c>
      <c r="B730" s="12">
        <v>180</v>
      </c>
      <c r="C730" s="12" t="s">
        <v>694</v>
      </c>
      <c r="D730" s="13" t="s">
        <v>1385</v>
      </c>
      <c r="E730" s="14">
        <v>5400</v>
      </c>
      <c r="F730" s="15"/>
      <c r="G730" s="16">
        <v>136000</v>
      </c>
      <c r="H730" s="16">
        <v>0</v>
      </c>
      <c r="I730" s="16">
        <v>0</v>
      </c>
      <c r="J730" s="16">
        <v>0</v>
      </c>
      <c r="K730" s="17">
        <v>0</v>
      </c>
    </row>
    <row r="731" spans="1:11" x14ac:dyDescent="0.25">
      <c r="A731" s="18">
        <v>46039</v>
      </c>
      <c r="B731" s="19">
        <v>181</v>
      </c>
      <c r="C731" s="19" t="s">
        <v>690</v>
      </c>
      <c r="D731" s="20"/>
      <c r="E731" s="21"/>
      <c r="F731" s="22"/>
      <c r="G731" s="23">
        <v>117300</v>
      </c>
      <c r="H731" s="23">
        <v>0</v>
      </c>
      <c r="I731" s="23">
        <v>117300</v>
      </c>
      <c r="J731" s="23">
        <v>0</v>
      </c>
      <c r="K731" s="24">
        <v>0</v>
      </c>
    </row>
    <row r="732" spans="1:11" x14ac:dyDescent="0.25">
      <c r="A732" s="11">
        <v>46039</v>
      </c>
      <c r="B732" s="12">
        <v>181</v>
      </c>
      <c r="C732" s="12" t="s">
        <v>690</v>
      </c>
      <c r="D732" s="13" t="s">
        <v>1384</v>
      </c>
      <c r="E732" s="14"/>
      <c r="F732" s="15">
        <v>117300</v>
      </c>
      <c r="G732" s="16"/>
      <c r="H732" s="16">
        <v>0</v>
      </c>
      <c r="I732" s="16">
        <v>0</v>
      </c>
      <c r="J732" s="16">
        <v>0</v>
      </c>
      <c r="K732" s="17">
        <v>0</v>
      </c>
    </row>
    <row r="733" spans="1:11" x14ac:dyDescent="0.25">
      <c r="A733" s="18">
        <v>46052</v>
      </c>
      <c r="B733" s="19">
        <v>181</v>
      </c>
      <c r="C733" s="19" t="s">
        <v>690</v>
      </c>
      <c r="D733" s="20" t="s">
        <v>1385</v>
      </c>
      <c r="E733" s="21">
        <v>3450</v>
      </c>
      <c r="F733" s="22"/>
      <c r="G733" s="23">
        <v>117300</v>
      </c>
      <c r="H733" s="23">
        <v>0</v>
      </c>
      <c r="I733" s="23">
        <v>117300</v>
      </c>
      <c r="J733" s="23">
        <v>0</v>
      </c>
      <c r="K733" s="24">
        <v>0</v>
      </c>
    </row>
    <row r="734" spans="1:11" x14ac:dyDescent="0.25">
      <c r="A734" s="11">
        <v>46055</v>
      </c>
      <c r="B734" s="12">
        <v>181</v>
      </c>
      <c r="C734" s="12" t="s">
        <v>690</v>
      </c>
      <c r="D734" s="13" t="s">
        <v>1384</v>
      </c>
      <c r="E734" s="14"/>
      <c r="F734" s="15">
        <v>117300</v>
      </c>
      <c r="G734" s="16"/>
      <c r="H734" s="16">
        <v>0</v>
      </c>
      <c r="I734" s="16">
        <v>0</v>
      </c>
      <c r="J734" s="16">
        <v>0</v>
      </c>
      <c r="K734" s="17">
        <v>0</v>
      </c>
    </row>
    <row r="735" spans="1:11" x14ac:dyDescent="0.25">
      <c r="A735" s="18">
        <v>46066</v>
      </c>
      <c r="B735" s="19">
        <v>181</v>
      </c>
      <c r="C735" s="19" t="s">
        <v>690</v>
      </c>
      <c r="D735" s="20" t="s">
        <v>1385</v>
      </c>
      <c r="E735" s="21">
        <v>3450</v>
      </c>
      <c r="F735" s="22"/>
      <c r="G735" s="23">
        <v>117300</v>
      </c>
      <c r="H735" s="23">
        <v>0</v>
      </c>
      <c r="I735" s="23">
        <v>117300</v>
      </c>
      <c r="J735" s="23">
        <v>0</v>
      </c>
      <c r="K735" s="24">
        <v>0</v>
      </c>
    </row>
    <row r="736" spans="1:11" x14ac:dyDescent="0.25">
      <c r="A736" s="11">
        <v>46069</v>
      </c>
      <c r="B736" s="12">
        <v>181</v>
      </c>
      <c r="C736" s="12" t="s">
        <v>690</v>
      </c>
      <c r="D736" s="13" t="s">
        <v>1384</v>
      </c>
      <c r="E736" s="14"/>
      <c r="F736" s="15">
        <v>117300</v>
      </c>
      <c r="G736" s="16"/>
      <c r="H736" s="16">
        <v>0</v>
      </c>
      <c r="I736" s="16">
        <v>0</v>
      </c>
      <c r="J736" s="16">
        <v>0</v>
      </c>
      <c r="K736" s="17">
        <v>0</v>
      </c>
    </row>
    <row r="737" spans="1:11" x14ac:dyDescent="0.25">
      <c r="A737" s="18">
        <v>46039</v>
      </c>
      <c r="B737" s="19">
        <v>182</v>
      </c>
      <c r="C737" s="19" t="s">
        <v>685</v>
      </c>
      <c r="D737" s="20"/>
      <c r="E737" s="21"/>
      <c r="F737" s="22"/>
      <c r="G737" s="23">
        <v>138200</v>
      </c>
      <c r="H737" s="23">
        <v>0</v>
      </c>
      <c r="I737" s="23">
        <v>138200</v>
      </c>
      <c r="J737" s="23">
        <v>0</v>
      </c>
      <c r="K737" s="24">
        <v>0</v>
      </c>
    </row>
    <row r="738" spans="1:11" x14ac:dyDescent="0.25">
      <c r="A738" s="11">
        <v>46040</v>
      </c>
      <c r="B738" s="12">
        <v>182</v>
      </c>
      <c r="C738" s="12" t="s">
        <v>685</v>
      </c>
      <c r="D738" s="13" t="s">
        <v>1384</v>
      </c>
      <c r="E738" s="14"/>
      <c r="F738" s="15">
        <v>138200</v>
      </c>
      <c r="G738" s="16"/>
      <c r="H738" s="16">
        <v>0</v>
      </c>
      <c r="I738" s="16">
        <v>0</v>
      </c>
      <c r="J738" s="16">
        <v>0</v>
      </c>
      <c r="K738" s="17">
        <v>0</v>
      </c>
    </row>
    <row r="739" spans="1:11" x14ac:dyDescent="0.25">
      <c r="A739" s="18">
        <v>46041</v>
      </c>
      <c r="B739" s="19">
        <v>182</v>
      </c>
      <c r="C739" s="19" t="s">
        <v>685</v>
      </c>
      <c r="D739" s="20" t="s">
        <v>1385</v>
      </c>
      <c r="E739" s="21">
        <v>2700</v>
      </c>
      <c r="F739" s="22"/>
      <c r="G739" s="23">
        <v>108500</v>
      </c>
      <c r="H739" s="23">
        <v>0</v>
      </c>
      <c r="I739" s="23">
        <v>108500</v>
      </c>
      <c r="J739" s="23">
        <v>0</v>
      </c>
      <c r="K739" s="24">
        <v>0</v>
      </c>
    </row>
    <row r="740" spans="1:11" x14ac:dyDescent="0.25">
      <c r="A740" s="11">
        <v>46042</v>
      </c>
      <c r="B740" s="12">
        <v>182</v>
      </c>
      <c r="C740" s="12" t="s">
        <v>685</v>
      </c>
      <c r="D740" s="13" t="s">
        <v>1384</v>
      </c>
      <c r="E740" s="14"/>
      <c r="F740" s="15">
        <v>108500</v>
      </c>
      <c r="G740" s="16"/>
      <c r="H740" s="16">
        <v>0</v>
      </c>
      <c r="I740" s="16">
        <v>0</v>
      </c>
      <c r="J740" s="16">
        <v>0</v>
      </c>
      <c r="K740" s="17">
        <v>0</v>
      </c>
    </row>
    <row r="741" spans="1:11" x14ac:dyDescent="0.25">
      <c r="A741" s="18">
        <v>46057</v>
      </c>
      <c r="B741" s="19">
        <v>182</v>
      </c>
      <c r="C741" s="19" t="s">
        <v>685</v>
      </c>
      <c r="D741" s="20" t="s">
        <v>1385</v>
      </c>
      <c r="E741" s="21">
        <v>2700</v>
      </c>
      <c r="F741" s="22"/>
      <c r="G741" s="23">
        <v>108500</v>
      </c>
      <c r="H741" s="23">
        <v>0</v>
      </c>
      <c r="I741" s="23">
        <v>108500</v>
      </c>
      <c r="J741" s="23">
        <v>0</v>
      </c>
      <c r="K741" s="24">
        <v>0</v>
      </c>
    </row>
    <row r="742" spans="1:11" x14ac:dyDescent="0.25">
      <c r="A742" s="11">
        <v>46070</v>
      </c>
      <c r="B742" s="12">
        <v>182</v>
      </c>
      <c r="C742" s="12" t="s">
        <v>685</v>
      </c>
      <c r="D742" s="13" t="s">
        <v>1385</v>
      </c>
      <c r="E742" s="14">
        <v>2700</v>
      </c>
      <c r="F742" s="15"/>
      <c r="G742" s="16">
        <v>108500</v>
      </c>
      <c r="H742" s="16">
        <v>0</v>
      </c>
      <c r="I742" s="16">
        <v>217000</v>
      </c>
      <c r="J742" s="16">
        <v>0</v>
      </c>
      <c r="K742" s="17">
        <v>217000</v>
      </c>
    </row>
    <row r="743" spans="1:11" x14ac:dyDescent="0.25">
      <c r="A743" s="18">
        <v>46039</v>
      </c>
      <c r="B743" s="19">
        <v>183</v>
      </c>
      <c r="C743" s="19" t="s">
        <v>681</v>
      </c>
      <c r="D743" s="20" t="s">
        <v>1384</v>
      </c>
      <c r="E743" s="21"/>
      <c r="F743" s="22">
        <v>71400</v>
      </c>
      <c r="G743" s="23"/>
      <c r="H743" s="23">
        <v>71400</v>
      </c>
      <c r="I743" s="23">
        <v>0</v>
      </c>
      <c r="J743" s="23">
        <v>0</v>
      </c>
      <c r="K743" s="24">
        <v>0</v>
      </c>
    </row>
    <row r="744" spans="1:11" x14ac:dyDescent="0.25">
      <c r="A744" s="11">
        <v>46039</v>
      </c>
      <c r="B744" s="12">
        <v>183</v>
      </c>
      <c r="C744" s="12" t="s">
        <v>681</v>
      </c>
      <c r="D744" s="13"/>
      <c r="E744" s="14"/>
      <c r="F744" s="15"/>
      <c r="G744" s="16">
        <v>71400</v>
      </c>
      <c r="H744" s="16">
        <v>0</v>
      </c>
      <c r="I744" s="16">
        <v>0</v>
      </c>
      <c r="J744" s="16">
        <v>0</v>
      </c>
      <c r="K744" s="17">
        <v>0</v>
      </c>
    </row>
    <row r="745" spans="1:11" x14ac:dyDescent="0.25">
      <c r="A745" s="18">
        <v>46062</v>
      </c>
      <c r="B745" s="19">
        <v>183</v>
      </c>
      <c r="C745" s="19" t="s">
        <v>681</v>
      </c>
      <c r="D745" s="20" t="s">
        <v>1385</v>
      </c>
      <c r="E745" s="21">
        <v>2100</v>
      </c>
      <c r="F745" s="22"/>
      <c r="G745" s="23">
        <v>71400</v>
      </c>
      <c r="H745" s="23">
        <v>0</v>
      </c>
      <c r="I745" s="23">
        <v>71400</v>
      </c>
      <c r="J745" s="23">
        <v>0</v>
      </c>
      <c r="K745" s="24">
        <v>0</v>
      </c>
    </row>
    <row r="746" spans="1:11" x14ac:dyDescent="0.25">
      <c r="A746" s="11">
        <v>46063</v>
      </c>
      <c r="B746" s="12">
        <v>183</v>
      </c>
      <c r="C746" s="12" t="s">
        <v>681</v>
      </c>
      <c r="D746" s="13" t="s">
        <v>1384</v>
      </c>
      <c r="E746" s="14"/>
      <c r="F746" s="15">
        <v>71400</v>
      </c>
      <c r="G746" s="16"/>
      <c r="H746" s="16">
        <v>0</v>
      </c>
      <c r="I746" s="16">
        <v>0</v>
      </c>
      <c r="J746" s="16">
        <v>0</v>
      </c>
      <c r="K746" s="17">
        <v>0</v>
      </c>
    </row>
    <row r="747" spans="1:11" x14ac:dyDescent="0.25">
      <c r="A747" s="18">
        <v>46039</v>
      </c>
      <c r="B747" s="19">
        <v>185</v>
      </c>
      <c r="C747" s="19" t="s">
        <v>673</v>
      </c>
      <c r="D747" s="20"/>
      <c r="E747" s="21"/>
      <c r="F747" s="22">
        <v>77400</v>
      </c>
      <c r="G747" s="23"/>
      <c r="H747" s="23">
        <v>77400</v>
      </c>
      <c r="I747" s="23">
        <v>0</v>
      </c>
      <c r="J747" s="23">
        <v>0</v>
      </c>
      <c r="K747" s="24">
        <v>0</v>
      </c>
    </row>
    <row r="748" spans="1:11" x14ac:dyDescent="0.25">
      <c r="A748" s="11">
        <v>46040</v>
      </c>
      <c r="B748" s="12">
        <v>185</v>
      </c>
      <c r="C748" s="12" t="s">
        <v>673</v>
      </c>
      <c r="D748" s="13" t="s">
        <v>1385</v>
      </c>
      <c r="E748" s="14">
        <v>1800</v>
      </c>
      <c r="F748" s="15"/>
      <c r="G748" s="16">
        <v>77400</v>
      </c>
      <c r="H748" s="16">
        <v>0</v>
      </c>
      <c r="I748" s="16">
        <v>0</v>
      </c>
      <c r="J748" s="16">
        <v>0</v>
      </c>
      <c r="K748" s="17">
        <v>0</v>
      </c>
    </row>
    <row r="749" spans="1:11" x14ac:dyDescent="0.25">
      <c r="A749" s="18">
        <v>46057</v>
      </c>
      <c r="B749" s="19">
        <v>185</v>
      </c>
      <c r="C749" s="19" t="s">
        <v>673</v>
      </c>
      <c r="D749" s="20" t="s">
        <v>1384</v>
      </c>
      <c r="E749" s="21"/>
      <c r="F749" s="22">
        <v>154800</v>
      </c>
      <c r="G749" s="23"/>
      <c r="H749" s="23">
        <v>154800</v>
      </c>
      <c r="I749" s="23">
        <v>0</v>
      </c>
      <c r="J749" s="23">
        <v>0</v>
      </c>
      <c r="K749" s="24">
        <v>0</v>
      </c>
    </row>
    <row r="750" spans="1:11" x14ac:dyDescent="0.25">
      <c r="A750" s="11">
        <v>46057</v>
      </c>
      <c r="B750" s="12">
        <v>185</v>
      </c>
      <c r="C750" s="12" t="s">
        <v>673</v>
      </c>
      <c r="D750" s="13" t="s">
        <v>1385</v>
      </c>
      <c r="E750" s="14">
        <v>1800</v>
      </c>
      <c r="F750" s="15"/>
      <c r="G750" s="16">
        <v>77400</v>
      </c>
      <c r="H750" s="16">
        <v>77400</v>
      </c>
      <c r="I750" s="16">
        <v>0</v>
      </c>
      <c r="J750" s="16">
        <v>0</v>
      </c>
      <c r="K750" s="17">
        <v>0</v>
      </c>
    </row>
    <row r="751" spans="1:11" x14ac:dyDescent="0.25">
      <c r="A751" s="18">
        <v>46070</v>
      </c>
      <c r="B751" s="19">
        <v>185</v>
      </c>
      <c r="C751" s="19" t="s">
        <v>673</v>
      </c>
      <c r="D751" s="20" t="s">
        <v>1385</v>
      </c>
      <c r="E751" s="21">
        <v>2700</v>
      </c>
      <c r="F751" s="22"/>
      <c r="G751" s="23">
        <v>116100</v>
      </c>
      <c r="H751" s="23">
        <v>0</v>
      </c>
      <c r="I751" s="23">
        <v>38700</v>
      </c>
      <c r="J751" s="23">
        <v>0</v>
      </c>
      <c r="K751" s="24">
        <v>38700</v>
      </c>
    </row>
    <row r="752" spans="1:11" x14ac:dyDescent="0.25">
      <c r="A752" s="11">
        <v>46039</v>
      </c>
      <c r="B752" s="12">
        <v>186</v>
      </c>
      <c r="C752" s="12" t="s">
        <v>668</v>
      </c>
      <c r="D752" s="13"/>
      <c r="E752" s="14"/>
      <c r="F752" s="15"/>
      <c r="G752" s="16">
        <v>98900</v>
      </c>
      <c r="H752" s="16">
        <v>0</v>
      </c>
      <c r="I752" s="16">
        <v>98900</v>
      </c>
      <c r="J752" s="16">
        <v>0</v>
      </c>
      <c r="K752" s="17">
        <v>0</v>
      </c>
    </row>
    <row r="753" spans="1:11" x14ac:dyDescent="0.25">
      <c r="A753" s="18">
        <v>46044</v>
      </c>
      <c r="B753" s="19">
        <v>186</v>
      </c>
      <c r="C753" s="19" t="s">
        <v>668</v>
      </c>
      <c r="D753" s="20" t="s">
        <v>1385</v>
      </c>
      <c r="E753" s="21">
        <v>3150</v>
      </c>
      <c r="F753" s="22"/>
      <c r="G753" s="23">
        <v>94000</v>
      </c>
      <c r="H753" s="23">
        <v>0</v>
      </c>
      <c r="I753" s="23">
        <v>192900</v>
      </c>
      <c r="J753" s="23">
        <v>0</v>
      </c>
      <c r="K753" s="24">
        <v>0</v>
      </c>
    </row>
    <row r="754" spans="1:11" x14ac:dyDescent="0.25">
      <c r="A754" s="11">
        <v>46049</v>
      </c>
      <c r="B754" s="12">
        <v>186</v>
      </c>
      <c r="C754" s="12" t="s">
        <v>668</v>
      </c>
      <c r="D754" s="13" t="s">
        <v>1385</v>
      </c>
      <c r="E754" s="14">
        <v>3150</v>
      </c>
      <c r="F754" s="15"/>
      <c r="G754" s="16">
        <v>94000</v>
      </c>
      <c r="H754" s="16">
        <v>0</v>
      </c>
      <c r="I754" s="16">
        <v>286900</v>
      </c>
      <c r="J754" s="16">
        <v>0</v>
      </c>
      <c r="K754" s="17">
        <v>0</v>
      </c>
    </row>
    <row r="755" spans="1:11" x14ac:dyDescent="0.25">
      <c r="A755" s="18">
        <v>46056</v>
      </c>
      <c r="B755" s="19">
        <v>186</v>
      </c>
      <c r="C755" s="19" t="s">
        <v>668</v>
      </c>
      <c r="D755" s="20" t="s">
        <v>1385</v>
      </c>
      <c r="E755" s="21">
        <v>3150</v>
      </c>
      <c r="F755" s="22"/>
      <c r="G755" s="23">
        <v>94000</v>
      </c>
      <c r="H755" s="23">
        <v>0</v>
      </c>
      <c r="I755" s="23">
        <v>380900</v>
      </c>
      <c r="J755" s="23">
        <v>0</v>
      </c>
      <c r="K755" s="24">
        <v>0</v>
      </c>
    </row>
    <row r="756" spans="1:11" x14ac:dyDescent="0.25">
      <c r="A756" s="11">
        <v>46059</v>
      </c>
      <c r="B756" s="12">
        <v>186</v>
      </c>
      <c r="C756" s="12" t="s">
        <v>668</v>
      </c>
      <c r="D756" s="13" t="s">
        <v>1384</v>
      </c>
      <c r="E756" s="14"/>
      <c r="F756" s="15">
        <v>286900</v>
      </c>
      <c r="G756" s="16"/>
      <c r="H756" s="16">
        <v>0</v>
      </c>
      <c r="I756" s="16">
        <v>94000</v>
      </c>
      <c r="J756" s="16">
        <v>0</v>
      </c>
      <c r="K756" s="17">
        <v>0</v>
      </c>
    </row>
    <row r="757" spans="1:11" x14ac:dyDescent="0.25">
      <c r="A757" s="18">
        <v>46064</v>
      </c>
      <c r="B757" s="19">
        <v>186</v>
      </c>
      <c r="C757" s="19" t="s">
        <v>668</v>
      </c>
      <c r="D757" s="20" t="s">
        <v>1385</v>
      </c>
      <c r="E757" s="21">
        <v>3150</v>
      </c>
      <c r="F757" s="22"/>
      <c r="G757" s="23">
        <v>94000</v>
      </c>
      <c r="H757" s="23">
        <v>0</v>
      </c>
      <c r="I757" s="23">
        <v>188000</v>
      </c>
      <c r="J757" s="23">
        <v>0</v>
      </c>
      <c r="K757" s="24">
        <v>0</v>
      </c>
    </row>
    <row r="758" spans="1:11" x14ac:dyDescent="0.25">
      <c r="A758" s="11">
        <v>46071</v>
      </c>
      <c r="B758" s="12">
        <v>186</v>
      </c>
      <c r="C758" s="12" t="s">
        <v>668</v>
      </c>
      <c r="D758" s="13" t="s">
        <v>1385</v>
      </c>
      <c r="E758" s="14">
        <v>3150</v>
      </c>
      <c r="F758" s="15"/>
      <c r="G758" s="16">
        <v>94000</v>
      </c>
      <c r="H758" s="16">
        <v>0</v>
      </c>
      <c r="I758" s="16">
        <v>282000</v>
      </c>
      <c r="J758" s="16">
        <v>0</v>
      </c>
      <c r="K758" s="17">
        <v>282000</v>
      </c>
    </row>
    <row r="759" spans="1:11" x14ac:dyDescent="0.25">
      <c r="A759" s="18">
        <v>46039</v>
      </c>
      <c r="B759" s="19">
        <v>188</v>
      </c>
      <c r="C759" s="19" t="s">
        <v>40</v>
      </c>
      <c r="D759" s="20"/>
      <c r="E759" s="21"/>
      <c r="F759" s="22"/>
      <c r="G759" s="23">
        <v>32750</v>
      </c>
      <c r="H759" s="23">
        <v>0</v>
      </c>
      <c r="I759" s="23">
        <v>32750</v>
      </c>
      <c r="J759" s="23">
        <v>0</v>
      </c>
      <c r="K759" s="24">
        <v>0</v>
      </c>
    </row>
    <row r="760" spans="1:11" x14ac:dyDescent="0.25">
      <c r="A760" s="11">
        <v>46041</v>
      </c>
      <c r="B760" s="12">
        <v>188</v>
      </c>
      <c r="C760" s="12" t="s">
        <v>40</v>
      </c>
      <c r="D760" s="13" t="s">
        <v>1385</v>
      </c>
      <c r="E760" s="14">
        <v>9240</v>
      </c>
      <c r="F760" s="15"/>
      <c r="G760" s="16">
        <v>138600</v>
      </c>
      <c r="H760" s="16">
        <v>0</v>
      </c>
      <c r="I760" s="16">
        <v>171350</v>
      </c>
      <c r="J760" s="16">
        <v>0</v>
      </c>
      <c r="K760" s="17">
        <v>0</v>
      </c>
    </row>
    <row r="761" spans="1:11" x14ac:dyDescent="0.25">
      <c r="A761" s="18">
        <v>46050</v>
      </c>
      <c r="B761" s="19">
        <v>188</v>
      </c>
      <c r="C761" s="19" t="s">
        <v>40</v>
      </c>
      <c r="D761" s="20" t="s">
        <v>1390</v>
      </c>
      <c r="E761" s="21"/>
      <c r="F761" s="22">
        <v>171350</v>
      </c>
      <c r="G761" s="23"/>
      <c r="H761" s="23">
        <v>0</v>
      </c>
      <c r="I761" s="23">
        <v>0</v>
      </c>
      <c r="J761" s="23">
        <v>0</v>
      </c>
      <c r="K761" s="24">
        <v>0</v>
      </c>
    </row>
    <row r="762" spans="1:11" x14ac:dyDescent="0.25">
      <c r="A762" s="11">
        <v>46052</v>
      </c>
      <c r="B762" s="12">
        <v>188</v>
      </c>
      <c r="C762" s="12" t="s">
        <v>40</v>
      </c>
      <c r="D762" s="13" t="s">
        <v>1385</v>
      </c>
      <c r="E762" s="14">
        <v>8400</v>
      </c>
      <c r="F762" s="15"/>
      <c r="G762" s="16">
        <v>109200</v>
      </c>
      <c r="H762" s="16">
        <v>0</v>
      </c>
      <c r="I762" s="16">
        <v>109200</v>
      </c>
      <c r="J762" s="16">
        <v>0</v>
      </c>
      <c r="K762" s="17">
        <v>109200</v>
      </c>
    </row>
    <row r="763" spans="1:11" x14ac:dyDescent="0.25">
      <c r="A763" s="18">
        <v>46045</v>
      </c>
      <c r="B763" s="19">
        <v>189</v>
      </c>
      <c r="C763" s="19" t="s">
        <v>661</v>
      </c>
      <c r="D763" s="20" t="s">
        <v>1390</v>
      </c>
      <c r="E763" s="21"/>
      <c r="F763" s="22">
        <v>108000</v>
      </c>
      <c r="G763" s="23"/>
      <c r="H763" s="23">
        <v>108000</v>
      </c>
      <c r="I763" s="23">
        <v>0</v>
      </c>
      <c r="J763" s="23">
        <v>0</v>
      </c>
      <c r="K763" s="24">
        <v>0</v>
      </c>
    </row>
    <row r="764" spans="1:11" x14ac:dyDescent="0.25">
      <c r="A764" s="11">
        <v>46045</v>
      </c>
      <c r="B764" s="12">
        <v>189</v>
      </c>
      <c r="C764" s="12" t="s">
        <v>661</v>
      </c>
      <c r="D764" s="13" t="s">
        <v>1385</v>
      </c>
      <c r="E764" s="14">
        <v>2700</v>
      </c>
      <c r="F764" s="15"/>
      <c r="G764" s="16">
        <v>108000</v>
      </c>
      <c r="H764" s="16">
        <v>0</v>
      </c>
      <c r="I764" s="16">
        <v>0</v>
      </c>
      <c r="J764" s="16">
        <v>0</v>
      </c>
      <c r="K764" s="17">
        <v>0</v>
      </c>
    </row>
    <row r="765" spans="1:11" x14ac:dyDescent="0.25">
      <c r="A765" s="18">
        <v>46062</v>
      </c>
      <c r="B765" s="19">
        <v>189</v>
      </c>
      <c r="C765" s="19" t="s">
        <v>661</v>
      </c>
      <c r="D765" s="20" t="s">
        <v>1385</v>
      </c>
      <c r="E765" s="21">
        <v>2700</v>
      </c>
      <c r="F765" s="22"/>
      <c r="G765" s="23">
        <v>108000</v>
      </c>
      <c r="H765" s="23">
        <v>0</v>
      </c>
      <c r="I765" s="23">
        <v>108000</v>
      </c>
      <c r="J765" s="23">
        <v>0</v>
      </c>
      <c r="K765" s="24">
        <v>108000</v>
      </c>
    </row>
    <row r="766" spans="1:11" x14ac:dyDescent="0.25">
      <c r="A766" s="11">
        <v>46051</v>
      </c>
      <c r="B766" s="12">
        <v>192</v>
      </c>
      <c r="C766" s="12" t="s">
        <v>649</v>
      </c>
      <c r="D766" s="13" t="s">
        <v>1385</v>
      </c>
      <c r="E766" s="14">
        <v>4050</v>
      </c>
      <c r="F766" s="15"/>
      <c r="G766" s="16">
        <v>101250</v>
      </c>
      <c r="H766" s="16">
        <v>0</v>
      </c>
      <c r="I766" s="16">
        <v>101250</v>
      </c>
      <c r="J766" s="16">
        <v>0</v>
      </c>
      <c r="K766" s="17">
        <v>0</v>
      </c>
    </row>
    <row r="767" spans="1:11" x14ac:dyDescent="0.25">
      <c r="A767" s="18">
        <v>46051</v>
      </c>
      <c r="B767" s="19">
        <v>192</v>
      </c>
      <c r="C767" s="19" t="s">
        <v>1419</v>
      </c>
      <c r="D767" s="20" t="s">
        <v>1385</v>
      </c>
      <c r="E767" s="21">
        <v>4725</v>
      </c>
      <c r="F767" s="22"/>
      <c r="G767" s="23">
        <v>118125</v>
      </c>
      <c r="H767" s="23">
        <v>0</v>
      </c>
      <c r="I767" s="23">
        <v>219375</v>
      </c>
      <c r="J767" s="23">
        <v>0</v>
      </c>
      <c r="K767" s="24">
        <v>0</v>
      </c>
    </row>
    <row r="768" spans="1:11" x14ac:dyDescent="0.25">
      <c r="A768" s="11">
        <v>46051</v>
      </c>
      <c r="B768" s="12">
        <v>192</v>
      </c>
      <c r="C768" s="12" t="s">
        <v>1420</v>
      </c>
      <c r="D768" s="13" t="s">
        <v>1385</v>
      </c>
      <c r="E768" s="14">
        <v>3080</v>
      </c>
      <c r="F768" s="15"/>
      <c r="G768" s="16">
        <v>77000</v>
      </c>
      <c r="H768" s="16">
        <v>0</v>
      </c>
      <c r="I768" s="16">
        <v>296375</v>
      </c>
      <c r="J768" s="16">
        <v>0</v>
      </c>
      <c r="K768" s="17">
        <v>0</v>
      </c>
    </row>
    <row r="769" spans="1:11" x14ac:dyDescent="0.25">
      <c r="A769" s="18">
        <v>46051</v>
      </c>
      <c r="B769" s="19">
        <v>192</v>
      </c>
      <c r="C769" s="19" t="s">
        <v>1420</v>
      </c>
      <c r="D769" s="20" t="s">
        <v>1385</v>
      </c>
      <c r="E769" s="21">
        <v>3220</v>
      </c>
      <c r="F769" s="22"/>
      <c r="G769" s="23">
        <v>80500</v>
      </c>
      <c r="H769" s="23">
        <v>0</v>
      </c>
      <c r="I769" s="23">
        <v>376875</v>
      </c>
      <c r="J769" s="23">
        <v>0</v>
      </c>
      <c r="K769" s="24">
        <v>0</v>
      </c>
    </row>
    <row r="770" spans="1:11" x14ac:dyDescent="0.25">
      <c r="A770" s="11">
        <v>46051</v>
      </c>
      <c r="B770" s="12">
        <v>192</v>
      </c>
      <c r="C770" s="12" t="s">
        <v>1421</v>
      </c>
      <c r="D770" s="13" t="s">
        <v>1385</v>
      </c>
      <c r="E770" s="14">
        <v>3600</v>
      </c>
      <c r="F770" s="15"/>
      <c r="G770" s="16">
        <v>90000</v>
      </c>
      <c r="H770" s="16">
        <v>0</v>
      </c>
      <c r="I770" s="16">
        <v>466875</v>
      </c>
      <c r="J770" s="16">
        <v>0</v>
      </c>
      <c r="K770" s="17">
        <v>0</v>
      </c>
    </row>
    <row r="771" spans="1:11" x14ac:dyDescent="0.25">
      <c r="A771" s="18">
        <v>46051</v>
      </c>
      <c r="B771" s="19">
        <v>192</v>
      </c>
      <c r="C771" s="19" t="s">
        <v>1422</v>
      </c>
      <c r="D771" s="20" t="s">
        <v>1385</v>
      </c>
      <c r="E771" s="21">
        <v>4725</v>
      </c>
      <c r="F771" s="22"/>
      <c r="G771" s="23">
        <v>118125</v>
      </c>
      <c r="H771" s="23">
        <v>0</v>
      </c>
      <c r="I771" s="23">
        <v>585000</v>
      </c>
      <c r="J771" s="23">
        <v>0</v>
      </c>
      <c r="K771" s="24">
        <v>0</v>
      </c>
    </row>
    <row r="772" spans="1:11" x14ac:dyDescent="0.25">
      <c r="A772" s="11">
        <v>46051</v>
      </c>
      <c r="B772" s="12">
        <v>192</v>
      </c>
      <c r="C772" s="12" t="s">
        <v>1423</v>
      </c>
      <c r="D772" s="13" t="s">
        <v>1385</v>
      </c>
      <c r="E772" s="14">
        <v>2700</v>
      </c>
      <c r="F772" s="15"/>
      <c r="G772" s="16">
        <v>67500</v>
      </c>
      <c r="H772" s="16">
        <v>0</v>
      </c>
      <c r="I772" s="16">
        <v>652500</v>
      </c>
      <c r="J772" s="16">
        <v>0</v>
      </c>
      <c r="K772" s="17">
        <v>0</v>
      </c>
    </row>
    <row r="773" spans="1:11" x14ac:dyDescent="0.25">
      <c r="A773" s="18">
        <v>46051</v>
      </c>
      <c r="B773" s="19">
        <v>192</v>
      </c>
      <c r="C773" s="19" t="s">
        <v>1424</v>
      </c>
      <c r="D773" s="20" t="s">
        <v>1385</v>
      </c>
      <c r="E773" s="21">
        <v>3150</v>
      </c>
      <c r="F773" s="22"/>
      <c r="G773" s="23">
        <v>78750</v>
      </c>
      <c r="H773" s="23">
        <v>0</v>
      </c>
      <c r="I773" s="23">
        <v>731250</v>
      </c>
      <c r="J773" s="23">
        <v>0</v>
      </c>
      <c r="K773" s="24">
        <v>0</v>
      </c>
    </row>
    <row r="774" spans="1:11" x14ac:dyDescent="0.25">
      <c r="A774" s="11">
        <v>46052</v>
      </c>
      <c r="B774" s="12">
        <v>192</v>
      </c>
      <c r="C774" s="12" t="s">
        <v>649</v>
      </c>
      <c r="D774" s="13" t="s">
        <v>1384</v>
      </c>
      <c r="E774" s="14"/>
      <c r="F774" s="15">
        <v>731250</v>
      </c>
      <c r="G774" s="16"/>
      <c r="H774" s="16">
        <v>0</v>
      </c>
      <c r="I774" s="16">
        <v>0</v>
      </c>
      <c r="J774" s="16">
        <v>0</v>
      </c>
      <c r="K774" s="17">
        <v>0</v>
      </c>
    </row>
    <row r="775" spans="1:11" x14ac:dyDescent="0.25">
      <c r="A775" s="18">
        <v>46066</v>
      </c>
      <c r="B775" s="19">
        <v>192</v>
      </c>
      <c r="C775" s="19" t="s">
        <v>649</v>
      </c>
      <c r="D775" s="20" t="s">
        <v>1384</v>
      </c>
      <c r="E775" s="21"/>
      <c r="F775" s="22">
        <v>731250</v>
      </c>
      <c r="G775" s="23"/>
      <c r="H775" s="23">
        <v>731250</v>
      </c>
      <c r="I775" s="23">
        <v>0</v>
      </c>
      <c r="J775" s="23">
        <v>0</v>
      </c>
      <c r="K775" s="24">
        <v>0</v>
      </c>
    </row>
    <row r="776" spans="1:11" x14ac:dyDescent="0.25">
      <c r="A776" s="11">
        <v>46066</v>
      </c>
      <c r="B776" s="12">
        <v>192</v>
      </c>
      <c r="C776" s="12" t="s">
        <v>649</v>
      </c>
      <c r="D776" s="13" t="s">
        <v>1385</v>
      </c>
      <c r="E776" s="14">
        <v>4050</v>
      </c>
      <c r="F776" s="15"/>
      <c r="G776" s="16">
        <v>101250</v>
      </c>
      <c r="H776" s="16">
        <v>630000</v>
      </c>
      <c r="I776" s="16">
        <v>0</v>
      </c>
      <c r="J776" s="16">
        <v>0</v>
      </c>
      <c r="K776" s="17">
        <v>0</v>
      </c>
    </row>
    <row r="777" spans="1:11" x14ac:dyDescent="0.25">
      <c r="A777" s="18">
        <v>46066</v>
      </c>
      <c r="B777" s="19">
        <v>192</v>
      </c>
      <c r="C777" s="19" t="s">
        <v>1419</v>
      </c>
      <c r="D777" s="20" t="s">
        <v>1385</v>
      </c>
      <c r="E777" s="21">
        <v>4725</v>
      </c>
      <c r="F777" s="22"/>
      <c r="G777" s="23">
        <v>118125</v>
      </c>
      <c r="H777" s="23">
        <v>511875</v>
      </c>
      <c r="I777" s="23">
        <v>0</v>
      </c>
      <c r="J777" s="23">
        <v>0</v>
      </c>
      <c r="K777" s="24">
        <v>0</v>
      </c>
    </row>
    <row r="778" spans="1:11" x14ac:dyDescent="0.25">
      <c r="A778" s="11">
        <v>46066</v>
      </c>
      <c r="B778" s="12">
        <v>192</v>
      </c>
      <c r="C778" s="12" t="s">
        <v>1420</v>
      </c>
      <c r="D778" s="13" t="s">
        <v>1385</v>
      </c>
      <c r="E778" s="14">
        <v>3220</v>
      </c>
      <c r="F778" s="15"/>
      <c r="G778" s="16">
        <v>80500</v>
      </c>
      <c r="H778" s="16">
        <v>431375</v>
      </c>
      <c r="I778" s="16">
        <v>0</v>
      </c>
      <c r="J778" s="16">
        <v>0</v>
      </c>
      <c r="K778" s="17">
        <v>0</v>
      </c>
    </row>
    <row r="779" spans="1:11" x14ac:dyDescent="0.25">
      <c r="A779" s="18">
        <v>46066</v>
      </c>
      <c r="B779" s="19">
        <v>192</v>
      </c>
      <c r="C779" s="19" t="s">
        <v>1420</v>
      </c>
      <c r="D779" s="20" t="s">
        <v>1385</v>
      </c>
      <c r="E779" s="21">
        <v>3080</v>
      </c>
      <c r="F779" s="22"/>
      <c r="G779" s="23">
        <v>77000</v>
      </c>
      <c r="H779" s="23">
        <v>354375</v>
      </c>
      <c r="I779" s="23">
        <v>0</v>
      </c>
      <c r="J779" s="23">
        <v>0</v>
      </c>
      <c r="K779" s="24">
        <v>0</v>
      </c>
    </row>
    <row r="780" spans="1:11" x14ac:dyDescent="0.25">
      <c r="A780" s="11">
        <v>46066</v>
      </c>
      <c r="B780" s="12">
        <v>192</v>
      </c>
      <c r="C780" s="12" t="s">
        <v>1421</v>
      </c>
      <c r="D780" s="13" t="s">
        <v>1385</v>
      </c>
      <c r="E780" s="14">
        <v>3600</v>
      </c>
      <c r="F780" s="15"/>
      <c r="G780" s="16">
        <v>90000</v>
      </c>
      <c r="H780" s="16">
        <v>264375</v>
      </c>
      <c r="I780" s="16">
        <v>0</v>
      </c>
      <c r="J780" s="16">
        <v>0</v>
      </c>
      <c r="K780" s="17">
        <v>0</v>
      </c>
    </row>
    <row r="781" spans="1:11" x14ac:dyDescent="0.25">
      <c r="A781" s="18">
        <v>46066</v>
      </c>
      <c r="B781" s="19">
        <v>192</v>
      </c>
      <c r="C781" s="19" t="s">
        <v>1422</v>
      </c>
      <c r="D781" s="20" t="s">
        <v>1385</v>
      </c>
      <c r="E781" s="21">
        <v>4725</v>
      </c>
      <c r="F781" s="22"/>
      <c r="G781" s="23">
        <v>118125</v>
      </c>
      <c r="H781" s="23">
        <v>146250</v>
      </c>
      <c r="I781" s="23">
        <v>0</v>
      </c>
      <c r="J781" s="23">
        <v>0</v>
      </c>
      <c r="K781" s="24">
        <v>0</v>
      </c>
    </row>
    <row r="782" spans="1:11" x14ac:dyDescent="0.25">
      <c r="A782" s="11">
        <v>46066</v>
      </c>
      <c r="B782" s="12">
        <v>192</v>
      </c>
      <c r="C782" s="12" t="s">
        <v>1423</v>
      </c>
      <c r="D782" s="13" t="s">
        <v>1385</v>
      </c>
      <c r="E782" s="14">
        <v>2700</v>
      </c>
      <c r="F782" s="15"/>
      <c r="G782" s="16">
        <v>67500</v>
      </c>
      <c r="H782" s="16">
        <v>78750</v>
      </c>
      <c r="I782" s="16">
        <v>0</v>
      </c>
      <c r="J782" s="16">
        <v>0</v>
      </c>
      <c r="K782" s="17">
        <v>0</v>
      </c>
    </row>
    <row r="783" spans="1:11" x14ac:dyDescent="0.25">
      <c r="A783" s="18">
        <v>46066</v>
      </c>
      <c r="B783" s="19">
        <v>192</v>
      </c>
      <c r="C783" s="19" t="s">
        <v>1424</v>
      </c>
      <c r="D783" s="20" t="s">
        <v>1385</v>
      </c>
      <c r="E783" s="21">
        <v>3150</v>
      </c>
      <c r="F783" s="22"/>
      <c r="G783" s="23">
        <v>78750</v>
      </c>
      <c r="H783" s="23">
        <v>0</v>
      </c>
      <c r="I783" s="23">
        <v>0</v>
      </c>
      <c r="J783" s="23">
        <v>0</v>
      </c>
      <c r="K783" s="24">
        <v>0</v>
      </c>
    </row>
    <row r="784" spans="1:11" x14ac:dyDescent="0.25">
      <c r="A784" s="11">
        <v>46039</v>
      </c>
      <c r="B784" s="12">
        <v>193</v>
      </c>
      <c r="C784" s="12" t="s">
        <v>58</v>
      </c>
      <c r="D784" s="13"/>
      <c r="E784" s="14"/>
      <c r="F784" s="15">
        <v>105000</v>
      </c>
      <c r="G784" s="16"/>
      <c r="H784" s="16">
        <v>105000</v>
      </c>
      <c r="I784" s="16">
        <v>0</v>
      </c>
      <c r="J784" s="16">
        <v>0</v>
      </c>
      <c r="K784" s="17">
        <v>0</v>
      </c>
    </row>
    <row r="785" spans="1:11" x14ac:dyDescent="0.25">
      <c r="A785" s="18">
        <v>46040</v>
      </c>
      <c r="B785" s="19">
        <v>193</v>
      </c>
      <c r="C785" s="19" t="s">
        <v>58</v>
      </c>
      <c r="D785" s="20" t="s">
        <v>1385</v>
      </c>
      <c r="E785" s="21">
        <v>5000</v>
      </c>
      <c r="F785" s="22"/>
      <c r="G785" s="23">
        <v>105000</v>
      </c>
      <c r="H785" s="23">
        <v>0</v>
      </c>
      <c r="I785" s="23">
        <v>0</v>
      </c>
      <c r="J785" s="23">
        <v>0</v>
      </c>
      <c r="K785" s="24">
        <v>0</v>
      </c>
    </row>
    <row r="786" spans="1:11" x14ac:dyDescent="0.25">
      <c r="A786" s="11">
        <v>46050</v>
      </c>
      <c r="B786" s="12">
        <v>194</v>
      </c>
      <c r="C786" s="12" t="s">
        <v>645</v>
      </c>
      <c r="D786" s="13" t="s">
        <v>1385</v>
      </c>
      <c r="E786" s="14">
        <v>4200</v>
      </c>
      <c r="F786" s="15"/>
      <c r="G786" s="16">
        <v>101298</v>
      </c>
      <c r="H786" s="16">
        <v>0</v>
      </c>
      <c r="I786" s="16">
        <v>101298</v>
      </c>
      <c r="J786" s="16">
        <v>0</v>
      </c>
      <c r="K786" s="17">
        <v>0</v>
      </c>
    </row>
    <row r="787" spans="1:11" x14ac:dyDescent="0.25">
      <c r="A787" s="18">
        <v>46050</v>
      </c>
      <c r="B787" s="19">
        <v>194</v>
      </c>
      <c r="C787" s="19" t="s">
        <v>1425</v>
      </c>
      <c r="D787" s="20" t="s">
        <v>1385</v>
      </c>
      <c r="E787" s="21">
        <v>4940</v>
      </c>
      <c r="F787" s="22"/>
      <c r="G787" s="23">
        <v>170208</v>
      </c>
      <c r="H787" s="23">
        <v>0</v>
      </c>
      <c r="I787" s="23">
        <v>271506</v>
      </c>
      <c r="J787" s="23">
        <v>0</v>
      </c>
      <c r="K787" s="24">
        <v>0</v>
      </c>
    </row>
    <row r="788" spans="1:11" x14ac:dyDescent="0.25">
      <c r="A788" s="11">
        <v>46050</v>
      </c>
      <c r="B788" s="12">
        <v>194</v>
      </c>
      <c r="C788" s="12" t="s">
        <v>1426</v>
      </c>
      <c r="D788" s="13" t="s">
        <v>1385</v>
      </c>
      <c r="E788" s="14">
        <v>960</v>
      </c>
      <c r="F788" s="15"/>
      <c r="G788" s="16">
        <v>33081</v>
      </c>
      <c r="H788" s="16">
        <v>0</v>
      </c>
      <c r="I788" s="16">
        <v>304587</v>
      </c>
      <c r="J788" s="16">
        <v>0</v>
      </c>
      <c r="K788" s="17">
        <v>0</v>
      </c>
    </row>
    <row r="789" spans="1:11" x14ac:dyDescent="0.25">
      <c r="A789" s="18">
        <v>46052</v>
      </c>
      <c r="B789" s="19">
        <v>194</v>
      </c>
      <c r="C789" s="19" t="s">
        <v>645</v>
      </c>
      <c r="D789" s="20" t="s">
        <v>1399</v>
      </c>
      <c r="E789" s="21"/>
      <c r="F789" s="22">
        <v>304600</v>
      </c>
      <c r="G789" s="23"/>
      <c r="H789" s="23">
        <v>13</v>
      </c>
      <c r="I789" s="23">
        <v>0</v>
      </c>
      <c r="J789" s="23">
        <v>0</v>
      </c>
      <c r="K789" s="24">
        <v>0</v>
      </c>
    </row>
    <row r="790" spans="1:11" x14ac:dyDescent="0.25">
      <c r="A790" s="11">
        <v>46066</v>
      </c>
      <c r="B790" s="12">
        <v>194</v>
      </c>
      <c r="C790" s="12" t="s">
        <v>645</v>
      </c>
      <c r="D790" s="13" t="s">
        <v>1385</v>
      </c>
      <c r="E790" s="14">
        <v>4200</v>
      </c>
      <c r="F790" s="15"/>
      <c r="G790" s="16">
        <v>144711</v>
      </c>
      <c r="H790" s="16">
        <v>0</v>
      </c>
      <c r="I790" s="16">
        <v>144698</v>
      </c>
      <c r="J790" s="16">
        <v>0</v>
      </c>
      <c r="K790" s="17">
        <v>0</v>
      </c>
    </row>
    <row r="791" spans="1:11" x14ac:dyDescent="0.25">
      <c r="A791" s="18">
        <v>46066</v>
      </c>
      <c r="B791" s="19">
        <v>194</v>
      </c>
      <c r="C791" s="19" t="s">
        <v>1425</v>
      </c>
      <c r="D791" s="20" t="s">
        <v>1385</v>
      </c>
      <c r="E791" s="21">
        <v>4940</v>
      </c>
      <c r="F791" s="22"/>
      <c r="G791" s="23">
        <v>170208</v>
      </c>
      <c r="H791" s="23">
        <v>0</v>
      </c>
      <c r="I791" s="23">
        <v>314906</v>
      </c>
      <c r="J791" s="23">
        <v>0</v>
      </c>
      <c r="K791" s="24">
        <v>0</v>
      </c>
    </row>
    <row r="792" spans="1:11" x14ac:dyDescent="0.25">
      <c r="A792" s="11">
        <v>46066</v>
      </c>
      <c r="B792" s="12">
        <v>194</v>
      </c>
      <c r="C792" s="12" t="s">
        <v>1426</v>
      </c>
      <c r="D792" s="13" t="s">
        <v>1385</v>
      </c>
      <c r="E792" s="14">
        <v>960</v>
      </c>
      <c r="F792" s="15"/>
      <c r="G792" s="16">
        <v>33077</v>
      </c>
      <c r="H792" s="16">
        <v>0</v>
      </c>
      <c r="I792" s="16">
        <v>347983</v>
      </c>
      <c r="J792" s="16">
        <v>0</v>
      </c>
      <c r="K792" s="17">
        <v>347983</v>
      </c>
    </row>
    <row r="793" spans="1:11" x14ac:dyDescent="0.25">
      <c r="A793" s="18">
        <v>46045</v>
      </c>
      <c r="B793" s="19">
        <v>195</v>
      </c>
      <c r="C793" s="19" t="s">
        <v>641</v>
      </c>
      <c r="D793" s="20" t="s">
        <v>1384</v>
      </c>
      <c r="E793" s="21"/>
      <c r="F793" s="22">
        <v>56700</v>
      </c>
      <c r="G793" s="23"/>
      <c r="H793" s="23">
        <v>56700</v>
      </c>
      <c r="I793" s="23">
        <v>0</v>
      </c>
      <c r="J793" s="23">
        <v>0</v>
      </c>
      <c r="K793" s="24">
        <v>0</v>
      </c>
    </row>
    <row r="794" spans="1:11" x14ac:dyDescent="0.25">
      <c r="A794" s="11">
        <v>46045</v>
      </c>
      <c r="B794" s="12">
        <v>195</v>
      </c>
      <c r="C794" s="12" t="s">
        <v>641</v>
      </c>
      <c r="D794" s="13" t="s">
        <v>1385</v>
      </c>
      <c r="E794" s="14">
        <v>1260</v>
      </c>
      <c r="F794" s="15"/>
      <c r="G794" s="16">
        <v>56700</v>
      </c>
      <c r="H794" s="16">
        <v>0</v>
      </c>
      <c r="I794" s="16">
        <v>0</v>
      </c>
      <c r="J794" s="16">
        <v>0</v>
      </c>
      <c r="K794" s="17">
        <v>0</v>
      </c>
    </row>
    <row r="795" spans="1:11" x14ac:dyDescent="0.25">
      <c r="A795" s="18">
        <v>46052</v>
      </c>
      <c r="B795" s="19">
        <v>195</v>
      </c>
      <c r="C795" s="19" t="s">
        <v>641</v>
      </c>
      <c r="D795" s="20" t="s">
        <v>1385</v>
      </c>
      <c r="E795" s="21">
        <v>1260</v>
      </c>
      <c r="F795" s="22"/>
      <c r="G795" s="23">
        <v>56700</v>
      </c>
      <c r="H795" s="23">
        <v>0</v>
      </c>
      <c r="I795" s="23">
        <v>56700</v>
      </c>
      <c r="J795" s="23">
        <v>0</v>
      </c>
      <c r="K795" s="24">
        <v>0</v>
      </c>
    </row>
    <row r="796" spans="1:11" x14ac:dyDescent="0.25">
      <c r="A796" s="11">
        <v>46054</v>
      </c>
      <c r="B796" s="12">
        <v>195</v>
      </c>
      <c r="C796" s="12" t="s">
        <v>641</v>
      </c>
      <c r="D796" s="13" t="s">
        <v>1384</v>
      </c>
      <c r="E796" s="14"/>
      <c r="F796" s="15">
        <v>56700</v>
      </c>
      <c r="G796" s="16"/>
      <c r="H796" s="16">
        <v>0</v>
      </c>
      <c r="I796" s="16">
        <v>0</v>
      </c>
      <c r="J796" s="16">
        <v>0</v>
      </c>
      <c r="K796" s="17">
        <v>0</v>
      </c>
    </row>
    <row r="797" spans="1:11" x14ac:dyDescent="0.25">
      <c r="A797" s="18">
        <v>46059</v>
      </c>
      <c r="B797" s="19">
        <v>195</v>
      </c>
      <c r="C797" s="19" t="s">
        <v>641</v>
      </c>
      <c r="D797" s="20" t="s">
        <v>1385</v>
      </c>
      <c r="E797" s="21">
        <v>1260</v>
      </c>
      <c r="F797" s="22"/>
      <c r="G797" s="23">
        <v>56700</v>
      </c>
      <c r="H797" s="23">
        <v>0</v>
      </c>
      <c r="I797" s="23">
        <v>56700</v>
      </c>
      <c r="J797" s="23">
        <v>0</v>
      </c>
      <c r="K797" s="24">
        <v>0</v>
      </c>
    </row>
    <row r="798" spans="1:11" x14ac:dyDescent="0.25">
      <c r="A798" s="11">
        <v>46059</v>
      </c>
      <c r="B798" s="12">
        <v>195</v>
      </c>
      <c r="C798" s="12" t="s">
        <v>641</v>
      </c>
      <c r="D798" s="13" t="s">
        <v>1384</v>
      </c>
      <c r="E798" s="14"/>
      <c r="F798" s="15">
        <v>56700</v>
      </c>
      <c r="G798" s="16"/>
      <c r="H798" s="16">
        <v>0</v>
      </c>
      <c r="I798" s="16">
        <v>0</v>
      </c>
      <c r="J798" s="16">
        <v>0</v>
      </c>
      <c r="K798" s="17">
        <v>0</v>
      </c>
    </row>
    <row r="799" spans="1:11" x14ac:dyDescent="0.25">
      <c r="A799" s="18">
        <v>46066</v>
      </c>
      <c r="B799" s="19">
        <v>195</v>
      </c>
      <c r="C799" s="19" t="s">
        <v>641</v>
      </c>
      <c r="D799" s="20" t="s">
        <v>1383</v>
      </c>
      <c r="E799" s="21">
        <v>200</v>
      </c>
      <c r="F799" s="22"/>
      <c r="G799" s="23">
        <v>19000</v>
      </c>
      <c r="H799" s="23">
        <v>0</v>
      </c>
      <c r="I799" s="23">
        <v>19000</v>
      </c>
      <c r="J799" s="23">
        <v>0</v>
      </c>
      <c r="K799" s="24">
        <v>0</v>
      </c>
    </row>
    <row r="800" spans="1:11" x14ac:dyDescent="0.25">
      <c r="A800" s="11">
        <v>46066</v>
      </c>
      <c r="B800" s="12">
        <v>195</v>
      </c>
      <c r="C800" s="12" t="s">
        <v>641</v>
      </c>
      <c r="D800" s="13" t="s">
        <v>1385</v>
      </c>
      <c r="E800" s="14">
        <v>1260</v>
      </c>
      <c r="F800" s="15"/>
      <c r="G800" s="16">
        <v>56700</v>
      </c>
      <c r="H800" s="16">
        <v>0</v>
      </c>
      <c r="I800" s="16">
        <v>75700</v>
      </c>
      <c r="J800" s="16">
        <v>0</v>
      </c>
      <c r="K800" s="17">
        <v>0</v>
      </c>
    </row>
    <row r="801" spans="1:11" x14ac:dyDescent="0.25">
      <c r="A801" s="18">
        <v>46068</v>
      </c>
      <c r="B801" s="19">
        <v>195</v>
      </c>
      <c r="C801" s="19" t="s">
        <v>641</v>
      </c>
      <c r="D801" s="20" t="s">
        <v>1384</v>
      </c>
      <c r="E801" s="21"/>
      <c r="F801" s="22">
        <v>75700</v>
      </c>
      <c r="G801" s="23"/>
      <c r="H801" s="23">
        <v>0</v>
      </c>
      <c r="I801" s="23">
        <v>0</v>
      </c>
      <c r="J801" s="23">
        <v>0</v>
      </c>
      <c r="K801" s="24">
        <v>0</v>
      </c>
    </row>
    <row r="802" spans="1:11" x14ac:dyDescent="0.25">
      <c r="A802" s="11">
        <v>46039</v>
      </c>
      <c r="B802" s="12">
        <v>198</v>
      </c>
      <c r="C802" s="12" t="s">
        <v>629</v>
      </c>
      <c r="D802" s="13"/>
      <c r="E802" s="14"/>
      <c r="F802" s="15"/>
      <c r="G802" s="16">
        <v>187034</v>
      </c>
      <c r="H802" s="16">
        <v>0</v>
      </c>
      <c r="I802" s="16">
        <v>187034</v>
      </c>
      <c r="J802" s="16">
        <v>0</v>
      </c>
      <c r="K802" s="17">
        <v>0</v>
      </c>
    </row>
    <row r="803" spans="1:11" x14ac:dyDescent="0.25">
      <c r="A803" s="18">
        <v>46047</v>
      </c>
      <c r="B803" s="19">
        <v>198</v>
      </c>
      <c r="C803" s="19" t="s">
        <v>629</v>
      </c>
      <c r="D803" s="20" t="s">
        <v>1384</v>
      </c>
      <c r="E803" s="21"/>
      <c r="F803" s="22">
        <v>374000</v>
      </c>
      <c r="G803" s="23"/>
      <c r="H803" s="23">
        <v>186966</v>
      </c>
      <c r="I803" s="23">
        <v>0</v>
      </c>
      <c r="J803" s="23">
        <v>0</v>
      </c>
      <c r="K803" s="24">
        <v>0</v>
      </c>
    </row>
    <row r="804" spans="1:11" x14ac:dyDescent="0.25">
      <c r="A804" s="11">
        <v>46049</v>
      </c>
      <c r="B804" s="12">
        <v>198</v>
      </c>
      <c r="C804" s="12" t="s">
        <v>629</v>
      </c>
      <c r="D804" s="13" t="s">
        <v>1385</v>
      </c>
      <c r="E804" s="14">
        <v>9000</v>
      </c>
      <c r="F804" s="15"/>
      <c r="G804" s="16">
        <v>225000</v>
      </c>
      <c r="H804" s="16">
        <v>0</v>
      </c>
      <c r="I804" s="16">
        <v>38034</v>
      </c>
      <c r="J804" s="16">
        <v>0</v>
      </c>
      <c r="K804" s="17">
        <v>0</v>
      </c>
    </row>
    <row r="805" spans="1:11" x14ac:dyDescent="0.25">
      <c r="A805" s="18">
        <v>46065</v>
      </c>
      <c r="B805" s="19">
        <v>198</v>
      </c>
      <c r="C805" s="19" t="s">
        <v>629</v>
      </c>
      <c r="D805" s="20" t="s">
        <v>1385</v>
      </c>
      <c r="E805" s="21">
        <v>9000</v>
      </c>
      <c r="F805" s="22"/>
      <c r="G805" s="23">
        <v>225000</v>
      </c>
      <c r="H805" s="23">
        <v>0</v>
      </c>
      <c r="I805" s="23">
        <v>263034</v>
      </c>
      <c r="J805" s="23">
        <v>0</v>
      </c>
      <c r="K805" s="24">
        <v>263034</v>
      </c>
    </row>
    <row r="806" spans="1:11" x14ac:dyDescent="0.25">
      <c r="A806" s="11">
        <v>46039</v>
      </c>
      <c r="B806" s="12">
        <v>199</v>
      </c>
      <c r="C806" s="12" t="s">
        <v>624</v>
      </c>
      <c r="D806" s="13"/>
      <c r="E806" s="14"/>
      <c r="F806" s="15">
        <v>0</v>
      </c>
      <c r="G806" s="16"/>
      <c r="H806" s="16">
        <v>0</v>
      </c>
      <c r="I806" s="16">
        <v>0</v>
      </c>
      <c r="J806" s="16">
        <v>0</v>
      </c>
      <c r="K806" s="17">
        <v>0</v>
      </c>
    </row>
    <row r="807" spans="1:11" x14ac:dyDescent="0.25">
      <c r="A807" s="18">
        <v>46049</v>
      </c>
      <c r="B807" s="19">
        <v>199</v>
      </c>
      <c r="C807" s="19" t="s">
        <v>624</v>
      </c>
      <c r="D807" s="20" t="s">
        <v>1385</v>
      </c>
      <c r="E807" s="21">
        <v>2250</v>
      </c>
      <c r="F807" s="22"/>
      <c r="G807" s="23">
        <v>72000</v>
      </c>
      <c r="H807" s="23">
        <v>0</v>
      </c>
      <c r="I807" s="23">
        <v>72000</v>
      </c>
      <c r="J807" s="23">
        <v>0</v>
      </c>
      <c r="K807" s="24">
        <v>0</v>
      </c>
    </row>
    <row r="808" spans="1:11" x14ac:dyDescent="0.25">
      <c r="A808" s="11">
        <v>46049</v>
      </c>
      <c r="B808" s="12">
        <v>199</v>
      </c>
      <c r="C808" s="12" t="s">
        <v>1427</v>
      </c>
      <c r="D808" s="13" t="s">
        <v>1383</v>
      </c>
      <c r="E808" s="14">
        <v>200</v>
      </c>
      <c r="F808" s="15"/>
      <c r="G808" s="16">
        <v>19000</v>
      </c>
      <c r="H808" s="16">
        <v>0</v>
      </c>
      <c r="I808" s="16">
        <v>91000</v>
      </c>
      <c r="J808" s="16">
        <v>0</v>
      </c>
      <c r="K808" s="17">
        <v>0</v>
      </c>
    </row>
    <row r="809" spans="1:11" x14ac:dyDescent="0.25">
      <c r="A809" s="18">
        <v>46049</v>
      </c>
      <c r="B809" s="19">
        <v>199</v>
      </c>
      <c r="C809" s="19" t="s">
        <v>1427</v>
      </c>
      <c r="D809" s="20" t="s">
        <v>1385</v>
      </c>
      <c r="E809" s="21">
        <v>2550</v>
      </c>
      <c r="F809" s="22"/>
      <c r="G809" s="23">
        <v>81600</v>
      </c>
      <c r="H809" s="23">
        <v>0</v>
      </c>
      <c r="I809" s="23">
        <v>172600</v>
      </c>
      <c r="J809" s="23">
        <v>0</v>
      </c>
      <c r="K809" s="24">
        <v>0</v>
      </c>
    </row>
    <row r="810" spans="1:11" x14ac:dyDescent="0.25">
      <c r="A810" s="11">
        <v>46052</v>
      </c>
      <c r="B810" s="12">
        <v>199</v>
      </c>
      <c r="C810" s="12" t="s">
        <v>624</v>
      </c>
      <c r="D810" s="13" t="s">
        <v>1384</v>
      </c>
      <c r="E810" s="14"/>
      <c r="F810" s="15">
        <v>172600</v>
      </c>
      <c r="G810" s="16"/>
      <c r="H810" s="16">
        <v>0</v>
      </c>
      <c r="I810" s="16">
        <v>0</v>
      </c>
      <c r="J810" s="16">
        <v>0</v>
      </c>
      <c r="K810" s="17">
        <v>0</v>
      </c>
    </row>
    <row r="811" spans="1:11" x14ac:dyDescent="0.25">
      <c r="A811" s="18">
        <v>46062</v>
      </c>
      <c r="B811" s="19">
        <v>199</v>
      </c>
      <c r="C811" s="19" t="s">
        <v>624</v>
      </c>
      <c r="D811" s="20" t="s">
        <v>1385</v>
      </c>
      <c r="E811" s="21">
        <v>2250</v>
      </c>
      <c r="F811" s="22"/>
      <c r="G811" s="23">
        <v>72000</v>
      </c>
      <c r="H811" s="23">
        <v>0</v>
      </c>
      <c r="I811" s="23">
        <v>72000</v>
      </c>
      <c r="J811" s="23">
        <v>0</v>
      </c>
      <c r="K811" s="24">
        <v>0</v>
      </c>
    </row>
    <row r="812" spans="1:11" x14ac:dyDescent="0.25">
      <c r="A812" s="11">
        <v>46062</v>
      </c>
      <c r="B812" s="12">
        <v>199</v>
      </c>
      <c r="C812" s="12" t="s">
        <v>1427</v>
      </c>
      <c r="D812" s="13" t="s">
        <v>1383</v>
      </c>
      <c r="E812" s="14">
        <v>400</v>
      </c>
      <c r="F812" s="15"/>
      <c r="G812" s="16">
        <v>12800</v>
      </c>
      <c r="H812" s="16">
        <v>0</v>
      </c>
      <c r="I812" s="16">
        <v>84800</v>
      </c>
      <c r="J812" s="16">
        <v>0</v>
      </c>
      <c r="K812" s="17">
        <v>0</v>
      </c>
    </row>
    <row r="813" spans="1:11" x14ac:dyDescent="0.25">
      <c r="A813" s="18">
        <v>46062</v>
      </c>
      <c r="B813" s="19">
        <v>199</v>
      </c>
      <c r="C813" s="19" t="s">
        <v>1427</v>
      </c>
      <c r="D813" s="20" t="s">
        <v>1385</v>
      </c>
      <c r="E813" s="21">
        <v>2550</v>
      </c>
      <c r="F813" s="22"/>
      <c r="G813" s="23">
        <v>81600</v>
      </c>
      <c r="H813" s="23">
        <v>0</v>
      </c>
      <c r="I813" s="23">
        <v>166400</v>
      </c>
      <c r="J813" s="23">
        <v>0</v>
      </c>
      <c r="K813" s="24">
        <v>0</v>
      </c>
    </row>
    <row r="814" spans="1:11" x14ac:dyDescent="0.25">
      <c r="A814" s="11">
        <v>46069</v>
      </c>
      <c r="B814" s="12">
        <v>199</v>
      </c>
      <c r="C814" s="12" t="s">
        <v>624</v>
      </c>
      <c r="D814" s="13" t="s">
        <v>1384</v>
      </c>
      <c r="E814" s="14"/>
      <c r="F814" s="15">
        <v>172600</v>
      </c>
      <c r="G814" s="16"/>
      <c r="H814" s="16">
        <v>6200</v>
      </c>
      <c r="I814" s="16">
        <v>0</v>
      </c>
      <c r="J814" s="16">
        <v>6200</v>
      </c>
      <c r="K814" s="17">
        <v>0</v>
      </c>
    </row>
    <row r="815" spans="1:11" x14ac:dyDescent="0.25">
      <c r="A815" s="18">
        <v>46052</v>
      </c>
      <c r="B815" s="19">
        <v>200</v>
      </c>
      <c r="C815" s="19" t="s">
        <v>620</v>
      </c>
      <c r="D815" s="20" t="s">
        <v>1385</v>
      </c>
      <c r="E815" s="21">
        <v>1800</v>
      </c>
      <c r="F815" s="22"/>
      <c r="G815" s="23">
        <v>77400</v>
      </c>
      <c r="H815" s="23">
        <v>0</v>
      </c>
      <c r="I815" s="23">
        <v>77400</v>
      </c>
      <c r="J815" s="23">
        <v>0</v>
      </c>
      <c r="K815" s="24">
        <v>0</v>
      </c>
    </row>
    <row r="816" spans="1:11" x14ac:dyDescent="0.25">
      <c r="A816" s="11">
        <v>46062</v>
      </c>
      <c r="B816" s="12">
        <v>200</v>
      </c>
      <c r="C816" s="12" t="s">
        <v>620</v>
      </c>
      <c r="D816" s="13" t="s">
        <v>1384</v>
      </c>
      <c r="E816" s="14"/>
      <c r="F816" s="15">
        <v>77400</v>
      </c>
      <c r="G816" s="16"/>
      <c r="H816" s="16">
        <v>0</v>
      </c>
      <c r="I816" s="16">
        <v>0</v>
      </c>
      <c r="J816" s="16">
        <v>0</v>
      </c>
      <c r="K816" s="17">
        <v>0</v>
      </c>
    </row>
    <row r="817" spans="1:11" x14ac:dyDescent="0.25">
      <c r="A817" s="18">
        <v>46071</v>
      </c>
      <c r="B817" s="19">
        <v>200</v>
      </c>
      <c r="C817" s="19" t="s">
        <v>620</v>
      </c>
      <c r="D817" s="20" t="s">
        <v>1385</v>
      </c>
      <c r="E817" s="21">
        <v>1800</v>
      </c>
      <c r="F817" s="22"/>
      <c r="G817" s="23">
        <v>77400</v>
      </c>
      <c r="H817" s="23">
        <v>0</v>
      </c>
      <c r="I817" s="23">
        <v>77400</v>
      </c>
      <c r="J817" s="23">
        <v>0</v>
      </c>
      <c r="K817" s="24">
        <v>77400</v>
      </c>
    </row>
    <row r="818" spans="1:11" x14ac:dyDescent="0.25">
      <c r="A818" s="11">
        <v>46044</v>
      </c>
      <c r="B818" s="12">
        <v>201</v>
      </c>
      <c r="C818" s="12" t="s">
        <v>616</v>
      </c>
      <c r="D818" s="13" t="s">
        <v>1384</v>
      </c>
      <c r="E818" s="14"/>
      <c r="F818" s="15">
        <v>130000</v>
      </c>
      <c r="G818" s="16"/>
      <c r="H818" s="16">
        <v>130000</v>
      </c>
      <c r="I818" s="16">
        <v>0</v>
      </c>
      <c r="J818" s="16">
        <v>0</v>
      </c>
      <c r="K818" s="17">
        <v>0</v>
      </c>
    </row>
    <row r="819" spans="1:11" x14ac:dyDescent="0.25">
      <c r="A819" s="18">
        <v>46044</v>
      </c>
      <c r="B819" s="19">
        <v>201</v>
      </c>
      <c r="C819" s="19" t="s">
        <v>616</v>
      </c>
      <c r="D819" s="20" t="s">
        <v>1385</v>
      </c>
      <c r="E819" s="21">
        <v>2700</v>
      </c>
      <c r="F819" s="22"/>
      <c r="G819" s="23">
        <v>130000</v>
      </c>
      <c r="H819" s="23">
        <v>0</v>
      </c>
      <c r="I819" s="23">
        <v>0</v>
      </c>
      <c r="J819" s="23">
        <v>0</v>
      </c>
      <c r="K819" s="24">
        <v>0</v>
      </c>
    </row>
    <row r="820" spans="1:11" x14ac:dyDescent="0.25">
      <c r="A820" s="11">
        <v>46058</v>
      </c>
      <c r="B820" s="12">
        <v>201</v>
      </c>
      <c r="C820" s="12" t="s">
        <v>616</v>
      </c>
      <c r="D820" s="13" t="s">
        <v>1384</v>
      </c>
      <c r="E820" s="14"/>
      <c r="F820" s="15">
        <v>130000</v>
      </c>
      <c r="G820" s="16"/>
      <c r="H820" s="16">
        <v>130000</v>
      </c>
      <c r="I820" s="16">
        <v>0</v>
      </c>
      <c r="J820" s="16">
        <v>0</v>
      </c>
      <c r="K820" s="17">
        <v>0</v>
      </c>
    </row>
    <row r="821" spans="1:11" x14ac:dyDescent="0.25">
      <c r="A821" s="18">
        <v>46058</v>
      </c>
      <c r="B821" s="19">
        <v>201</v>
      </c>
      <c r="C821" s="19" t="s">
        <v>616</v>
      </c>
      <c r="D821" s="20" t="s">
        <v>1385</v>
      </c>
      <c r="E821" s="21">
        <v>2700</v>
      </c>
      <c r="F821" s="22"/>
      <c r="G821" s="23">
        <v>130000</v>
      </c>
      <c r="H821" s="23">
        <v>0</v>
      </c>
      <c r="I821" s="23">
        <v>0</v>
      </c>
      <c r="J821" s="23">
        <v>0</v>
      </c>
      <c r="K821" s="24">
        <v>0</v>
      </c>
    </row>
    <row r="822" spans="1:11" x14ac:dyDescent="0.25">
      <c r="A822" s="11">
        <v>46039</v>
      </c>
      <c r="B822" s="12">
        <v>203</v>
      </c>
      <c r="C822" s="12" t="s">
        <v>608</v>
      </c>
      <c r="D822" s="13"/>
      <c r="E822" s="14"/>
      <c r="F822" s="15">
        <v>0</v>
      </c>
      <c r="G822" s="16"/>
      <c r="H822" s="16">
        <v>0</v>
      </c>
      <c r="I822" s="16">
        <v>0</v>
      </c>
      <c r="J822" s="16">
        <v>0</v>
      </c>
      <c r="K822" s="17">
        <v>0</v>
      </c>
    </row>
    <row r="823" spans="1:11" x14ac:dyDescent="0.25">
      <c r="A823" s="18">
        <v>46055</v>
      </c>
      <c r="B823" s="19">
        <v>203</v>
      </c>
      <c r="C823" s="19" t="s">
        <v>608</v>
      </c>
      <c r="D823" s="20" t="s">
        <v>1385</v>
      </c>
      <c r="E823" s="21">
        <v>3900</v>
      </c>
      <c r="F823" s="22"/>
      <c r="G823" s="23">
        <v>113100</v>
      </c>
      <c r="H823" s="23">
        <v>0</v>
      </c>
      <c r="I823" s="23">
        <v>113100</v>
      </c>
      <c r="J823" s="23">
        <v>0</v>
      </c>
      <c r="K823" s="24">
        <v>0</v>
      </c>
    </row>
    <row r="824" spans="1:11" x14ac:dyDescent="0.25">
      <c r="A824" s="11">
        <v>46055</v>
      </c>
      <c r="B824" s="12">
        <v>203</v>
      </c>
      <c r="C824" s="12" t="s">
        <v>608</v>
      </c>
      <c r="D824" s="13" t="s">
        <v>1399</v>
      </c>
      <c r="E824" s="14"/>
      <c r="F824" s="15">
        <v>268000</v>
      </c>
      <c r="G824" s="16"/>
      <c r="H824" s="16">
        <v>154900</v>
      </c>
      <c r="I824" s="16">
        <v>0</v>
      </c>
      <c r="J824" s="16">
        <v>0</v>
      </c>
      <c r="K824" s="17">
        <v>0</v>
      </c>
    </row>
    <row r="825" spans="1:11" x14ac:dyDescent="0.25">
      <c r="A825" s="18">
        <v>46055</v>
      </c>
      <c r="B825" s="19">
        <v>203</v>
      </c>
      <c r="C825" s="19" t="s">
        <v>1428</v>
      </c>
      <c r="D825" s="20" t="s">
        <v>1385</v>
      </c>
      <c r="E825" s="21">
        <v>6000</v>
      </c>
      <c r="F825" s="22"/>
      <c r="G825" s="23">
        <v>174000</v>
      </c>
      <c r="H825" s="23">
        <v>0</v>
      </c>
      <c r="I825" s="23">
        <v>19100</v>
      </c>
      <c r="J825" s="23">
        <v>0</v>
      </c>
      <c r="K825" s="24">
        <v>0</v>
      </c>
    </row>
    <row r="826" spans="1:11" x14ac:dyDescent="0.25">
      <c r="A826" s="11">
        <v>46069</v>
      </c>
      <c r="B826" s="12">
        <v>203</v>
      </c>
      <c r="C826" s="12" t="s">
        <v>608</v>
      </c>
      <c r="D826" s="13" t="s">
        <v>1385</v>
      </c>
      <c r="E826" s="14">
        <v>3900</v>
      </c>
      <c r="F826" s="15"/>
      <c r="G826" s="16">
        <v>113100</v>
      </c>
      <c r="H826" s="16">
        <v>0</v>
      </c>
      <c r="I826" s="16">
        <v>132200</v>
      </c>
      <c r="J826" s="16">
        <v>0</v>
      </c>
      <c r="K826" s="17">
        <v>0</v>
      </c>
    </row>
    <row r="827" spans="1:11" x14ac:dyDescent="0.25">
      <c r="A827" s="18">
        <v>46069</v>
      </c>
      <c r="B827" s="19">
        <v>203</v>
      </c>
      <c r="C827" s="19" t="s">
        <v>608</v>
      </c>
      <c r="D827" s="20" t="s">
        <v>1399</v>
      </c>
      <c r="E827" s="21"/>
      <c r="F827" s="22">
        <v>287100</v>
      </c>
      <c r="G827" s="23"/>
      <c r="H827" s="23">
        <v>154900</v>
      </c>
      <c r="I827" s="23">
        <v>0</v>
      </c>
      <c r="J827" s="23">
        <v>0</v>
      </c>
      <c r="K827" s="24">
        <v>0</v>
      </c>
    </row>
    <row r="828" spans="1:11" x14ac:dyDescent="0.25">
      <c r="A828" s="11">
        <v>46069</v>
      </c>
      <c r="B828" s="12">
        <v>203</v>
      </c>
      <c r="C828" s="12" t="s">
        <v>1428</v>
      </c>
      <c r="D828" s="13" t="s">
        <v>1385</v>
      </c>
      <c r="E828" s="14">
        <v>6000</v>
      </c>
      <c r="F828" s="15"/>
      <c r="G828" s="16">
        <v>174000</v>
      </c>
      <c r="H828" s="16">
        <v>0</v>
      </c>
      <c r="I828" s="16">
        <v>19100</v>
      </c>
      <c r="J828" s="16">
        <v>0</v>
      </c>
      <c r="K828" s="17">
        <v>19100</v>
      </c>
    </row>
    <row r="829" spans="1:11" x14ac:dyDescent="0.25">
      <c r="A829" s="18">
        <v>46039</v>
      </c>
      <c r="B829" s="19">
        <v>204</v>
      </c>
      <c r="C829" s="19" t="s">
        <v>603</v>
      </c>
      <c r="D829" s="20"/>
      <c r="E829" s="21"/>
      <c r="F829" s="22">
        <v>0</v>
      </c>
      <c r="G829" s="23"/>
      <c r="H829" s="23">
        <v>0</v>
      </c>
      <c r="I829" s="23">
        <v>0</v>
      </c>
      <c r="J829" s="23">
        <v>0</v>
      </c>
      <c r="K829" s="24">
        <v>0</v>
      </c>
    </row>
    <row r="830" spans="1:11" x14ac:dyDescent="0.25">
      <c r="A830" s="11">
        <v>46051</v>
      </c>
      <c r="B830" s="12">
        <v>204</v>
      </c>
      <c r="C830" s="12" t="s">
        <v>603</v>
      </c>
      <c r="D830" s="13" t="s">
        <v>1384</v>
      </c>
      <c r="E830" s="14"/>
      <c r="F830" s="15">
        <v>128400</v>
      </c>
      <c r="G830" s="16"/>
      <c r="H830" s="16">
        <v>128400</v>
      </c>
      <c r="I830" s="16">
        <v>0</v>
      </c>
      <c r="J830" s="16">
        <v>0</v>
      </c>
      <c r="K830" s="17">
        <v>0</v>
      </c>
    </row>
    <row r="831" spans="1:11" x14ac:dyDescent="0.25">
      <c r="A831" s="18">
        <v>46051</v>
      </c>
      <c r="B831" s="19">
        <v>204</v>
      </c>
      <c r="C831" s="19" t="s">
        <v>603</v>
      </c>
      <c r="D831" s="20" t="s">
        <v>1385</v>
      </c>
      <c r="E831" s="21">
        <v>1125</v>
      </c>
      <c r="F831" s="22"/>
      <c r="G831" s="23">
        <v>54406</v>
      </c>
      <c r="H831" s="23">
        <v>73994</v>
      </c>
      <c r="I831" s="23">
        <v>0</v>
      </c>
      <c r="J831" s="23">
        <v>0</v>
      </c>
      <c r="K831" s="24">
        <v>0</v>
      </c>
    </row>
    <row r="832" spans="1:11" x14ac:dyDescent="0.25">
      <c r="A832" s="11">
        <v>46051</v>
      </c>
      <c r="B832" s="12">
        <v>204</v>
      </c>
      <c r="C832" s="12" t="s">
        <v>1429</v>
      </c>
      <c r="D832" s="13" t="s">
        <v>1385</v>
      </c>
      <c r="E832" s="14">
        <v>1530</v>
      </c>
      <c r="F832" s="15"/>
      <c r="G832" s="16">
        <v>73992</v>
      </c>
      <c r="H832" s="16">
        <v>2</v>
      </c>
      <c r="I832" s="16">
        <v>0</v>
      </c>
      <c r="J832" s="16">
        <v>2</v>
      </c>
      <c r="K832" s="17">
        <v>0</v>
      </c>
    </row>
    <row r="833" spans="1:11" x14ac:dyDescent="0.25">
      <c r="A833" s="18">
        <v>46044</v>
      </c>
      <c r="B833" s="19">
        <v>205</v>
      </c>
      <c r="C833" s="19" t="s">
        <v>599</v>
      </c>
      <c r="D833" s="20" t="s">
        <v>1390</v>
      </c>
      <c r="E833" s="21"/>
      <c r="F833" s="22">
        <v>153900</v>
      </c>
      <c r="G833" s="23"/>
      <c r="H833" s="23">
        <v>153900</v>
      </c>
      <c r="I833" s="23">
        <v>0</v>
      </c>
      <c r="J833" s="23">
        <v>0</v>
      </c>
      <c r="K833" s="24">
        <v>0</v>
      </c>
    </row>
    <row r="834" spans="1:11" x14ac:dyDescent="0.25">
      <c r="A834" s="11">
        <v>46044</v>
      </c>
      <c r="B834" s="12">
        <v>205</v>
      </c>
      <c r="C834" s="12" t="s">
        <v>599</v>
      </c>
      <c r="D834" s="13" t="s">
        <v>1385</v>
      </c>
      <c r="E834" s="14">
        <v>5130</v>
      </c>
      <c r="F834" s="15"/>
      <c r="G834" s="16">
        <v>153900</v>
      </c>
      <c r="H834" s="16">
        <v>0</v>
      </c>
      <c r="I834" s="16">
        <v>0</v>
      </c>
      <c r="J834" s="16">
        <v>0</v>
      </c>
      <c r="K834" s="17">
        <v>0</v>
      </c>
    </row>
    <row r="835" spans="1:11" x14ac:dyDescent="0.25">
      <c r="A835" s="18">
        <v>46045</v>
      </c>
      <c r="B835" s="19">
        <v>207</v>
      </c>
      <c r="C835" s="19" t="s">
        <v>590</v>
      </c>
      <c r="D835" s="20" t="s">
        <v>1385</v>
      </c>
      <c r="E835" s="21">
        <v>4200</v>
      </c>
      <c r="F835" s="22"/>
      <c r="G835" s="23">
        <v>105000</v>
      </c>
      <c r="H835" s="23">
        <v>0</v>
      </c>
      <c r="I835" s="23">
        <v>105000</v>
      </c>
      <c r="J835" s="23">
        <v>0</v>
      </c>
      <c r="K835" s="24">
        <v>0</v>
      </c>
    </row>
    <row r="836" spans="1:11" x14ac:dyDescent="0.25">
      <c r="A836" s="11">
        <v>46046</v>
      </c>
      <c r="B836" s="12">
        <v>207</v>
      </c>
      <c r="C836" s="12" t="s">
        <v>590</v>
      </c>
      <c r="D836" s="13" t="s">
        <v>1384</v>
      </c>
      <c r="E836" s="14"/>
      <c r="F836" s="15">
        <v>315000</v>
      </c>
      <c r="G836" s="16"/>
      <c r="H836" s="16">
        <v>210000</v>
      </c>
      <c r="I836" s="16">
        <v>0</v>
      </c>
      <c r="J836" s="16">
        <v>0</v>
      </c>
      <c r="K836" s="17">
        <v>0</v>
      </c>
    </row>
    <row r="837" spans="1:11" x14ac:dyDescent="0.25">
      <c r="A837" s="18">
        <v>46062</v>
      </c>
      <c r="B837" s="19">
        <v>207</v>
      </c>
      <c r="C837" s="19" t="s">
        <v>590</v>
      </c>
      <c r="D837" s="20" t="s">
        <v>1385</v>
      </c>
      <c r="E837" s="21">
        <v>4200</v>
      </c>
      <c r="F837" s="22"/>
      <c r="G837" s="23">
        <v>105000</v>
      </c>
      <c r="H837" s="23">
        <v>105000</v>
      </c>
      <c r="I837" s="23">
        <v>0</v>
      </c>
      <c r="J837" s="23">
        <v>105000</v>
      </c>
      <c r="K837" s="24">
        <v>0</v>
      </c>
    </row>
    <row r="838" spans="1:11" x14ac:dyDescent="0.25">
      <c r="A838" s="11">
        <v>46039</v>
      </c>
      <c r="B838" s="12">
        <v>208</v>
      </c>
      <c r="C838" s="12" t="s">
        <v>586</v>
      </c>
      <c r="D838" s="13"/>
      <c r="E838" s="14"/>
      <c r="F838" s="15">
        <v>0</v>
      </c>
      <c r="G838" s="16"/>
      <c r="H838" s="16">
        <v>0</v>
      </c>
      <c r="I838" s="16">
        <v>0</v>
      </c>
      <c r="J838" s="16">
        <v>0</v>
      </c>
      <c r="K838" s="17">
        <v>0</v>
      </c>
    </row>
    <row r="839" spans="1:11" x14ac:dyDescent="0.25">
      <c r="A839" s="18">
        <v>46042</v>
      </c>
      <c r="B839" s="19">
        <v>208</v>
      </c>
      <c r="C839" s="19" t="s">
        <v>586</v>
      </c>
      <c r="D839" s="20" t="s">
        <v>1385</v>
      </c>
      <c r="E839" s="21">
        <v>5060</v>
      </c>
      <c r="F839" s="22"/>
      <c r="G839" s="23">
        <v>126500</v>
      </c>
      <c r="H839" s="23">
        <v>0</v>
      </c>
      <c r="I839" s="23">
        <v>126500</v>
      </c>
      <c r="J839" s="23">
        <v>0</v>
      </c>
      <c r="K839" s="24">
        <v>0</v>
      </c>
    </row>
    <row r="840" spans="1:11" x14ac:dyDescent="0.25">
      <c r="A840" s="11">
        <v>46053</v>
      </c>
      <c r="B840" s="12">
        <v>208</v>
      </c>
      <c r="C840" s="12" t="s">
        <v>586</v>
      </c>
      <c r="D840" s="13" t="s">
        <v>1384</v>
      </c>
      <c r="E840" s="14"/>
      <c r="F840" s="15">
        <v>126500</v>
      </c>
      <c r="G840" s="16"/>
      <c r="H840" s="16">
        <v>0</v>
      </c>
      <c r="I840" s="16">
        <v>0</v>
      </c>
      <c r="J840" s="16">
        <v>0</v>
      </c>
      <c r="K840" s="17">
        <v>0</v>
      </c>
    </row>
    <row r="841" spans="1:11" x14ac:dyDescent="0.25">
      <c r="A841" s="18">
        <v>46069</v>
      </c>
      <c r="B841" s="19">
        <v>208</v>
      </c>
      <c r="C841" s="19" t="s">
        <v>586</v>
      </c>
      <c r="D841" s="20" t="s">
        <v>1385</v>
      </c>
      <c r="E841" s="21">
        <v>5060</v>
      </c>
      <c r="F841" s="22"/>
      <c r="G841" s="23">
        <v>126500</v>
      </c>
      <c r="H841" s="23">
        <v>0</v>
      </c>
      <c r="I841" s="23">
        <v>126500</v>
      </c>
      <c r="J841" s="23">
        <v>0</v>
      </c>
      <c r="K841" s="24">
        <v>126500</v>
      </c>
    </row>
    <row r="842" spans="1:11" x14ac:dyDescent="0.25">
      <c r="A842" s="11">
        <v>46055</v>
      </c>
      <c r="B842" s="12">
        <v>209</v>
      </c>
      <c r="C842" s="12" t="s">
        <v>582</v>
      </c>
      <c r="D842" s="13" t="s">
        <v>1385</v>
      </c>
      <c r="E842" s="14">
        <v>2250</v>
      </c>
      <c r="F842" s="15"/>
      <c r="G842" s="16">
        <v>94500</v>
      </c>
      <c r="H842" s="16">
        <v>0</v>
      </c>
      <c r="I842" s="16">
        <v>94500</v>
      </c>
      <c r="J842" s="16">
        <v>0</v>
      </c>
      <c r="K842" s="17">
        <v>0</v>
      </c>
    </row>
    <row r="843" spans="1:11" x14ac:dyDescent="0.25">
      <c r="A843" s="18">
        <v>46056</v>
      </c>
      <c r="B843" s="19">
        <v>209</v>
      </c>
      <c r="C843" s="19" t="s">
        <v>582</v>
      </c>
      <c r="D843" s="20" t="s">
        <v>1384</v>
      </c>
      <c r="E843" s="21"/>
      <c r="F843" s="22">
        <v>94500</v>
      </c>
      <c r="G843" s="23"/>
      <c r="H843" s="23">
        <v>0</v>
      </c>
      <c r="I843" s="23">
        <v>0</v>
      </c>
      <c r="J843" s="23">
        <v>0</v>
      </c>
      <c r="K843" s="24">
        <v>0</v>
      </c>
    </row>
    <row r="844" spans="1:11" x14ac:dyDescent="0.25">
      <c r="A844" s="11">
        <v>46039</v>
      </c>
      <c r="B844" s="12">
        <v>210</v>
      </c>
      <c r="C844" s="12" t="s">
        <v>578</v>
      </c>
      <c r="D844" s="13"/>
      <c r="E844" s="14"/>
      <c r="F844" s="15"/>
      <c r="G844" s="16"/>
      <c r="H844" s="16">
        <v>0</v>
      </c>
      <c r="I844" s="16">
        <v>0</v>
      </c>
      <c r="J844" s="16">
        <v>0</v>
      </c>
      <c r="K844" s="17">
        <v>0</v>
      </c>
    </row>
    <row r="845" spans="1:11" x14ac:dyDescent="0.25">
      <c r="A845" s="18">
        <v>46045</v>
      </c>
      <c r="B845" s="19">
        <v>210</v>
      </c>
      <c r="C845" s="19" t="s">
        <v>1430</v>
      </c>
      <c r="D845" s="20" t="s">
        <v>1385</v>
      </c>
      <c r="E845" s="21">
        <v>1190</v>
      </c>
      <c r="F845" s="22"/>
      <c r="G845" s="23">
        <v>47600</v>
      </c>
      <c r="H845" s="23">
        <v>0</v>
      </c>
      <c r="I845" s="23">
        <v>47600</v>
      </c>
      <c r="J845" s="23">
        <v>0</v>
      </c>
      <c r="K845" s="24">
        <v>0</v>
      </c>
    </row>
    <row r="846" spans="1:11" x14ac:dyDescent="0.25">
      <c r="A846" s="11">
        <v>46046</v>
      </c>
      <c r="B846" s="12">
        <v>210</v>
      </c>
      <c r="C846" s="12" t="s">
        <v>1430</v>
      </c>
      <c r="D846" s="13" t="s">
        <v>1384</v>
      </c>
      <c r="E846" s="14"/>
      <c r="F846" s="15">
        <v>47600</v>
      </c>
      <c r="G846" s="16"/>
      <c r="H846" s="16">
        <v>0</v>
      </c>
      <c r="I846" s="16">
        <v>0</v>
      </c>
      <c r="J846" s="16">
        <v>0</v>
      </c>
      <c r="K846" s="17">
        <v>0</v>
      </c>
    </row>
    <row r="847" spans="1:11" x14ac:dyDescent="0.25">
      <c r="A847" s="18">
        <v>46052</v>
      </c>
      <c r="B847" s="19">
        <v>210</v>
      </c>
      <c r="C847" s="19" t="s">
        <v>578</v>
      </c>
      <c r="D847" s="20" t="s">
        <v>1384</v>
      </c>
      <c r="E847" s="21"/>
      <c r="F847" s="22">
        <v>47600</v>
      </c>
      <c r="G847" s="23"/>
      <c r="H847" s="23">
        <v>47600</v>
      </c>
      <c r="I847" s="23">
        <v>0</v>
      </c>
      <c r="J847" s="23">
        <v>0</v>
      </c>
      <c r="K847" s="24">
        <v>0</v>
      </c>
    </row>
    <row r="848" spans="1:11" x14ac:dyDescent="0.25">
      <c r="A848" s="11">
        <v>46052</v>
      </c>
      <c r="B848" s="12">
        <v>210</v>
      </c>
      <c r="C848" s="12" t="s">
        <v>1430</v>
      </c>
      <c r="D848" s="13" t="s">
        <v>1385</v>
      </c>
      <c r="E848" s="14">
        <v>1190</v>
      </c>
      <c r="F848" s="15"/>
      <c r="G848" s="16">
        <v>47600</v>
      </c>
      <c r="H848" s="16">
        <v>0</v>
      </c>
      <c r="I848" s="16">
        <v>0</v>
      </c>
      <c r="J848" s="16">
        <v>0</v>
      </c>
      <c r="K848" s="17">
        <v>0</v>
      </c>
    </row>
    <row r="849" spans="1:11" x14ac:dyDescent="0.25">
      <c r="A849" s="18">
        <v>46059</v>
      </c>
      <c r="B849" s="19">
        <v>210</v>
      </c>
      <c r="C849" s="19" t="s">
        <v>578</v>
      </c>
      <c r="D849" s="20" t="s">
        <v>1384</v>
      </c>
      <c r="E849" s="21"/>
      <c r="F849" s="22">
        <v>47600</v>
      </c>
      <c r="G849" s="23"/>
      <c r="H849" s="23">
        <v>47600</v>
      </c>
      <c r="I849" s="23">
        <v>0</v>
      </c>
      <c r="J849" s="23">
        <v>0</v>
      </c>
      <c r="K849" s="24">
        <v>0</v>
      </c>
    </row>
    <row r="850" spans="1:11" x14ac:dyDescent="0.25">
      <c r="A850" s="11">
        <v>46059</v>
      </c>
      <c r="B850" s="12">
        <v>210</v>
      </c>
      <c r="C850" s="12" t="s">
        <v>1430</v>
      </c>
      <c r="D850" s="13" t="s">
        <v>1385</v>
      </c>
      <c r="E850" s="14">
        <v>1190</v>
      </c>
      <c r="F850" s="15"/>
      <c r="G850" s="16">
        <v>47600</v>
      </c>
      <c r="H850" s="16">
        <v>0</v>
      </c>
      <c r="I850" s="16">
        <v>0</v>
      </c>
      <c r="J850" s="16">
        <v>0</v>
      </c>
      <c r="K850" s="17">
        <v>0</v>
      </c>
    </row>
    <row r="851" spans="1:11" x14ac:dyDescent="0.25">
      <c r="A851" s="18">
        <v>46066</v>
      </c>
      <c r="B851" s="19">
        <v>210</v>
      </c>
      <c r="C851" s="19" t="s">
        <v>1430</v>
      </c>
      <c r="D851" s="20" t="s">
        <v>1385</v>
      </c>
      <c r="E851" s="21">
        <v>1190</v>
      </c>
      <c r="F851" s="22"/>
      <c r="G851" s="23">
        <v>47600</v>
      </c>
      <c r="H851" s="23">
        <v>0</v>
      </c>
      <c r="I851" s="23">
        <v>47600</v>
      </c>
      <c r="J851" s="23">
        <v>0</v>
      </c>
      <c r="K851" s="24">
        <v>0</v>
      </c>
    </row>
    <row r="852" spans="1:11" x14ac:dyDescent="0.25">
      <c r="A852" s="11">
        <v>46067</v>
      </c>
      <c r="B852" s="12">
        <v>210</v>
      </c>
      <c r="C852" s="12" t="s">
        <v>1430</v>
      </c>
      <c r="D852" s="13" t="s">
        <v>1384</v>
      </c>
      <c r="E852" s="14"/>
      <c r="F852" s="15">
        <v>47600</v>
      </c>
      <c r="G852" s="16"/>
      <c r="H852" s="16">
        <v>0</v>
      </c>
      <c r="I852" s="16">
        <v>0</v>
      </c>
      <c r="J852" s="16">
        <v>0</v>
      </c>
      <c r="K852" s="17">
        <v>0</v>
      </c>
    </row>
    <row r="853" spans="1:11" x14ac:dyDescent="0.25">
      <c r="A853" s="18">
        <v>46066</v>
      </c>
      <c r="B853" s="19">
        <v>211</v>
      </c>
      <c r="C853" s="19" t="s">
        <v>574</v>
      </c>
      <c r="D853" s="20" t="s">
        <v>1384</v>
      </c>
      <c r="E853" s="21"/>
      <c r="F853" s="22">
        <v>71600</v>
      </c>
      <c r="G853" s="23"/>
      <c r="H853" s="23">
        <v>71600</v>
      </c>
      <c r="I853" s="23">
        <v>0</v>
      </c>
      <c r="J853" s="23">
        <v>0</v>
      </c>
      <c r="K853" s="24">
        <v>0</v>
      </c>
    </row>
    <row r="854" spans="1:11" x14ac:dyDescent="0.25">
      <c r="A854" s="11">
        <v>46066</v>
      </c>
      <c r="B854" s="12">
        <v>211</v>
      </c>
      <c r="C854" s="12" t="s">
        <v>574</v>
      </c>
      <c r="D854" s="13" t="s">
        <v>1385</v>
      </c>
      <c r="E854" s="14">
        <v>1610</v>
      </c>
      <c r="F854" s="15"/>
      <c r="G854" s="16">
        <v>65100</v>
      </c>
      <c r="H854" s="16">
        <v>6500</v>
      </c>
      <c r="I854" s="16">
        <v>0</v>
      </c>
      <c r="J854" s="16">
        <v>6500</v>
      </c>
      <c r="K854" s="17">
        <v>0</v>
      </c>
    </row>
    <row r="855" spans="1:11" x14ac:dyDescent="0.25">
      <c r="A855" s="18">
        <v>46049</v>
      </c>
      <c r="B855" s="19">
        <v>212</v>
      </c>
      <c r="C855" s="19" t="s">
        <v>570</v>
      </c>
      <c r="D855" s="20" t="s">
        <v>1385</v>
      </c>
      <c r="E855" s="21">
        <v>15000</v>
      </c>
      <c r="F855" s="22"/>
      <c r="G855" s="23">
        <v>375000</v>
      </c>
      <c r="H855" s="23">
        <v>0</v>
      </c>
      <c r="I855" s="23">
        <v>375000</v>
      </c>
      <c r="J855" s="23">
        <v>0</v>
      </c>
      <c r="K855" s="24">
        <v>0</v>
      </c>
    </row>
    <row r="856" spans="1:11" x14ac:dyDescent="0.25">
      <c r="A856" s="11">
        <v>46053</v>
      </c>
      <c r="B856" s="12">
        <v>212</v>
      </c>
      <c r="C856" s="12" t="s">
        <v>570</v>
      </c>
      <c r="D856" s="13" t="s">
        <v>1384</v>
      </c>
      <c r="E856" s="14"/>
      <c r="F856" s="15">
        <v>346000</v>
      </c>
      <c r="G856" s="16"/>
      <c r="H856" s="16">
        <v>0</v>
      </c>
      <c r="I856" s="16">
        <v>29000</v>
      </c>
      <c r="J856" s="16">
        <v>0</v>
      </c>
      <c r="K856" s="17">
        <v>29000</v>
      </c>
    </row>
    <row r="857" spans="1:11" x14ac:dyDescent="0.25">
      <c r="A857" s="18">
        <v>46050</v>
      </c>
      <c r="B857" s="19">
        <v>213</v>
      </c>
      <c r="C857" s="19" t="s">
        <v>566</v>
      </c>
      <c r="D857" s="20" t="s">
        <v>1384</v>
      </c>
      <c r="E857" s="21"/>
      <c r="F857" s="22">
        <v>80000</v>
      </c>
      <c r="G857" s="23"/>
      <c r="H857" s="23">
        <v>80000</v>
      </c>
      <c r="I857" s="23">
        <v>0</v>
      </c>
      <c r="J857" s="23">
        <v>0</v>
      </c>
      <c r="K857" s="24">
        <v>0</v>
      </c>
    </row>
    <row r="858" spans="1:11" x14ac:dyDescent="0.25">
      <c r="A858" s="11">
        <v>46052</v>
      </c>
      <c r="B858" s="12">
        <v>213</v>
      </c>
      <c r="C858" s="12" t="s">
        <v>566</v>
      </c>
      <c r="D858" s="13" t="s">
        <v>1385</v>
      </c>
      <c r="E858" s="14">
        <v>1800</v>
      </c>
      <c r="F858" s="15"/>
      <c r="G858" s="16">
        <v>79200</v>
      </c>
      <c r="H858" s="16">
        <v>800</v>
      </c>
      <c r="I858" s="16">
        <v>0</v>
      </c>
      <c r="J858" s="16">
        <v>0</v>
      </c>
      <c r="K858" s="17">
        <v>0</v>
      </c>
    </row>
    <row r="859" spans="1:11" x14ac:dyDescent="0.25">
      <c r="A859" s="18">
        <v>46069</v>
      </c>
      <c r="B859" s="19">
        <v>213</v>
      </c>
      <c r="C859" s="19" t="s">
        <v>566</v>
      </c>
      <c r="D859" s="20" t="s">
        <v>1385</v>
      </c>
      <c r="E859" s="21">
        <v>1800</v>
      </c>
      <c r="F859" s="22"/>
      <c r="G859" s="23">
        <v>79200</v>
      </c>
      <c r="H859" s="23">
        <v>0</v>
      </c>
      <c r="I859" s="23">
        <v>78400</v>
      </c>
      <c r="J859" s="23">
        <v>0</v>
      </c>
      <c r="K859" s="24">
        <v>0</v>
      </c>
    </row>
    <row r="860" spans="1:11" x14ac:dyDescent="0.25">
      <c r="A860" s="11">
        <v>46070</v>
      </c>
      <c r="B860" s="12">
        <v>213</v>
      </c>
      <c r="C860" s="12" t="s">
        <v>566</v>
      </c>
      <c r="D860" s="13" t="s">
        <v>1384</v>
      </c>
      <c r="E860" s="14"/>
      <c r="F860" s="15">
        <v>80000</v>
      </c>
      <c r="G860" s="16"/>
      <c r="H860" s="16">
        <v>1600</v>
      </c>
      <c r="I860" s="16">
        <v>0</v>
      </c>
      <c r="J860" s="16">
        <v>1600</v>
      </c>
      <c r="K860" s="17">
        <v>0</v>
      </c>
    </row>
    <row r="861" spans="1:11" x14ac:dyDescent="0.25">
      <c r="A861" s="18">
        <v>46039</v>
      </c>
      <c r="B861" s="19">
        <v>214</v>
      </c>
      <c r="C861" s="19" t="s">
        <v>561</v>
      </c>
      <c r="D861" s="20"/>
      <c r="E861" s="21"/>
      <c r="F861" s="22"/>
      <c r="G861" s="23">
        <v>291000</v>
      </c>
      <c r="H861" s="23">
        <v>0</v>
      </c>
      <c r="I861" s="23">
        <v>291000</v>
      </c>
      <c r="J861" s="23">
        <v>0</v>
      </c>
      <c r="K861" s="24">
        <v>0</v>
      </c>
    </row>
    <row r="862" spans="1:11" x14ac:dyDescent="0.25">
      <c r="A862" s="11">
        <v>46048</v>
      </c>
      <c r="B862" s="12">
        <v>214</v>
      </c>
      <c r="C862" s="12" t="s">
        <v>561</v>
      </c>
      <c r="D862" s="13" t="s">
        <v>1385</v>
      </c>
      <c r="E862" s="14">
        <v>2100</v>
      </c>
      <c r="F862" s="15"/>
      <c r="G862" s="16">
        <v>0</v>
      </c>
      <c r="H862" s="16">
        <v>0</v>
      </c>
      <c r="I862" s="16">
        <v>291000</v>
      </c>
      <c r="J862" s="16">
        <v>0</v>
      </c>
      <c r="K862" s="17">
        <v>0</v>
      </c>
    </row>
    <row r="863" spans="1:11" x14ac:dyDescent="0.25">
      <c r="A863" s="18">
        <v>46052</v>
      </c>
      <c r="B863" s="19">
        <v>214</v>
      </c>
      <c r="C863" s="19" t="s">
        <v>561</v>
      </c>
      <c r="D863" s="20" t="s">
        <v>1384</v>
      </c>
      <c r="E863" s="21"/>
      <c r="F863" s="22">
        <v>190000</v>
      </c>
      <c r="G863" s="23"/>
      <c r="H863" s="23">
        <v>0</v>
      </c>
      <c r="I863" s="23">
        <v>101000</v>
      </c>
      <c r="J863" s="23">
        <v>0</v>
      </c>
      <c r="K863" s="24">
        <v>0</v>
      </c>
    </row>
    <row r="864" spans="1:11" x14ac:dyDescent="0.25">
      <c r="A864" s="11">
        <v>46052</v>
      </c>
      <c r="B864" s="12">
        <v>214</v>
      </c>
      <c r="C864" s="12" t="s">
        <v>561</v>
      </c>
      <c r="D864" s="13" t="s">
        <v>1385</v>
      </c>
      <c r="E864" s="14">
        <v>3300</v>
      </c>
      <c r="F864" s="15"/>
      <c r="G864" s="16">
        <v>79200</v>
      </c>
      <c r="H864" s="16">
        <v>0</v>
      </c>
      <c r="I864" s="16">
        <v>180200</v>
      </c>
      <c r="J864" s="16">
        <v>0</v>
      </c>
      <c r="K864" s="17">
        <v>0</v>
      </c>
    </row>
    <row r="865" spans="1:11" x14ac:dyDescent="0.25">
      <c r="A865" s="18">
        <v>46052</v>
      </c>
      <c r="B865" s="19">
        <v>214</v>
      </c>
      <c r="C865" s="19" t="s">
        <v>561</v>
      </c>
      <c r="D865" s="20" t="s">
        <v>1385</v>
      </c>
      <c r="E865" s="21">
        <v>3450</v>
      </c>
      <c r="F865" s="22"/>
      <c r="G865" s="23">
        <v>82800</v>
      </c>
      <c r="H865" s="23">
        <v>0</v>
      </c>
      <c r="I865" s="23">
        <v>263000</v>
      </c>
      <c r="J865" s="23">
        <v>0</v>
      </c>
      <c r="K865" s="24">
        <v>0</v>
      </c>
    </row>
    <row r="866" spans="1:11" x14ac:dyDescent="0.25">
      <c r="A866" s="11">
        <v>46069</v>
      </c>
      <c r="B866" s="12">
        <v>214</v>
      </c>
      <c r="C866" s="12" t="s">
        <v>561</v>
      </c>
      <c r="D866" s="13" t="s">
        <v>1385</v>
      </c>
      <c r="E866" s="14">
        <v>3300</v>
      </c>
      <c r="F866" s="15"/>
      <c r="G866" s="16">
        <v>79200</v>
      </c>
      <c r="H866" s="16">
        <v>0</v>
      </c>
      <c r="I866" s="16">
        <v>342200</v>
      </c>
      <c r="J866" s="16">
        <v>0</v>
      </c>
      <c r="K866" s="17">
        <v>0</v>
      </c>
    </row>
    <row r="867" spans="1:11" x14ac:dyDescent="0.25">
      <c r="A867" s="18">
        <v>46069</v>
      </c>
      <c r="B867" s="19">
        <v>214</v>
      </c>
      <c r="C867" s="19" t="s">
        <v>561</v>
      </c>
      <c r="D867" s="20" t="s">
        <v>1385</v>
      </c>
      <c r="E867" s="21">
        <v>3450</v>
      </c>
      <c r="F867" s="22"/>
      <c r="G867" s="23">
        <v>82800</v>
      </c>
      <c r="H867" s="23">
        <v>0</v>
      </c>
      <c r="I867" s="23">
        <v>425000</v>
      </c>
      <c r="J867" s="23">
        <v>0</v>
      </c>
      <c r="K867" s="24">
        <v>425000</v>
      </c>
    </row>
    <row r="868" spans="1:11" x14ac:dyDescent="0.25">
      <c r="A868" s="11">
        <v>46039</v>
      </c>
      <c r="B868" s="12">
        <v>215</v>
      </c>
      <c r="C868" s="12" t="s">
        <v>557</v>
      </c>
      <c r="D868" s="13"/>
      <c r="E868" s="14"/>
      <c r="F868" s="15">
        <v>3500</v>
      </c>
      <c r="G868" s="16"/>
      <c r="H868" s="16">
        <v>3500</v>
      </c>
      <c r="I868" s="16">
        <v>0</v>
      </c>
      <c r="J868" s="16">
        <v>0</v>
      </c>
      <c r="K868" s="17">
        <v>0</v>
      </c>
    </row>
    <row r="869" spans="1:11" x14ac:dyDescent="0.25">
      <c r="A869" s="18">
        <v>46055</v>
      </c>
      <c r="B869" s="19">
        <v>215</v>
      </c>
      <c r="C869" s="19" t="s">
        <v>557</v>
      </c>
      <c r="D869" s="20" t="s">
        <v>1390</v>
      </c>
      <c r="E869" s="21"/>
      <c r="F869" s="22">
        <v>73000</v>
      </c>
      <c r="G869" s="23"/>
      <c r="H869" s="23">
        <v>76500</v>
      </c>
      <c r="I869" s="23">
        <v>0</v>
      </c>
      <c r="J869" s="23">
        <v>0</v>
      </c>
      <c r="K869" s="24">
        <v>0</v>
      </c>
    </row>
    <row r="870" spans="1:11" x14ac:dyDescent="0.25">
      <c r="A870" s="11">
        <v>46055</v>
      </c>
      <c r="B870" s="12">
        <v>215</v>
      </c>
      <c r="C870" s="12" t="s">
        <v>557</v>
      </c>
      <c r="D870" s="13" t="s">
        <v>1385</v>
      </c>
      <c r="E870" s="14">
        <v>2550</v>
      </c>
      <c r="F870" s="15"/>
      <c r="G870" s="16">
        <v>76500</v>
      </c>
      <c r="H870" s="16">
        <v>0</v>
      </c>
      <c r="I870" s="16">
        <v>0</v>
      </c>
      <c r="J870" s="16">
        <v>0</v>
      </c>
      <c r="K870" s="17">
        <v>0</v>
      </c>
    </row>
    <row r="871" spans="1:11" x14ac:dyDescent="0.25">
      <c r="A871" s="18">
        <v>46070</v>
      </c>
      <c r="B871" s="19">
        <v>215</v>
      </c>
      <c r="C871" s="19" t="s">
        <v>557</v>
      </c>
      <c r="D871" s="20" t="s">
        <v>1390</v>
      </c>
      <c r="E871" s="21"/>
      <c r="F871" s="22">
        <v>76500</v>
      </c>
      <c r="G871" s="23"/>
      <c r="H871" s="23">
        <v>76500</v>
      </c>
      <c r="I871" s="23">
        <v>0</v>
      </c>
      <c r="J871" s="23">
        <v>0</v>
      </c>
      <c r="K871" s="24">
        <v>0</v>
      </c>
    </row>
    <row r="872" spans="1:11" x14ac:dyDescent="0.25">
      <c r="A872" s="11">
        <v>46070</v>
      </c>
      <c r="B872" s="12">
        <v>215</v>
      </c>
      <c r="C872" s="12" t="s">
        <v>557</v>
      </c>
      <c r="D872" s="13" t="s">
        <v>1385</v>
      </c>
      <c r="E872" s="14">
        <v>2550</v>
      </c>
      <c r="F872" s="15"/>
      <c r="G872" s="16">
        <v>76500</v>
      </c>
      <c r="H872" s="16">
        <v>0</v>
      </c>
      <c r="I872" s="16">
        <v>0</v>
      </c>
      <c r="J872" s="16">
        <v>0</v>
      </c>
      <c r="K872" s="17">
        <v>0</v>
      </c>
    </row>
    <row r="873" spans="1:11" x14ac:dyDescent="0.25">
      <c r="A873" s="18">
        <v>46039</v>
      </c>
      <c r="B873" s="19">
        <v>217</v>
      </c>
      <c r="C873" s="19" t="s">
        <v>549</v>
      </c>
      <c r="D873" s="20"/>
      <c r="E873" s="21"/>
      <c r="F873" s="22"/>
      <c r="G873" s="23">
        <v>127500</v>
      </c>
      <c r="H873" s="23">
        <v>0</v>
      </c>
      <c r="I873" s="23">
        <v>127500</v>
      </c>
      <c r="J873" s="23">
        <v>0</v>
      </c>
      <c r="K873" s="24">
        <v>0</v>
      </c>
    </row>
    <row r="874" spans="1:11" x14ac:dyDescent="0.25">
      <c r="A874" s="11">
        <v>46039</v>
      </c>
      <c r="B874" s="12">
        <v>217</v>
      </c>
      <c r="C874" s="12" t="s">
        <v>549</v>
      </c>
      <c r="D874" s="13"/>
      <c r="E874" s="14"/>
      <c r="F874" s="15">
        <v>0</v>
      </c>
      <c r="G874" s="16"/>
      <c r="H874" s="16">
        <v>0</v>
      </c>
      <c r="I874" s="16">
        <v>127500</v>
      </c>
      <c r="J874" s="16">
        <v>0</v>
      </c>
      <c r="K874" s="17">
        <v>0</v>
      </c>
    </row>
    <row r="875" spans="1:11" x14ac:dyDescent="0.25">
      <c r="A875" s="18">
        <v>46056</v>
      </c>
      <c r="B875" s="19">
        <v>217</v>
      </c>
      <c r="C875" s="19" t="s">
        <v>549</v>
      </c>
      <c r="D875" s="20" t="s">
        <v>1384</v>
      </c>
      <c r="E875" s="21"/>
      <c r="F875" s="22">
        <v>255000</v>
      </c>
      <c r="G875" s="23"/>
      <c r="H875" s="23">
        <v>127500</v>
      </c>
      <c r="I875" s="23">
        <v>0</v>
      </c>
      <c r="J875" s="23">
        <v>0</v>
      </c>
      <c r="K875" s="24">
        <v>0</v>
      </c>
    </row>
    <row r="876" spans="1:11" x14ac:dyDescent="0.25">
      <c r="A876" s="11">
        <v>46056</v>
      </c>
      <c r="B876" s="12">
        <v>217</v>
      </c>
      <c r="C876" s="12" t="s">
        <v>549</v>
      </c>
      <c r="D876" s="13" t="s">
        <v>1385</v>
      </c>
      <c r="E876" s="14">
        <v>5100</v>
      </c>
      <c r="F876" s="15"/>
      <c r="G876" s="16">
        <v>127500</v>
      </c>
      <c r="H876" s="16">
        <v>0</v>
      </c>
      <c r="I876" s="16">
        <v>0</v>
      </c>
      <c r="J876" s="16">
        <v>0</v>
      </c>
      <c r="K876" s="17">
        <v>0</v>
      </c>
    </row>
    <row r="877" spans="1:11" x14ac:dyDescent="0.25">
      <c r="A877" s="18">
        <v>46071</v>
      </c>
      <c r="B877" s="19">
        <v>217</v>
      </c>
      <c r="C877" s="19" t="s">
        <v>549</v>
      </c>
      <c r="D877" s="20" t="s">
        <v>1385</v>
      </c>
      <c r="E877" s="21">
        <v>5100</v>
      </c>
      <c r="F877" s="22"/>
      <c r="G877" s="23">
        <v>127500</v>
      </c>
      <c r="H877" s="23">
        <v>0</v>
      </c>
      <c r="I877" s="23">
        <v>127500</v>
      </c>
      <c r="J877" s="23">
        <v>0</v>
      </c>
      <c r="K877" s="24">
        <v>127500</v>
      </c>
    </row>
    <row r="878" spans="1:11" x14ac:dyDescent="0.25">
      <c r="A878" s="11">
        <v>46055</v>
      </c>
      <c r="B878" s="12">
        <v>218</v>
      </c>
      <c r="C878" s="12" t="s">
        <v>544</v>
      </c>
      <c r="D878" s="13" t="s">
        <v>1384</v>
      </c>
      <c r="E878" s="14"/>
      <c r="F878" s="15">
        <v>336000</v>
      </c>
      <c r="G878" s="16"/>
      <c r="H878" s="16">
        <v>336000</v>
      </c>
      <c r="I878" s="16">
        <v>0</v>
      </c>
      <c r="J878" s="16">
        <v>0</v>
      </c>
      <c r="K878" s="17">
        <v>0</v>
      </c>
    </row>
    <row r="879" spans="1:11" x14ac:dyDescent="0.25">
      <c r="A879" s="18">
        <v>46056</v>
      </c>
      <c r="B879" s="19">
        <v>218</v>
      </c>
      <c r="C879" s="19" t="s">
        <v>544</v>
      </c>
      <c r="D879" s="20" t="s">
        <v>1385</v>
      </c>
      <c r="E879" s="21">
        <v>9900</v>
      </c>
      <c r="F879" s="22"/>
      <c r="G879" s="23">
        <v>336000</v>
      </c>
      <c r="H879" s="23">
        <v>0</v>
      </c>
      <c r="I879" s="23">
        <v>0</v>
      </c>
      <c r="J879" s="23">
        <v>0</v>
      </c>
      <c r="K879" s="24">
        <v>0</v>
      </c>
    </row>
    <row r="880" spans="1:11" x14ac:dyDescent="0.25">
      <c r="A880" s="11">
        <v>46039</v>
      </c>
      <c r="B880" s="12">
        <v>219</v>
      </c>
      <c r="C880" s="12" t="s">
        <v>541</v>
      </c>
      <c r="D880" s="13"/>
      <c r="E880" s="14"/>
      <c r="F880" s="15"/>
      <c r="G880" s="16">
        <v>220250</v>
      </c>
      <c r="H880" s="16">
        <v>0</v>
      </c>
      <c r="I880" s="16">
        <v>220250</v>
      </c>
      <c r="J880" s="16">
        <v>0</v>
      </c>
      <c r="K880" s="17">
        <v>0</v>
      </c>
    </row>
    <row r="881" spans="1:11" x14ac:dyDescent="0.25">
      <c r="A881" s="18">
        <v>46042</v>
      </c>
      <c r="B881" s="19">
        <v>219</v>
      </c>
      <c r="C881" s="19" t="s">
        <v>541</v>
      </c>
      <c r="D881" s="20" t="s">
        <v>1384</v>
      </c>
      <c r="E881" s="21"/>
      <c r="F881" s="22">
        <v>195750</v>
      </c>
      <c r="G881" s="23"/>
      <c r="H881" s="23">
        <v>0</v>
      </c>
      <c r="I881" s="23">
        <v>24500</v>
      </c>
      <c r="J881" s="23">
        <v>0</v>
      </c>
      <c r="K881" s="24">
        <v>0</v>
      </c>
    </row>
    <row r="882" spans="1:11" x14ac:dyDescent="0.25">
      <c r="A882" s="11">
        <v>46043</v>
      </c>
      <c r="B882" s="12">
        <v>219</v>
      </c>
      <c r="C882" s="12" t="s">
        <v>541</v>
      </c>
      <c r="D882" s="13"/>
      <c r="E882" s="14"/>
      <c r="F882" s="15">
        <v>24500</v>
      </c>
      <c r="G882" s="16"/>
      <c r="H882" s="16">
        <v>0</v>
      </c>
      <c r="I882" s="16">
        <v>0</v>
      </c>
      <c r="J882" s="16">
        <v>0</v>
      </c>
      <c r="K882" s="17">
        <v>0</v>
      </c>
    </row>
    <row r="883" spans="1:11" x14ac:dyDescent="0.25">
      <c r="A883" s="18">
        <v>46052</v>
      </c>
      <c r="B883" s="19">
        <v>219</v>
      </c>
      <c r="C883" s="19" t="s">
        <v>541</v>
      </c>
      <c r="D883" s="20" t="s">
        <v>1385</v>
      </c>
      <c r="E883" s="21">
        <v>3300</v>
      </c>
      <c r="F883" s="22"/>
      <c r="G883" s="23">
        <v>95700</v>
      </c>
      <c r="H883" s="23">
        <v>0</v>
      </c>
      <c r="I883" s="23">
        <v>95700</v>
      </c>
      <c r="J883" s="23">
        <v>0</v>
      </c>
      <c r="K883" s="24">
        <v>0</v>
      </c>
    </row>
    <row r="884" spans="1:11" x14ac:dyDescent="0.25">
      <c r="A884" s="11">
        <v>46052</v>
      </c>
      <c r="B884" s="12">
        <v>219</v>
      </c>
      <c r="C884" s="12" t="s">
        <v>541</v>
      </c>
      <c r="D884" s="13" t="s">
        <v>1385</v>
      </c>
      <c r="E884" s="14">
        <v>3450</v>
      </c>
      <c r="F884" s="15"/>
      <c r="G884" s="16">
        <v>100050</v>
      </c>
      <c r="H884" s="16">
        <v>0</v>
      </c>
      <c r="I884" s="16">
        <v>195750</v>
      </c>
      <c r="J884" s="16">
        <v>0</v>
      </c>
      <c r="K884" s="17">
        <v>0</v>
      </c>
    </row>
    <row r="885" spans="1:11" x14ac:dyDescent="0.25">
      <c r="A885" s="18">
        <v>46062</v>
      </c>
      <c r="B885" s="19">
        <v>219</v>
      </c>
      <c r="C885" s="19" t="s">
        <v>541</v>
      </c>
      <c r="D885" s="20" t="s">
        <v>1384</v>
      </c>
      <c r="E885" s="21"/>
      <c r="F885" s="22">
        <v>195750</v>
      </c>
      <c r="G885" s="23"/>
      <c r="H885" s="23">
        <v>0</v>
      </c>
      <c r="I885" s="23">
        <v>0</v>
      </c>
      <c r="J885" s="23">
        <v>0</v>
      </c>
      <c r="K885" s="24">
        <v>0</v>
      </c>
    </row>
    <row r="886" spans="1:11" x14ac:dyDescent="0.25">
      <c r="A886" s="11">
        <v>46066</v>
      </c>
      <c r="B886" s="12">
        <v>219</v>
      </c>
      <c r="C886" s="12" t="s">
        <v>541</v>
      </c>
      <c r="D886" s="13" t="s">
        <v>1385</v>
      </c>
      <c r="E886" s="14">
        <v>3450</v>
      </c>
      <c r="F886" s="15"/>
      <c r="G886" s="16">
        <v>100050</v>
      </c>
      <c r="H886" s="16">
        <v>0</v>
      </c>
      <c r="I886" s="16">
        <v>100050</v>
      </c>
      <c r="J886" s="16">
        <v>0</v>
      </c>
      <c r="K886" s="17">
        <v>0</v>
      </c>
    </row>
    <row r="887" spans="1:11" x14ac:dyDescent="0.25">
      <c r="A887" s="18">
        <v>46066</v>
      </c>
      <c r="B887" s="19">
        <v>219</v>
      </c>
      <c r="C887" s="19" t="s">
        <v>541</v>
      </c>
      <c r="D887" s="20" t="s">
        <v>1385</v>
      </c>
      <c r="E887" s="21">
        <v>3300</v>
      </c>
      <c r="F887" s="22"/>
      <c r="G887" s="23">
        <v>95700</v>
      </c>
      <c r="H887" s="23">
        <v>0</v>
      </c>
      <c r="I887" s="23">
        <v>195750</v>
      </c>
      <c r="J887" s="23">
        <v>0</v>
      </c>
      <c r="K887" s="24">
        <v>0</v>
      </c>
    </row>
    <row r="888" spans="1:11" x14ac:dyDescent="0.25">
      <c r="A888" s="11">
        <v>46070</v>
      </c>
      <c r="B888" s="12">
        <v>219</v>
      </c>
      <c r="C888" s="12" t="s">
        <v>541</v>
      </c>
      <c r="D888" s="13" t="s">
        <v>1384</v>
      </c>
      <c r="E888" s="14"/>
      <c r="F888" s="15">
        <v>195750</v>
      </c>
      <c r="G888" s="16"/>
      <c r="H888" s="16">
        <v>0</v>
      </c>
      <c r="I888" s="16">
        <v>0</v>
      </c>
      <c r="J888" s="16">
        <v>0</v>
      </c>
      <c r="K888" s="17">
        <v>0</v>
      </c>
    </row>
    <row r="889" spans="1:11" x14ac:dyDescent="0.25">
      <c r="A889" s="18">
        <v>46039</v>
      </c>
      <c r="B889" s="19">
        <v>221</v>
      </c>
      <c r="C889" s="19" t="s">
        <v>533</v>
      </c>
      <c r="D889" s="20"/>
      <c r="E889" s="21"/>
      <c r="F889" s="22">
        <v>0</v>
      </c>
      <c r="G889" s="23"/>
      <c r="H889" s="23">
        <v>0</v>
      </c>
      <c r="I889" s="23">
        <v>0</v>
      </c>
      <c r="J889" s="23">
        <v>0</v>
      </c>
      <c r="K889" s="24">
        <v>0</v>
      </c>
    </row>
    <row r="890" spans="1:11" x14ac:dyDescent="0.25">
      <c r="A890" s="11">
        <v>46042</v>
      </c>
      <c r="B890" s="12">
        <v>221</v>
      </c>
      <c r="C890" s="12" t="s">
        <v>533</v>
      </c>
      <c r="D890" s="13" t="s">
        <v>1384</v>
      </c>
      <c r="E890" s="14"/>
      <c r="F890" s="15">
        <v>37500</v>
      </c>
      <c r="G890" s="16"/>
      <c r="H890" s="16">
        <v>37500</v>
      </c>
      <c r="I890" s="16">
        <v>0</v>
      </c>
      <c r="J890" s="16">
        <v>0</v>
      </c>
      <c r="K890" s="17">
        <v>0</v>
      </c>
    </row>
    <row r="891" spans="1:11" x14ac:dyDescent="0.25">
      <c r="A891" s="18">
        <v>46043</v>
      </c>
      <c r="B891" s="19">
        <v>221</v>
      </c>
      <c r="C891" s="19" t="s">
        <v>533</v>
      </c>
      <c r="D891" s="20" t="s">
        <v>1385</v>
      </c>
      <c r="E891" s="21">
        <v>826</v>
      </c>
      <c r="F891" s="22"/>
      <c r="G891" s="23">
        <v>37500</v>
      </c>
      <c r="H891" s="23">
        <v>0</v>
      </c>
      <c r="I891" s="23">
        <v>0</v>
      </c>
      <c r="J891" s="23">
        <v>0</v>
      </c>
      <c r="K891" s="24">
        <v>0</v>
      </c>
    </row>
    <row r="892" spans="1:11" x14ac:dyDescent="0.25">
      <c r="A892" s="11">
        <v>46059</v>
      </c>
      <c r="B892" s="12">
        <v>221</v>
      </c>
      <c r="C892" s="12" t="s">
        <v>533</v>
      </c>
      <c r="D892" s="13" t="s">
        <v>1384</v>
      </c>
      <c r="E892" s="14"/>
      <c r="F892" s="15">
        <v>41300</v>
      </c>
      <c r="G892" s="16"/>
      <c r="H892" s="16">
        <v>41300</v>
      </c>
      <c r="I892" s="16">
        <v>0</v>
      </c>
      <c r="J892" s="16">
        <v>0</v>
      </c>
      <c r="K892" s="17">
        <v>0</v>
      </c>
    </row>
    <row r="893" spans="1:11" x14ac:dyDescent="0.25">
      <c r="A893" s="18">
        <v>46062</v>
      </c>
      <c r="B893" s="19">
        <v>221</v>
      </c>
      <c r="C893" s="19" t="s">
        <v>533</v>
      </c>
      <c r="D893" s="20" t="s">
        <v>1385</v>
      </c>
      <c r="E893" s="21">
        <v>826</v>
      </c>
      <c r="F893" s="22"/>
      <c r="G893" s="23">
        <v>41300</v>
      </c>
      <c r="H893" s="23">
        <v>0</v>
      </c>
      <c r="I893" s="23">
        <v>0</v>
      </c>
      <c r="J893" s="23">
        <v>0</v>
      </c>
      <c r="K893" s="24">
        <v>0</v>
      </c>
    </row>
    <row r="894" spans="1:11" x14ac:dyDescent="0.25">
      <c r="A894" s="11">
        <v>46039</v>
      </c>
      <c r="B894" s="12">
        <v>222</v>
      </c>
      <c r="C894" s="12" t="s">
        <v>528</v>
      </c>
      <c r="D894" s="13"/>
      <c r="E894" s="14"/>
      <c r="F894" s="15">
        <v>10000</v>
      </c>
      <c r="G894" s="16"/>
      <c r="H894" s="16">
        <v>10000</v>
      </c>
      <c r="I894" s="16">
        <v>0</v>
      </c>
      <c r="J894" s="16">
        <v>0</v>
      </c>
      <c r="K894" s="17">
        <v>0</v>
      </c>
    </row>
    <row r="895" spans="1:11" x14ac:dyDescent="0.25">
      <c r="A895" s="18">
        <v>46041</v>
      </c>
      <c r="B895" s="19">
        <v>222</v>
      </c>
      <c r="C895" s="19" t="s">
        <v>528</v>
      </c>
      <c r="D895" s="20" t="s">
        <v>1399</v>
      </c>
      <c r="E895" s="21"/>
      <c r="F895" s="22">
        <v>142100</v>
      </c>
      <c r="G895" s="23"/>
      <c r="H895" s="23">
        <v>152100</v>
      </c>
      <c r="I895" s="23">
        <v>0</v>
      </c>
      <c r="J895" s="23">
        <v>0</v>
      </c>
      <c r="K895" s="24">
        <v>0</v>
      </c>
    </row>
    <row r="896" spans="1:11" x14ac:dyDescent="0.25">
      <c r="A896" s="11">
        <v>46043</v>
      </c>
      <c r="B896" s="12">
        <v>222</v>
      </c>
      <c r="C896" s="12" t="s">
        <v>528</v>
      </c>
      <c r="D896" s="13" t="s">
        <v>1385</v>
      </c>
      <c r="E896" s="14">
        <v>3900</v>
      </c>
      <c r="F896" s="15"/>
      <c r="G896" s="16">
        <v>152100</v>
      </c>
      <c r="H896" s="16">
        <v>0</v>
      </c>
      <c r="I896" s="16">
        <v>0</v>
      </c>
      <c r="J896" s="16">
        <v>0</v>
      </c>
      <c r="K896" s="17">
        <v>0</v>
      </c>
    </row>
    <row r="897" spans="1:11" x14ac:dyDescent="0.25">
      <c r="A897" s="18">
        <v>46058</v>
      </c>
      <c r="B897" s="19">
        <v>222</v>
      </c>
      <c r="C897" s="19" t="s">
        <v>528</v>
      </c>
      <c r="D897" s="20" t="s">
        <v>1399</v>
      </c>
      <c r="E897" s="21"/>
      <c r="F897" s="22">
        <v>152100</v>
      </c>
      <c r="G897" s="23"/>
      <c r="H897" s="23">
        <v>152100</v>
      </c>
      <c r="I897" s="23">
        <v>0</v>
      </c>
      <c r="J897" s="23">
        <v>0</v>
      </c>
      <c r="K897" s="24">
        <v>0</v>
      </c>
    </row>
    <row r="898" spans="1:11" x14ac:dyDescent="0.25">
      <c r="A898" s="11">
        <v>46059</v>
      </c>
      <c r="B898" s="12">
        <v>222</v>
      </c>
      <c r="C898" s="12" t="s">
        <v>528</v>
      </c>
      <c r="D898" s="13" t="s">
        <v>1385</v>
      </c>
      <c r="E898" s="14">
        <v>3900</v>
      </c>
      <c r="F898" s="15"/>
      <c r="G898" s="16">
        <v>152100</v>
      </c>
      <c r="H898" s="16">
        <v>0</v>
      </c>
      <c r="I898" s="16">
        <v>0</v>
      </c>
      <c r="J898" s="16">
        <v>0</v>
      </c>
      <c r="K898" s="17">
        <v>0</v>
      </c>
    </row>
    <row r="899" spans="1:11" x14ac:dyDescent="0.25">
      <c r="A899" s="18">
        <v>46071</v>
      </c>
      <c r="B899" s="19">
        <v>222</v>
      </c>
      <c r="C899" s="19" t="s">
        <v>528</v>
      </c>
      <c r="D899" s="20" t="s">
        <v>1399</v>
      </c>
      <c r="E899" s="21"/>
      <c r="F899" s="22">
        <v>152100</v>
      </c>
      <c r="G899" s="23"/>
      <c r="H899" s="23">
        <v>152100</v>
      </c>
      <c r="I899" s="23">
        <v>0</v>
      </c>
      <c r="J899" s="23">
        <v>152100</v>
      </c>
      <c r="K899" s="24">
        <v>0</v>
      </c>
    </row>
    <row r="900" spans="1:11" x14ac:dyDescent="0.25">
      <c r="A900" s="11">
        <v>46056</v>
      </c>
      <c r="B900" s="12">
        <v>223</v>
      </c>
      <c r="C900" s="12" t="s">
        <v>524</v>
      </c>
      <c r="D900" s="13" t="s">
        <v>1385</v>
      </c>
      <c r="E900" s="14">
        <v>1020</v>
      </c>
      <c r="F900" s="15"/>
      <c r="G900" s="16">
        <v>86700</v>
      </c>
      <c r="H900" s="16">
        <v>0</v>
      </c>
      <c r="I900" s="16">
        <v>86700</v>
      </c>
      <c r="J900" s="16">
        <v>0</v>
      </c>
      <c r="K900" s="17">
        <v>0</v>
      </c>
    </row>
    <row r="901" spans="1:11" x14ac:dyDescent="0.25">
      <c r="A901" s="18">
        <v>46056</v>
      </c>
      <c r="B901" s="19">
        <v>223</v>
      </c>
      <c r="C901" s="19" t="s">
        <v>524</v>
      </c>
      <c r="D901" s="20" t="s">
        <v>1384</v>
      </c>
      <c r="E901" s="21"/>
      <c r="F901" s="22">
        <v>86700</v>
      </c>
      <c r="G901" s="23"/>
      <c r="H901" s="23">
        <v>0</v>
      </c>
      <c r="I901" s="23">
        <v>0</v>
      </c>
      <c r="J901" s="23">
        <v>0</v>
      </c>
      <c r="K901" s="24">
        <v>0</v>
      </c>
    </row>
    <row r="902" spans="1:11" x14ac:dyDescent="0.25">
      <c r="A902" s="11">
        <v>46050</v>
      </c>
      <c r="B902" s="12">
        <v>225</v>
      </c>
      <c r="C902" s="12" t="s">
        <v>517</v>
      </c>
      <c r="D902" s="13" t="s">
        <v>1385</v>
      </c>
      <c r="E902" s="14">
        <v>4050</v>
      </c>
      <c r="F902" s="15"/>
      <c r="G902" s="16">
        <v>101250</v>
      </c>
      <c r="H902" s="16">
        <v>0</v>
      </c>
      <c r="I902" s="16">
        <v>101250</v>
      </c>
      <c r="J902" s="16">
        <v>0</v>
      </c>
      <c r="K902" s="17">
        <v>0</v>
      </c>
    </row>
    <row r="903" spans="1:11" x14ac:dyDescent="0.25">
      <c r="A903" s="18">
        <v>46050</v>
      </c>
      <c r="B903" s="19">
        <v>225</v>
      </c>
      <c r="C903" s="19" t="s">
        <v>1431</v>
      </c>
      <c r="D903" s="20" t="s">
        <v>1385</v>
      </c>
      <c r="E903" s="21">
        <v>5250</v>
      </c>
      <c r="F903" s="22"/>
      <c r="G903" s="23">
        <v>131250</v>
      </c>
      <c r="H903" s="23">
        <v>0</v>
      </c>
      <c r="I903" s="23">
        <v>232500</v>
      </c>
      <c r="J903" s="23">
        <v>0</v>
      </c>
      <c r="K903" s="24">
        <v>0</v>
      </c>
    </row>
    <row r="904" spans="1:11" x14ac:dyDescent="0.25">
      <c r="A904" s="11">
        <v>46051</v>
      </c>
      <c r="B904" s="12">
        <v>225</v>
      </c>
      <c r="C904" s="12" t="s">
        <v>517</v>
      </c>
      <c r="D904" s="13" t="s">
        <v>1384</v>
      </c>
      <c r="E904" s="14"/>
      <c r="F904" s="15">
        <v>232500</v>
      </c>
      <c r="G904" s="16"/>
      <c r="H904" s="16">
        <v>0</v>
      </c>
      <c r="I904" s="16">
        <v>0</v>
      </c>
      <c r="J904" s="16">
        <v>0</v>
      </c>
      <c r="K904" s="17">
        <v>0</v>
      </c>
    </row>
    <row r="905" spans="1:11" x14ac:dyDescent="0.25">
      <c r="A905" s="18">
        <v>46065</v>
      </c>
      <c r="B905" s="19">
        <v>225</v>
      </c>
      <c r="C905" s="19" t="s">
        <v>517</v>
      </c>
      <c r="D905" s="20" t="s">
        <v>1384</v>
      </c>
      <c r="E905" s="21"/>
      <c r="F905" s="22">
        <v>232500</v>
      </c>
      <c r="G905" s="23"/>
      <c r="H905" s="23">
        <v>232500</v>
      </c>
      <c r="I905" s="23">
        <v>0</v>
      </c>
      <c r="J905" s="23">
        <v>0</v>
      </c>
      <c r="K905" s="24">
        <v>0</v>
      </c>
    </row>
    <row r="906" spans="1:11" x14ac:dyDescent="0.25">
      <c r="A906" s="11">
        <v>46065</v>
      </c>
      <c r="B906" s="12">
        <v>225</v>
      </c>
      <c r="C906" s="12" t="s">
        <v>517</v>
      </c>
      <c r="D906" s="13" t="s">
        <v>1385</v>
      </c>
      <c r="E906" s="14">
        <v>4050</v>
      </c>
      <c r="F906" s="15"/>
      <c r="G906" s="16">
        <v>101250</v>
      </c>
      <c r="H906" s="16">
        <v>131250</v>
      </c>
      <c r="I906" s="16">
        <v>0</v>
      </c>
      <c r="J906" s="16">
        <v>0</v>
      </c>
      <c r="K906" s="17">
        <v>0</v>
      </c>
    </row>
    <row r="907" spans="1:11" x14ac:dyDescent="0.25">
      <c r="A907" s="18">
        <v>46065</v>
      </c>
      <c r="B907" s="19">
        <v>225</v>
      </c>
      <c r="C907" s="19" t="s">
        <v>1431</v>
      </c>
      <c r="D907" s="20" t="s">
        <v>1385</v>
      </c>
      <c r="E907" s="21">
        <v>5250</v>
      </c>
      <c r="F907" s="22"/>
      <c r="G907" s="23">
        <v>131250</v>
      </c>
      <c r="H907" s="23">
        <v>0</v>
      </c>
      <c r="I907" s="23">
        <v>0</v>
      </c>
      <c r="J907" s="23">
        <v>0</v>
      </c>
      <c r="K907" s="24">
        <v>0</v>
      </c>
    </row>
    <row r="908" spans="1:11" x14ac:dyDescent="0.25">
      <c r="A908" s="11">
        <v>46039</v>
      </c>
      <c r="B908" s="12">
        <v>226</v>
      </c>
      <c r="C908" s="12" t="s">
        <v>513</v>
      </c>
      <c r="D908" s="13"/>
      <c r="E908" s="14"/>
      <c r="F908" s="15"/>
      <c r="G908" s="16">
        <v>130200</v>
      </c>
      <c r="H908" s="16">
        <v>0</v>
      </c>
      <c r="I908" s="16">
        <v>130200</v>
      </c>
      <c r="J908" s="16">
        <v>0</v>
      </c>
      <c r="K908" s="17">
        <v>0</v>
      </c>
    </row>
    <row r="909" spans="1:11" x14ac:dyDescent="0.25">
      <c r="A909" s="18">
        <v>46039</v>
      </c>
      <c r="B909" s="19">
        <v>226</v>
      </c>
      <c r="C909" s="19" t="s">
        <v>513</v>
      </c>
      <c r="D909" s="20"/>
      <c r="E909" s="21"/>
      <c r="F909" s="22">
        <v>0</v>
      </c>
      <c r="G909" s="23"/>
      <c r="H909" s="23">
        <v>0</v>
      </c>
      <c r="I909" s="23">
        <v>130200</v>
      </c>
      <c r="J909" s="23">
        <v>0</v>
      </c>
      <c r="K909" s="24">
        <v>0</v>
      </c>
    </row>
    <row r="910" spans="1:11" x14ac:dyDescent="0.25">
      <c r="A910" s="11">
        <v>46042</v>
      </c>
      <c r="B910" s="12">
        <v>226</v>
      </c>
      <c r="C910" s="12" t="s">
        <v>513</v>
      </c>
      <c r="D910" s="13" t="s">
        <v>1387</v>
      </c>
      <c r="E910" s="14"/>
      <c r="F910" s="15">
        <v>440200</v>
      </c>
      <c r="G910" s="16"/>
      <c r="H910" s="16">
        <v>310000</v>
      </c>
      <c r="I910" s="16">
        <v>0</v>
      </c>
      <c r="J910" s="16">
        <v>0</v>
      </c>
      <c r="K910" s="17">
        <v>0</v>
      </c>
    </row>
    <row r="911" spans="1:11" x14ac:dyDescent="0.25">
      <c r="A911" s="18">
        <v>46043</v>
      </c>
      <c r="B911" s="19">
        <v>226</v>
      </c>
      <c r="C911" s="19" t="s">
        <v>513</v>
      </c>
      <c r="D911" s="20" t="s">
        <v>1385</v>
      </c>
      <c r="E911" s="21">
        <v>4400</v>
      </c>
      <c r="F911" s="22"/>
      <c r="G911" s="23">
        <v>110000</v>
      </c>
      <c r="H911" s="23">
        <v>200000</v>
      </c>
      <c r="I911" s="23">
        <v>0</v>
      </c>
      <c r="J911" s="23">
        <v>0</v>
      </c>
      <c r="K911" s="24">
        <v>0</v>
      </c>
    </row>
    <row r="912" spans="1:11" x14ac:dyDescent="0.25">
      <c r="A912" s="11">
        <v>46043</v>
      </c>
      <c r="B912" s="12">
        <v>226</v>
      </c>
      <c r="C912" s="12" t="s">
        <v>513</v>
      </c>
      <c r="D912" s="13" t="s">
        <v>1385</v>
      </c>
      <c r="E912" s="14">
        <v>1800</v>
      </c>
      <c r="F912" s="15"/>
      <c r="G912" s="16">
        <v>45000</v>
      </c>
      <c r="H912" s="16">
        <v>155000</v>
      </c>
      <c r="I912" s="16">
        <v>0</v>
      </c>
      <c r="J912" s="16">
        <v>0</v>
      </c>
      <c r="K912" s="17">
        <v>0</v>
      </c>
    </row>
    <row r="913" spans="1:11" x14ac:dyDescent="0.25">
      <c r="A913" s="18">
        <v>46056</v>
      </c>
      <c r="B913" s="19">
        <v>226</v>
      </c>
      <c r="C913" s="19" t="s">
        <v>513</v>
      </c>
      <c r="D913" s="20" t="s">
        <v>1385</v>
      </c>
      <c r="E913" s="21">
        <v>4400</v>
      </c>
      <c r="F913" s="22"/>
      <c r="G913" s="23">
        <v>110000</v>
      </c>
      <c r="H913" s="23">
        <v>45000</v>
      </c>
      <c r="I913" s="23">
        <v>0</v>
      </c>
      <c r="J913" s="23">
        <v>0</v>
      </c>
      <c r="K913" s="24">
        <v>0</v>
      </c>
    </row>
    <row r="914" spans="1:11" x14ac:dyDescent="0.25">
      <c r="A914" s="11">
        <v>46056</v>
      </c>
      <c r="B914" s="12">
        <v>226</v>
      </c>
      <c r="C914" s="12" t="s">
        <v>513</v>
      </c>
      <c r="D914" s="13" t="s">
        <v>1385</v>
      </c>
      <c r="E914" s="14">
        <v>1800</v>
      </c>
      <c r="F914" s="15"/>
      <c r="G914" s="16">
        <v>45000</v>
      </c>
      <c r="H914" s="16">
        <v>0</v>
      </c>
      <c r="I914" s="16">
        <v>0</v>
      </c>
      <c r="J914" s="16">
        <v>0</v>
      </c>
      <c r="K914" s="17">
        <v>0</v>
      </c>
    </row>
    <row r="915" spans="1:11" x14ac:dyDescent="0.25">
      <c r="A915" s="18">
        <v>46056</v>
      </c>
      <c r="B915" s="19">
        <v>226</v>
      </c>
      <c r="C915" s="19" t="s">
        <v>513</v>
      </c>
      <c r="D915" s="20" t="s">
        <v>1383</v>
      </c>
      <c r="E915" s="21">
        <v>200</v>
      </c>
      <c r="F915" s="22"/>
      <c r="G915" s="23">
        <v>0</v>
      </c>
      <c r="H915" s="23">
        <v>0</v>
      </c>
      <c r="I915" s="23">
        <v>0</v>
      </c>
      <c r="J915" s="23">
        <v>0</v>
      </c>
      <c r="K915" s="24">
        <v>0</v>
      </c>
    </row>
    <row r="916" spans="1:11" x14ac:dyDescent="0.25">
      <c r="A916" s="11">
        <v>46066</v>
      </c>
      <c r="B916" s="12">
        <v>226</v>
      </c>
      <c r="C916" s="12" t="s">
        <v>513</v>
      </c>
      <c r="D916" s="13" t="s">
        <v>1383</v>
      </c>
      <c r="E916" s="14">
        <v>200</v>
      </c>
      <c r="F916" s="15"/>
      <c r="G916" s="16">
        <v>5000</v>
      </c>
      <c r="H916" s="16">
        <v>0</v>
      </c>
      <c r="I916" s="16">
        <v>5000</v>
      </c>
      <c r="J916" s="16">
        <v>0</v>
      </c>
      <c r="K916" s="17">
        <v>0</v>
      </c>
    </row>
    <row r="917" spans="1:11" x14ac:dyDescent="0.25">
      <c r="A917" s="18">
        <v>46066</v>
      </c>
      <c r="B917" s="19">
        <v>226</v>
      </c>
      <c r="C917" s="19" t="s">
        <v>513</v>
      </c>
      <c r="D917" s="20" t="s">
        <v>1385</v>
      </c>
      <c r="E917" s="21">
        <v>4400</v>
      </c>
      <c r="F917" s="22"/>
      <c r="G917" s="23">
        <v>110000</v>
      </c>
      <c r="H917" s="23">
        <v>0</v>
      </c>
      <c r="I917" s="23">
        <v>115000</v>
      </c>
      <c r="J917" s="23">
        <v>0</v>
      </c>
      <c r="K917" s="24">
        <v>0</v>
      </c>
    </row>
    <row r="918" spans="1:11" x14ac:dyDescent="0.25">
      <c r="A918" s="11">
        <v>46066</v>
      </c>
      <c r="B918" s="12">
        <v>226</v>
      </c>
      <c r="C918" s="12" t="s">
        <v>513</v>
      </c>
      <c r="D918" s="13" t="s">
        <v>1385</v>
      </c>
      <c r="E918" s="14">
        <v>1800</v>
      </c>
      <c r="F918" s="15"/>
      <c r="G918" s="16">
        <v>45000</v>
      </c>
      <c r="H918" s="16">
        <v>0</v>
      </c>
      <c r="I918" s="16">
        <v>160000</v>
      </c>
      <c r="J918" s="16">
        <v>0</v>
      </c>
      <c r="K918" s="17">
        <v>0</v>
      </c>
    </row>
    <row r="919" spans="1:11" x14ac:dyDescent="0.25">
      <c r="A919" s="18">
        <v>46069</v>
      </c>
      <c r="B919" s="19">
        <v>226</v>
      </c>
      <c r="C919" s="19" t="s">
        <v>513</v>
      </c>
      <c r="D919" s="20" t="s">
        <v>1384</v>
      </c>
      <c r="E919" s="21"/>
      <c r="F919" s="22">
        <v>465000</v>
      </c>
      <c r="G919" s="23"/>
      <c r="H919" s="23">
        <v>305000</v>
      </c>
      <c r="I919" s="23">
        <v>0</v>
      </c>
      <c r="J919" s="23">
        <v>305000</v>
      </c>
      <c r="K919" s="24">
        <v>0</v>
      </c>
    </row>
    <row r="920" spans="1:11" x14ac:dyDescent="0.25">
      <c r="A920" s="11">
        <v>46048</v>
      </c>
      <c r="B920" s="12">
        <v>227</v>
      </c>
      <c r="C920" s="12" t="s">
        <v>509</v>
      </c>
      <c r="D920" s="13" t="s">
        <v>1383</v>
      </c>
      <c r="E920" s="14">
        <v>500</v>
      </c>
      <c r="F920" s="15"/>
      <c r="G920" s="16">
        <v>50000</v>
      </c>
      <c r="H920" s="16">
        <v>0</v>
      </c>
      <c r="I920" s="16">
        <v>50000</v>
      </c>
      <c r="J920" s="16">
        <v>0</v>
      </c>
      <c r="K920" s="17">
        <v>0</v>
      </c>
    </row>
    <row r="921" spans="1:11" x14ac:dyDescent="0.25">
      <c r="A921" s="18">
        <v>46052</v>
      </c>
      <c r="B921" s="19">
        <v>227</v>
      </c>
      <c r="C921" s="19" t="s">
        <v>509</v>
      </c>
      <c r="D921" s="20" t="s">
        <v>1384</v>
      </c>
      <c r="E921" s="21"/>
      <c r="F921" s="22">
        <v>50000</v>
      </c>
      <c r="G921" s="23"/>
      <c r="H921" s="23">
        <v>0</v>
      </c>
      <c r="I921" s="23">
        <v>0</v>
      </c>
      <c r="J921" s="23">
        <v>0</v>
      </c>
      <c r="K921" s="24">
        <v>0</v>
      </c>
    </row>
    <row r="922" spans="1:11" x14ac:dyDescent="0.25">
      <c r="A922" s="11">
        <v>46046</v>
      </c>
      <c r="B922" s="12">
        <v>228</v>
      </c>
      <c r="C922" s="12" t="s">
        <v>505</v>
      </c>
      <c r="D922" s="13" t="s">
        <v>1385</v>
      </c>
      <c r="E922" s="14">
        <v>1500</v>
      </c>
      <c r="F922" s="15"/>
      <c r="G922" s="16">
        <v>0</v>
      </c>
      <c r="H922" s="16">
        <v>0</v>
      </c>
      <c r="I922" s="16">
        <v>0</v>
      </c>
      <c r="J922" s="16">
        <v>0</v>
      </c>
      <c r="K922" s="17">
        <v>0</v>
      </c>
    </row>
    <row r="923" spans="1:11" x14ac:dyDescent="0.25">
      <c r="A923" s="18">
        <v>46049</v>
      </c>
      <c r="B923" s="19">
        <v>228</v>
      </c>
      <c r="C923" s="19" t="s">
        <v>505</v>
      </c>
      <c r="D923" s="20" t="s">
        <v>1385</v>
      </c>
      <c r="E923" s="21">
        <v>5500</v>
      </c>
      <c r="F923" s="22"/>
      <c r="G923" s="23">
        <v>137500</v>
      </c>
      <c r="H923" s="23">
        <v>0</v>
      </c>
      <c r="I923" s="23">
        <v>137500</v>
      </c>
      <c r="J923" s="23">
        <v>0</v>
      </c>
      <c r="K923" s="24">
        <v>0</v>
      </c>
    </row>
    <row r="924" spans="1:11" x14ac:dyDescent="0.25">
      <c r="A924" s="11">
        <v>46049</v>
      </c>
      <c r="B924" s="12">
        <v>228</v>
      </c>
      <c r="C924" s="12" t="s">
        <v>505</v>
      </c>
      <c r="D924" s="13" t="s">
        <v>1385</v>
      </c>
      <c r="E924" s="14">
        <v>5750</v>
      </c>
      <c r="F924" s="15"/>
      <c r="G924" s="16">
        <v>143750</v>
      </c>
      <c r="H924" s="16">
        <v>0</v>
      </c>
      <c r="I924" s="16">
        <v>281250</v>
      </c>
      <c r="J924" s="16">
        <v>0</v>
      </c>
      <c r="K924" s="17">
        <v>0</v>
      </c>
    </row>
    <row r="925" spans="1:11" x14ac:dyDescent="0.25">
      <c r="A925" s="18">
        <v>46050</v>
      </c>
      <c r="B925" s="19">
        <v>228</v>
      </c>
      <c r="C925" s="19" t="s">
        <v>505</v>
      </c>
      <c r="D925" s="20" t="s">
        <v>1384</v>
      </c>
      <c r="E925" s="21"/>
      <c r="F925" s="22">
        <v>281250</v>
      </c>
      <c r="G925" s="23"/>
      <c r="H925" s="23">
        <v>0</v>
      </c>
      <c r="I925" s="23">
        <v>0</v>
      </c>
      <c r="J925" s="23">
        <v>0</v>
      </c>
      <c r="K925" s="24">
        <v>0</v>
      </c>
    </row>
    <row r="926" spans="1:11" x14ac:dyDescent="0.25">
      <c r="A926" s="11">
        <v>46062</v>
      </c>
      <c r="B926" s="12">
        <v>228</v>
      </c>
      <c r="C926" s="12" t="s">
        <v>505</v>
      </c>
      <c r="D926" s="13" t="s">
        <v>1384</v>
      </c>
      <c r="E926" s="14"/>
      <c r="F926" s="15">
        <v>562500</v>
      </c>
      <c r="G926" s="16"/>
      <c r="H926" s="16">
        <v>562500</v>
      </c>
      <c r="I926" s="16">
        <v>0</v>
      </c>
      <c r="J926" s="16">
        <v>0</v>
      </c>
      <c r="K926" s="17">
        <v>0</v>
      </c>
    </row>
    <row r="927" spans="1:11" x14ac:dyDescent="0.25">
      <c r="A927" s="18">
        <v>46062</v>
      </c>
      <c r="B927" s="19">
        <v>228</v>
      </c>
      <c r="C927" s="19" t="s">
        <v>505</v>
      </c>
      <c r="D927" s="20" t="s">
        <v>1385</v>
      </c>
      <c r="E927" s="21">
        <v>11500</v>
      </c>
      <c r="F927" s="22"/>
      <c r="G927" s="23">
        <v>287500</v>
      </c>
      <c r="H927" s="23">
        <v>275000</v>
      </c>
      <c r="I927" s="23">
        <v>0</v>
      </c>
      <c r="J927" s="23">
        <v>0</v>
      </c>
      <c r="K927" s="24">
        <v>0</v>
      </c>
    </row>
    <row r="928" spans="1:11" x14ac:dyDescent="0.25">
      <c r="A928" s="11">
        <v>46062</v>
      </c>
      <c r="B928" s="12">
        <v>228</v>
      </c>
      <c r="C928" s="12" t="s">
        <v>505</v>
      </c>
      <c r="D928" s="13" t="s">
        <v>1385</v>
      </c>
      <c r="E928" s="14">
        <v>11000</v>
      </c>
      <c r="F928" s="15"/>
      <c r="G928" s="16">
        <v>275000</v>
      </c>
      <c r="H928" s="16">
        <v>0</v>
      </c>
      <c r="I928" s="16">
        <v>0</v>
      </c>
      <c r="J928" s="16">
        <v>0</v>
      </c>
      <c r="K928" s="17">
        <v>0</v>
      </c>
    </row>
    <row r="929" spans="1:11" x14ac:dyDescent="0.25">
      <c r="A929" s="18">
        <v>46052</v>
      </c>
      <c r="B929" s="19">
        <v>229</v>
      </c>
      <c r="C929" s="19" t="s">
        <v>501</v>
      </c>
      <c r="D929" s="20" t="s">
        <v>1385</v>
      </c>
      <c r="E929" s="21">
        <v>2010</v>
      </c>
      <c r="F929" s="22"/>
      <c r="G929" s="23">
        <v>80400</v>
      </c>
      <c r="H929" s="23">
        <v>0</v>
      </c>
      <c r="I929" s="23">
        <v>80400</v>
      </c>
      <c r="J929" s="23">
        <v>0</v>
      </c>
      <c r="K929" s="24">
        <v>0</v>
      </c>
    </row>
    <row r="930" spans="1:11" x14ac:dyDescent="0.25">
      <c r="A930" s="11">
        <v>46052</v>
      </c>
      <c r="B930" s="12">
        <v>229</v>
      </c>
      <c r="C930" s="12" t="s">
        <v>501</v>
      </c>
      <c r="D930" s="13" t="s">
        <v>1390</v>
      </c>
      <c r="E930" s="14"/>
      <c r="F930" s="15">
        <v>80400</v>
      </c>
      <c r="G930" s="16"/>
      <c r="H930" s="16">
        <v>0</v>
      </c>
      <c r="I930" s="16">
        <v>0</v>
      </c>
      <c r="J930" s="16">
        <v>0</v>
      </c>
      <c r="K930" s="17">
        <v>0</v>
      </c>
    </row>
    <row r="931" spans="1:11" x14ac:dyDescent="0.25">
      <c r="A931" s="18">
        <v>46060</v>
      </c>
      <c r="B931" s="19">
        <v>229</v>
      </c>
      <c r="C931" s="19" t="s">
        <v>501</v>
      </c>
      <c r="D931" s="20" t="s">
        <v>1385</v>
      </c>
      <c r="E931" s="21">
        <v>2010</v>
      </c>
      <c r="F931" s="22"/>
      <c r="G931" s="23">
        <v>80400</v>
      </c>
      <c r="H931" s="23">
        <v>0</v>
      </c>
      <c r="I931" s="23">
        <v>80400</v>
      </c>
      <c r="J931" s="23">
        <v>0</v>
      </c>
      <c r="K931" s="24">
        <v>0</v>
      </c>
    </row>
    <row r="932" spans="1:11" x14ac:dyDescent="0.25">
      <c r="A932" s="11">
        <v>46060</v>
      </c>
      <c r="B932" s="12">
        <v>229</v>
      </c>
      <c r="C932" s="12" t="s">
        <v>501</v>
      </c>
      <c r="D932" s="13" t="s">
        <v>1399</v>
      </c>
      <c r="E932" s="14"/>
      <c r="F932" s="15">
        <v>80400</v>
      </c>
      <c r="G932" s="16"/>
      <c r="H932" s="16">
        <v>0</v>
      </c>
      <c r="I932" s="16">
        <v>0</v>
      </c>
      <c r="J932" s="16">
        <v>0</v>
      </c>
      <c r="K932" s="17">
        <v>0</v>
      </c>
    </row>
    <row r="933" spans="1:11" x14ac:dyDescent="0.25">
      <c r="A933" s="18">
        <v>46051</v>
      </c>
      <c r="B933" s="19">
        <v>231</v>
      </c>
      <c r="C933" s="19" t="s">
        <v>493</v>
      </c>
      <c r="D933" s="20" t="s">
        <v>1385</v>
      </c>
      <c r="E933" s="21">
        <v>1050</v>
      </c>
      <c r="F933" s="22"/>
      <c r="G933" s="23">
        <v>44000</v>
      </c>
      <c r="H933" s="23">
        <v>0</v>
      </c>
      <c r="I933" s="23">
        <v>44000</v>
      </c>
      <c r="J933" s="23">
        <v>0</v>
      </c>
      <c r="K933" s="24">
        <v>0</v>
      </c>
    </row>
    <row r="934" spans="1:11" x14ac:dyDescent="0.25">
      <c r="A934" s="11">
        <v>46065</v>
      </c>
      <c r="B934" s="12">
        <v>231</v>
      </c>
      <c r="C934" s="12" t="s">
        <v>493</v>
      </c>
      <c r="D934" s="13" t="s">
        <v>1384</v>
      </c>
      <c r="E934" s="14"/>
      <c r="F934" s="15">
        <v>88000</v>
      </c>
      <c r="G934" s="16"/>
      <c r="H934" s="16">
        <v>44000</v>
      </c>
      <c r="I934" s="16">
        <v>0</v>
      </c>
      <c r="J934" s="16">
        <v>0</v>
      </c>
      <c r="K934" s="17">
        <v>0</v>
      </c>
    </row>
    <row r="935" spans="1:11" x14ac:dyDescent="0.25">
      <c r="A935" s="18">
        <v>46065</v>
      </c>
      <c r="B935" s="19">
        <v>231</v>
      </c>
      <c r="C935" s="19" t="s">
        <v>493</v>
      </c>
      <c r="D935" s="20" t="s">
        <v>1385</v>
      </c>
      <c r="E935" s="21">
        <v>1050</v>
      </c>
      <c r="F935" s="22"/>
      <c r="G935" s="23">
        <v>44000</v>
      </c>
      <c r="H935" s="23">
        <v>0</v>
      </c>
      <c r="I935" s="23">
        <v>0</v>
      </c>
      <c r="J935" s="23">
        <v>0</v>
      </c>
      <c r="K935" s="24">
        <v>0</v>
      </c>
    </row>
    <row r="936" spans="1:11" x14ac:dyDescent="0.25">
      <c r="A936" s="11">
        <v>46057</v>
      </c>
      <c r="B936" s="12">
        <v>234</v>
      </c>
      <c r="C936" s="12" t="s">
        <v>483</v>
      </c>
      <c r="D936" s="13" t="s">
        <v>1385</v>
      </c>
      <c r="E936" s="14">
        <v>4800</v>
      </c>
      <c r="F936" s="15"/>
      <c r="G936" s="16">
        <v>144000</v>
      </c>
      <c r="H936" s="16">
        <v>0</v>
      </c>
      <c r="I936" s="16">
        <v>144000</v>
      </c>
      <c r="J936" s="16">
        <v>0</v>
      </c>
      <c r="K936" s="17">
        <v>144000</v>
      </c>
    </row>
    <row r="937" spans="1:11" x14ac:dyDescent="0.25">
      <c r="A937" s="18">
        <v>46041</v>
      </c>
      <c r="B937" s="19">
        <v>235</v>
      </c>
      <c r="C937" s="19" t="s">
        <v>85</v>
      </c>
      <c r="D937" s="20" t="s">
        <v>1385</v>
      </c>
      <c r="E937" s="21">
        <v>1260</v>
      </c>
      <c r="F937" s="22"/>
      <c r="G937" s="23">
        <v>10000</v>
      </c>
      <c r="H937" s="23">
        <v>0</v>
      </c>
      <c r="I937" s="23">
        <v>10000</v>
      </c>
      <c r="J937" s="23">
        <v>0</v>
      </c>
      <c r="K937" s="24">
        <v>0</v>
      </c>
    </row>
    <row r="938" spans="1:11" x14ac:dyDescent="0.25">
      <c r="A938" s="11">
        <v>46041</v>
      </c>
      <c r="B938" s="12">
        <v>235</v>
      </c>
      <c r="C938" s="12" t="s">
        <v>85</v>
      </c>
      <c r="D938" s="13" t="s">
        <v>1390</v>
      </c>
      <c r="E938" s="14"/>
      <c r="F938" s="15">
        <v>10000</v>
      </c>
      <c r="G938" s="16"/>
      <c r="H938" s="16">
        <v>0</v>
      </c>
      <c r="I938" s="16">
        <v>0</v>
      </c>
      <c r="J938" s="16">
        <v>0</v>
      </c>
      <c r="K938" s="17">
        <v>0</v>
      </c>
    </row>
    <row r="939" spans="1:11" x14ac:dyDescent="0.25">
      <c r="A939" s="18">
        <v>46039</v>
      </c>
      <c r="B939" s="19">
        <v>236</v>
      </c>
      <c r="C939" s="19" t="s">
        <v>479</v>
      </c>
      <c r="D939" s="20"/>
      <c r="E939" s="21"/>
      <c r="F939" s="22">
        <v>0</v>
      </c>
      <c r="G939" s="23"/>
      <c r="H939" s="23">
        <v>0</v>
      </c>
      <c r="I939" s="23">
        <v>0</v>
      </c>
      <c r="J939" s="23">
        <v>0</v>
      </c>
      <c r="K939" s="24">
        <v>0</v>
      </c>
    </row>
    <row r="940" spans="1:11" x14ac:dyDescent="0.25">
      <c r="A940" s="11">
        <v>46039</v>
      </c>
      <c r="B940" s="12">
        <v>237</v>
      </c>
      <c r="C940" s="12" t="s">
        <v>475</v>
      </c>
      <c r="D940" s="13"/>
      <c r="E940" s="14"/>
      <c r="F940" s="15">
        <v>0</v>
      </c>
      <c r="G940" s="16"/>
      <c r="H940" s="16">
        <v>0</v>
      </c>
      <c r="I940" s="16">
        <v>0</v>
      </c>
      <c r="J940" s="16">
        <v>0</v>
      </c>
      <c r="K940" s="17">
        <v>0</v>
      </c>
    </row>
    <row r="941" spans="1:11" x14ac:dyDescent="0.25">
      <c r="A941" s="18">
        <v>46039</v>
      </c>
      <c r="B941" s="19">
        <v>238</v>
      </c>
      <c r="C941" s="19" t="s">
        <v>471</v>
      </c>
      <c r="D941" s="20"/>
      <c r="E941" s="21"/>
      <c r="F941" s="22"/>
      <c r="G941" s="23">
        <v>132600</v>
      </c>
      <c r="H941" s="23">
        <v>0</v>
      </c>
      <c r="I941" s="23">
        <v>132600</v>
      </c>
      <c r="J941" s="23">
        <v>0</v>
      </c>
      <c r="K941" s="24">
        <v>0</v>
      </c>
    </row>
    <row r="942" spans="1:11" x14ac:dyDescent="0.25">
      <c r="A942" s="11">
        <v>46039</v>
      </c>
      <c r="B942" s="12">
        <v>238</v>
      </c>
      <c r="C942" s="12" t="s">
        <v>471</v>
      </c>
      <c r="D942" s="13"/>
      <c r="E942" s="14"/>
      <c r="F942" s="15">
        <v>0</v>
      </c>
      <c r="G942" s="16"/>
      <c r="H942" s="16">
        <v>0</v>
      </c>
      <c r="I942" s="16">
        <v>132600</v>
      </c>
      <c r="J942" s="16">
        <v>0</v>
      </c>
      <c r="K942" s="17">
        <v>0</v>
      </c>
    </row>
    <row r="943" spans="1:11" x14ac:dyDescent="0.25">
      <c r="A943" s="18">
        <v>46055</v>
      </c>
      <c r="B943" s="19">
        <v>238</v>
      </c>
      <c r="C943" s="19" t="s">
        <v>471</v>
      </c>
      <c r="D943" s="20" t="s">
        <v>1384</v>
      </c>
      <c r="E943" s="21"/>
      <c r="F943" s="22">
        <v>132600</v>
      </c>
      <c r="G943" s="23"/>
      <c r="H943" s="23">
        <v>0</v>
      </c>
      <c r="I943" s="23">
        <v>0</v>
      </c>
      <c r="J943" s="23">
        <v>0</v>
      </c>
      <c r="K943" s="24">
        <v>0</v>
      </c>
    </row>
    <row r="944" spans="1:11" x14ac:dyDescent="0.25">
      <c r="A944" s="11">
        <v>46055</v>
      </c>
      <c r="B944" s="12">
        <v>238</v>
      </c>
      <c r="C944" s="12" t="s">
        <v>471</v>
      </c>
      <c r="D944" s="13" t="s">
        <v>1385</v>
      </c>
      <c r="E944" s="14">
        <v>5100</v>
      </c>
      <c r="F944" s="15"/>
      <c r="G944" s="16">
        <v>132600</v>
      </c>
      <c r="H944" s="16">
        <v>0</v>
      </c>
      <c r="I944" s="16">
        <v>132600</v>
      </c>
      <c r="J944" s="16">
        <v>0</v>
      </c>
      <c r="K944" s="17">
        <v>0</v>
      </c>
    </row>
    <row r="945" spans="1:11" x14ac:dyDescent="0.25">
      <c r="A945" s="18">
        <v>46056</v>
      </c>
      <c r="B945" s="19">
        <v>238</v>
      </c>
      <c r="C945" s="19" t="s">
        <v>471</v>
      </c>
      <c r="D945" s="20" t="s">
        <v>1413</v>
      </c>
      <c r="E945" s="21"/>
      <c r="F945" s="22">
        <v>7500</v>
      </c>
      <c r="G945" s="23"/>
      <c r="H945" s="23">
        <v>0</v>
      </c>
      <c r="I945" s="23">
        <v>125100</v>
      </c>
      <c r="J945" s="23">
        <v>0</v>
      </c>
      <c r="K945" s="24">
        <v>0</v>
      </c>
    </row>
    <row r="946" spans="1:11" x14ac:dyDescent="0.25">
      <c r="A946" s="11">
        <v>46070</v>
      </c>
      <c r="B946" s="12">
        <v>238</v>
      </c>
      <c r="C946" s="12" t="s">
        <v>471</v>
      </c>
      <c r="D946" s="13" t="s">
        <v>1384</v>
      </c>
      <c r="E946" s="14"/>
      <c r="F946" s="15">
        <v>132600</v>
      </c>
      <c r="G946" s="16"/>
      <c r="H946" s="16">
        <v>7500</v>
      </c>
      <c r="I946" s="16">
        <v>0</v>
      </c>
      <c r="J946" s="16">
        <v>0</v>
      </c>
      <c r="K946" s="17">
        <v>0</v>
      </c>
    </row>
    <row r="947" spans="1:11" x14ac:dyDescent="0.25">
      <c r="A947" s="18">
        <v>46071</v>
      </c>
      <c r="B947" s="19">
        <v>238</v>
      </c>
      <c r="C947" s="19" t="s">
        <v>471</v>
      </c>
      <c r="D947" s="20" t="s">
        <v>1385</v>
      </c>
      <c r="E947" s="21">
        <v>5100</v>
      </c>
      <c r="F947" s="22"/>
      <c r="G947" s="23">
        <v>132600</v>
      </c>
      <c r="H947" s="23">
        <v>0</v>
      </c>
      <c r="I947" s="23">
        <v>125100</v>
      </c>
      <c r="J947" s="23">
        <v>0</v>
      </c>
      <c r="K947" s="24">
        <v>125100</v>
      </c>
    </row>
    <row r="948" spans="1:11" x14ac:dyDescent="0.25">
      <c r="A948" s="11">
        <v>46039</v>
      </c>
      <c r="B948" s="12">
        <v>239</v>
      </c>
      <c r="C948" s="12" t="s">
        <v>468</v>
      </c>
      <c r="D948" s="13"/>
      <c r="E948" s="14"/>
      <c r="F948" s="15"/>
      <c r="G948" s="16">
        <v>45000</v>
      </c>
      <c r="H948" s="16">
        <v>0</v>
      </c>
      <c r="I948" s="16">
        <v>45000</v>
      </c>
      <c r="J948" s="16">
        <v>0</v>
      </c>
      <c r="K948" s="17">
        <v>0</v>
      </c>
    </row>
    <row r="949" spans="1:11" x14ac:dyDescent="0.25">
      <c r="A949" s="18">
        <v>46051</v>
      </c>
      <c r="B949" s="19">
        <v>239</v>
      </c>
      <c r="C949" s="19" t="s">
        <v>468</v>
      </c>
      <c r="D949" s="20" t="s">
        <v>1385</v>
      </c>
      <c r="E949" s="21">
        <v>3450</v>
      </c>
      <c r="F949" s="22"/>
      <c r="G949" s="23">
        <v>30000</v>
      </c>
      <c r="H949" s="23">
        <v>0</v>
      </c>
      <c r="I949" s="23">
        <v>75000</v>
      </c>
      <c r="J949" s="23">
        <v>0</v>
      </c>
      <c r="K949" s="24">
        <v>0</v>
      </c>
    </row>
    <row r="950" spans="1:11" x14ac:dyDescent="0.25">
      <c r="A950" s="11">
        <v>46053</v>
      </c>
      <c r="B950" s="12">
        <v>239</v>
      </c>
      <c r="C950" s="12" t="s">
        <v>468</v>
      </c>
      <c r="D950" s="13" t="s">
        <v>1384</v>
      </c>
      <c r="E950" s="14"/>
      <c r="F950" s="15">
        <v>75000</v>
      </c>
      <c r="G950" s="16"/>
      <c r="H950" s="16">
        <v>0</v>
      </c>
      <c r="I950" s="16">
        <v>0</v>
      </c>
      <c r="J950" s="16">
        <v>0</v>
      </c>
      <c r="K950" s="17">
        <v>0</v>
      </c>
    </row>
    <row r="951" spans="1:11" x14ac:dyDescent="0.25">
      <c r="A951" s="18">
        <v>46066</v>
      </c>
      <c r="B951" s="19">
        <v>239</v>
      </c>
      <c r="C951" s="19" t="s">
        <v>468</v>
      </c>
      <c r="D951" s="20" t="s">
        <v>1385</v>
      </c>
      <c r="E951" s="21">
        <v>3450</v>
      </c>
      <c r="F951" s="22"/>
      <c r="G951" s="23">
        <v>45000</v>
      </c>
      <c r="H951" s="23">
        <v>0</v>
      </c>
      <c r="I951" s="23">
        <v>45000</v>
      </c>
      <c r="J951" s="23">
        <v>0</v>
      </c>
      <c r="K951" s="24">
        <v>45000</v>
      </c>
    </row>
    <row r="952" spans="1:11" x14ac:dyDescent="0.25">
      <c r="A952" s="11">
        <v>46039</v>
      </c>
      <c r="B952" s="12">
        <v>240</v>
      </c>
      <c r="C952" s="12" t="s">
        <v>464</v>
      </c>
      <c r="D952" s="13"/>
      <c r="E952" s="14"/>
      <c r="F952" s="15"/>
      <c r="G952" s="16">
        <v>124800</v>
      </c>
      <c r="H952" s="16">
        <v>0</v>
      </c>
      <c r="I952" s="16">
        <v>124800</v>
      </c>
      <c r="J952" s="16">
        <v>0</v>
      </c>
      <c r="K952" s="17">
        <v>0</v>
      </c>
    </row>
    <row r="953" spans="1:11" x14ac:dyDescent="0.25">
      <c r="A953" s="18">
        <v>46041</v>
      </c>
      <c r="B953" s="19">
        <v>240</v>
      </c>
      <c r="C953" s="19" t="s">
        <v>464</v>
      </c>
      <c r="D953" s="20" t="s">
        <v>1385</v>
      </c>
      <c r="E953" s="21">
        <v>3330</v>
      </c>
      <c r="F953" s="22"/>
      <c r="G953" s="23">
        <v>132000</v>
      </c>
      <c r="H953" s="23">
        <v>0</v>
      </c>
      <c r="I953" s="23">
        <v>256800</v>
      </c>
      <c r="J953" s="23">
        <v>0</v>
      </c>
      <c r="K953" s="24">
        <v>0</v>
      </c>
    </row>
    <row r="954" spans="1:11" x14ac:dyDescent="0.25">
      <c r="A954" s="11">
        <v>46041</v>
      </c>
      <c r="B954" s="12">
        <v>240</v>
      </c>
      <c r="C954" s="12" t="s">
        <v>464</v>
      </c>
      <c r="D954" s="13" t="s">
        <v>1384</v>
      </c>
      <c r="E954" s="14"/>
      <c r="F954" s="15">
        <v>256800</v>
      </c>
      <c r="G954" s="16"/>
      <c r="H954" s="16">
        <v>0</v>
      </c>
      <c r="I954" s="16">
        <v>0</v>
      </c>
      <c r="J954" s="16">
        <v>0</v>
      </c>
      <c r="K954" s="17">
        <v>0</v>
      </c>
    </row>
    <row r="955" spans="1:11" x14ac:dyDescent="0.25">
      <c r="A955" s="18">
        <v>46058</v>
      </c>
      <c r="B955" s="19">
        <v>240</v>
      </c>
      <c r="C955" s="19" t="s">
        <v>464</v>
      </c>
      <c r="D955" s="20" t="s">
        <v>1385</v>
      </c>
      <c r="E955" s="21">
        <v>3330</v>
      </c>
      <c r="F955" s="22"/>
      <c r="G955" s="23">
        <v>133200</v>
      </c>
      <c r="H955" s="23">
        <v>0</v>
      </c>
      <c r="I955" s="23">
        <v>133200</v>
      </c>
      <c r="J955" s="23">
        <v>0</v>
      </c>
      <c r="K955" s="24">
        <v>0</v>
      </c>
    </row>
    <row r="956" spans="1:11" x14ac:dyDescent="0.25">
      <c r="A956" s="11">
        <v>46070</v>
      </c>
      <c r="B956" s="12">
        <v>240</v>
      </c>
      <c r="C956" s="12" t="s">
        <v>464</v>
      </c>
      <c r="D956" s="13" t="s">
        <v>1384</v>
      </c>
      <c r="E956" s="14"/>
      <c r="F956" s="15">
        <v>132000</v>
      </c>
      <c r="G956" s="16"/>
      <c r="H956" s="16">
        <v>0</v>
      </c>
      <c r="I956" s="16">
        <v>1200</v>
      </c>
      <c r="J956" s="16">
        <v>0</v>
      </c>
      <c r="K956" s="17">
        <v>0</v>
      </c>
    </row>
    <row r="957" spans="1:11" x14ac:dyDescent="0.25">
      <c r="A957" s="18">
        <v>46070</v>
      </c>
      <c r="B957" s="19">
        <v>240</v>
      </c>
      <c r="C957" s="19" t="s">
        <v>464</v>
      </c>
      <c r="D957" s="20" t="s">
        <v>1384</v>
      </c>
      <c r="E957" s="21"/>
      <c r="F957" s="22">
        <v>132000</v>
      </c>
      <c r="G957" s="23"/>
      <c r="H957" s="23">
        <v>130800</v>
      </c>
      <c r="I957" s="23">
        <v>0</v>
      </c>
      <c r="J957" s="23">
        <v>0</v>
      </c>
      <c r="K957" s="24">
        <v>0</v>
      </c>
    </row>
    <row r="958" spans="1:11" x14ac:dyDescent="0.25">
      <c r="A958" s="11">
        <v>46071</v>
      </c>
      <c r="B958" s="12">
        <v>240</v>
      </c>
      <c r="C958" s="12" t="s">
        <v>464</v>
      </c>
      <c r="D958" s="13" t="s">
        <v>1385</v>
      </c>
      <c r="E958" s="14">
        <v>3330</v>
      </c>
      <c r="F958" s="15"/>
      <c r="G958" s="16">
        <v>133200</v>
      </c>
      <c r="H958" s="16">
        <v>0</v>
      </c>
      <c r="I958" s="16">
        <v>2400</v>
      </c>
      <c r="J958" s="16">
        <v>0</v>
      </c>
      <c r="K958" s="17">
        <v>2400</v>
      </c>
    </row>
    <row r="959" spans="1:11" x14ac:dyDescent="0.25">
      <c r="A959" s="18">
        <v>46039</v>
      </c>
      <c r="B959" s="19">
        <v>241</v>
      </c>
      <c r="C959" s="19" t="s">
        <v>460</v>
      </c>
      <c r="D959" s="20"/>
      <c r="E959" s="21"/>
      <c r="F959" s="22">
        <v>229050</v>
      </c>
      <c r="G959" s="23"/>
      <c r="H959" s="23">
        <v>229050</v>
      </c>
      <c r="I959" s="23">
        <v>0</v>
      </c>
      <c r="J959" s="23">
        <v>0</v>
      </c>
      <c r="K959" s="24">
        <v>0</v>
      </c>
    </row>
    <row r="960" spans="1:11" x14ac:dyDescent="0.25">
      <c r="A960" s="11">
        <v>46050</v>
      </c>
      <c r="B960" s="12">
        <v>241</v>
      </c>
      <c r="C960" s="12" t="s">
        <v>460</v>
      </c>
      <c r="D960" s="13" t="s">
        <v>1385</v>
      </c>
      <c r="E960" s="14">
        <v>9000</v>
      </c>
      <c r="F960" s="15"/>
      <c r="G960" s="16">
        <v>229050</v>
      </c>
      <c r="H960" s="16">
        <v>0</v>
      </c>
      <c r="I960" s="16">
        <v>0</v>
      </c>
      <c r="J960" s="16">
        <v>0</v>
      </c>
      <c r="K960" s="17">
        <v>0</v>
      </c>
    </row>
    <row r="961" spans="1:11" x14ac:dyDescent="0.25">
      <c r="A961" s="18">
        <v>46065</v>
      </c>
      <c r="B961" s="19">
        <v>241</v>
      </c>
      <c r="C961" s="19" t="s">
        <v>460</v>
      </c>
      <c r="D961" s="20" t="s">
        <v>1385</v>
      </c>
      <c r="E961" s="21">
        <v>9000</v>
      </c>
      <c r="F961" s="22"/>
      <c r="G961" s="23">
        <v>252000</v>
      </c>
      <c r="H961" s="23">
        <v>0</v>
      </c>
      <c r="I961" s="23">
        <v>252000</v>
      </c>
      <c r="J961" s="23">
        <v>0</v>
      </c>
      <c r="K961" s="24">
        <v>0</v>
      </c>
    </row>
    <row r="962" spans="1:11" x14ac:dyDescent="0.25">
      <c r="A962" s="11">
        <v>46066</v>
      </c>
      <c r="B962" s="12">
        <v>241</v>
      </c>
      <c r="C962" s="12" t="s">
        <v>460</v>
      </c>
      <c r="D962" s="13" t="s">
        <v>1384</v>
      </c>
      <c r="E962" s="14"/>
      <c r="F962" s="15">
        <v>504000</v>
      </c>
      <c r="G962" s="16"/>
      <c r="H962" s="16">
        <v>252000</v>
      </c>
      <c r="I962" s="16">
        <v>0</v>
      </c>
      <c r="J962" s="16">
        <v>252000</v>
      </c>
      <c r="K962" s="17">
        <v>0</v>
      </c>
    </row>
    <row r="963" spans="1:11" x14ac:dyDescent="0.25">
      <c r="A963" s="18">
        <v>46052</v>
      </c>
      <c r="B963" s="19">
        <v>242</v>
      </c>
      <c r="C963" s="19" t="s">
        <v>456</v>
      </c>
      <c r="D963" s="20" t="s">
        <v>1385</v>
      </c>
      <c r="E963" s="21">
        <v>3000</v>
      </c>
      <c r="F963" s="22"/>
      <c r="G963" s="23">
        <v>96000</v>
      </c>
      <c r="H963" s="23">
        <v>0</v>
      </c>
      <c r="I963" s="23">
        <v>96000</v>
      </c>
      <c r="J963" s="23">
        <v>0</v>
      </c>
      <c r="K963" s="24">
        <v>0</v>
      </c>
    </row>
    <row r="964" spans="1:11" x14ac:dyDescent="0.25">
      <c r="A964" s="11">
        <v>46052</v>
      </c>
      <c r="B964" s="12">
        <v>242</v>
      </c>
      <c r="C964" s="12" t="s">
        <v>456</v>
      </c>
      <c r="D964" s="13" t="s">
        <v>1384</v>
      </c>
      <c r="E964" s="14"/>
      <c r="F964" s="15">
        <v>96000</v>
      </c>
      <c r="G964" s="16"/>
      <c r="H964" s="16">
        <v>0</v>
      </c>
      <c r="I964" s="16">
        <v>0</v>
      </c>
      <c r="J964" s="16">
        <v>0</v>
      </c>
      <c r="K964" s="17">
        <v>0</v>
      </c>
    </row>
    <row r="965" spans="1:11" x14ac:dyDescent="0.25">
      <c r="A965" s="18">
        <v>46066</v>
      </c>
      <c r="B965" s="19">
        <v>242</v>
      </c>
      <c r="C965" s="19" t="s">
        <v>456</v>
      </c>
      <c r="D965" s="20" t="s">
        <v>1385</v>
      </c>
      <c r="E965" s="21">
        <v>3000</v>
      </c>
      <c r="F965" s="22"/>
      <c r="G965" s="23">
        <v>96000</v>
      </c>
      <c r="H965" s="23">
        <v>0</v>
      </c>
      <c r="I965" s="23">
        <v>96000</v>
      </c>
      <c r="J965" s="23">
        <v>0</v>
      </c>
      <c r="K965" s="24">
        <v>0</v>
      </c>
    </row>
    <row r="966" spans="1:11" x14ac:dyDescent="0.25">
      <c r="A966" s="11">
        <v>46066</v>
      </c>
      <c r="B966" s="12">
        <v>242</v>
      </c>
      <c r="C966" s="12" t="s">
        <v>456</v>
      </c>
      <c r="D966" s="13" t="s">
        <v>1384</v>
      </c>
      <c r="E966" s="14"/>
      <c r="F966" s="15">
        <v>96000</v>
      </c>
      <c r="G966" s="16"/>
      <c r="H966" s="16">
        <v>0</v>
      </c>
      <c r="I966" s="16">
        <v>0</v>
      </c>
      <c r="J966" s="16">
        <v>0</v>
      </c>
      <c r="K966" s="17">
        <v>0</v>
      </c>
    </row>
    <row r="967" spans="1:11" x14ac:dyDescent="0.25">
      <c r="A967" s="18">
        <v>46044</v>
      </c>
      <c r="B967" s="19">
        <v>243</v>
      </c>
      <c r="C967" s="19" t="s">
        <v>452</v>
      </c>
      <c r="D967" s="20" t="s">
        <v>1384</v>
      </c>
      <c r="E967" s="21"/>
      <c r="F967" s="22">
        <v>76000</v>
      </c>
      <c r="G967" s="23"/>
      <c r="H967" s="23">
        <v>76000</v>
      </c>
      <c r="I967" s="23">
        <v>0</v>
      </c>
      <c r="J967" s="23">
        <v>0</v>
      </c>
      <c r="K967" s="24">
        <v>0</v>
      </c>
    </row>
    <row r="968" spans="1:11" x14ac:dyDescent="0.25">
      <c r="A968" s="11">
        <v>46045</v>
      </c>
      <c r="B968" s="12">
        <v>243</v>
      </c>
      <c r="C968" s="12" t="s">
        <v>452</v>
      </c>
      <c r="D968" s="13" t="s">
        <v>1385</v>
      </c>
      <c r="E968" s="14">
        <v>2010</v>
      </c>
      <c r="F968" s="15"/>
      <c r="G968" s="16">
        <v>76000</v>
      </c>
      <c r="H968" s="16">
        <v>0</v>
      </c>
      <c r="I968" s="16">
        <v>0</v>
      </c>
      <c r="J968" s="16">
        <v>0</v>
      </c>
      <c r="K968" s="17">
        <v>0</v>
      </c>
    </row>
    <row r="969" spans="1:11" x14ac:dyDescent="0.25">
      <c r="A969" s="18">
        <v>46055</v>
      </c>
      <c r="B969" s="19">
        <v>243</v>
      </c>
      <c r="C969" s="19" t="s">
        <v>452</v>
      </c>
      <c r="D969" s="20" t="s">
        <v>1384</v>
      </c>
      <c r="E969" s="21"/>
      <c r="F969" s="22">
        <v>98100</v>
      </c>
      <c r="G969" s="23"/>
      <c r="H969" s="23">
        <v>98100</v>
      </c>
      <c r="I969" s="23">
        <v>0</v>
      </c>
      <c r="J969" s="23">
        <v>0</v>
      </c>
      <c r="K969" s="24">
        <v>0</v>
      </c>
    </row>
    <row r="970" spans="1:11" x14ac:dyDescent="0.25">
      <c r="A970" s="11">
        <v>46055</v>
      </c>
      <c r="B970" s="12">
        <v>243</v>
      </c>
      <c r="C970" s="12" t="s">
        <v>452</v>
      </c>
      <c r="D970" s="13" t="s">
        <v>1385</v>
      </c>
      <c r="E970" s="14">
        <v>2211</v>
      </c>
      <c r="F970" s="15"/>
      <c r="G970" s="16">
        <v>98100</v>
      </c>
      <c r="H970" s="16">
        <v>0</v>
      </c>
      <c r="I970" s="16">
        <v>0</v>
      </c>
      <c r="J970" s="16">
        <v>0</v>
      </c>
      <c r="K970" s="17">
        <v>0</v>
      </c>
    </row>
    <row r="971" spans="1:11" x14ac:dyDescent="0.25">
      <c r="A971" s="18">
        <v>46062</v>
      </c>
      <c r="B971" s="19">
        <v>243</v>
      </c>
      <c r="C971" s="19" t="s">
        <v>452</v>
      </c>
      <c r="D971" s="20" t="s">
        <v>1384</v>
      </c>
      <c r="E971" s="21"/>
      <c r="F971" s="22">
        <v>132300</v>
      </c>
      <c r="G971" s="23"/>
      <c r="H971" s="23">
        <v>132300</v>
      </c>
      <c r="I971" s="23">
        <v>0</v>
      </c>
      <c r="J971" s="23">
        <v>0</v>
      </c>
      <c r="K971" s="24">
        <v>0</v>
      </c>
    </row>
    <row r="972" spans="1:11" x14ac:dyDescent="0.25">
      <c r="A972" s="11">
        <v>46062</v>
      </c>
      <c r="B972" s="12">
        <v>243</v>
      </c>
      <c r="C972" s="12" t="s">
        <v>452</v>
      </c>
      <c r="D972" s="13" t="s">
        <v>1385</v>
      </c>
      <c r="E972" s="14">
        <v>3150</v>
      </c>
      <c r="F972" s="15"/>
      <c r="G972" s="16">
        <v>132300</v>
      </c>
      <c r="H972" s="16">
        <v>0</v>
      </c>
      <c r="I972" s="16">
        <v>0</v>
      </c>
      <c r="J972" s="16">
        <v>0</v>
      </c>
      <c r="K972" s="17">
        <v>0</v>
      </c>
    </row>
    <row r="973" spans="1:11" x14ac:dyDescent="0.25">
      <c r="A973" s="18">
        <v>46051</v>
      </c>
      <c r="B973" s="19">
        <v>244</v>
      </c>
      <c r="C973" s="19" t="s">
        <v>449</v>
      </c>
      <c r="D973" s="20" t="s">
        <v>1383</v>
      </c>
      <c r="E973" s="21">
        <v>1000</v>
      </c>
      <c r="F973" s="22"/>
      <c r="G973" s="23">
        <v>40000</v>
      </c>
      <c r="H973" s="23">
        <v>0</v>
      </c>
      <c r="I973" s="23">
        <v>40000</v>
      </c>
      <c r="J973" s="23">
        <v>0</v>
      </c>
      <c r="K973" s="24">
        <v>0</v>
      </c>
    </row>
    <row r="974" spans="1:11" x14ac:dyDescent="0.25">
      <c r="A974" s="11">
        <v>46051</v>
      </c>
      <c r="B974" s="12">
        <v>244</v>
      </c>
      <c r="C974" s="12" t="s">
        <v>449</v>
      </c>
      <c r="D974" s="13" t="s">
        <v>1385</v>
      </c>
      <c r="E974" s="14">
        <v>4500</v>
      </c>
      <c r="F974" s="15"/>
      <c r="G974" s="16">
        <v>180000</v>
      </c>
      <c r="H974" s="16">
        <v>0</v>
      </c>
      <c r="I974" s="16">
        <v>220000</v>
      </c>
      <c r="J974" s="16">
        <v>0</v>
      </c>
      <c r="K974" s="17">
        <v>0</v>
      </c>
    </row>
    <row r="975" spans="1:11" x14ac:dyDescent="0.25">
      <c r="A975" s="18">
        <v>46053</v>
      </c>
      <c r="B975" s="19">
        <v>244</v>
      </c>
      <c r="C975" s="19" t="s">
        <v>449</v>
      </c>
      <c r="D975" s="20" t="s">
        <v>1384</v>
      </c>
      <c r="E975" s="21"/>
      <c r="F975" s="22">
        <v>218000</v>
      </c>
      <c r="G975" s="23"/>
      <c r="H975" s="23">
        <v>0</v>
      </c>
      <c r="I975" s="23">
        <v>2000</v>
      </c>
      <c r="J975" s="23">
        <v>0</v>
      </c>
      <c r="K975" s="24">
        <v>0</v>
      </c>
    </row>
    <row r="976" spans="1:11" x14ac:dyDescent="0.25">
      <c r="A976" s="11">
        <v>46066</v>
      </c>
      <c r="B976" s="12">
        <v>244</v>
      </c>
      <c r="C976" s="12" t="s">
        <v>449</v>
      </c>
      <c r="D976" s="13" t="s">
        <v>1385</v>
      </c>
      <c r="E976" s="14">
        <v>4500</v>
      </c>
      <c r="F976" s="15"/>
      <c r="G976" s="16">
        <v>180000</v>
      </c>
      <c r="H976" s="16">
        <v>0</v>
      </c>
      <c r="I976" s="16">
        <v>182000</v>
      </c>
      <c r="J976" s="16">
        <v>0</v>
      </c>
      <c r="K976" s="17">
        <v>0</v>
      </c>
    </row>
    <row r="977" spans="1:11" x14ac:dyDescent="0.25">
      <c r="A977" s="18">
        <v>46069</v>
      </c>
      <c r="B977" s="19">
        <v>244</v>
      </c>
      <c r="C977" s="19" t="s">
        <v>449</v>
      </c>
      <c r="D977" s="20" t="s">
        <v>1384</v>
      </c>
      <c r="E977" s="21"/>
      <c r="F977" s="22">
        <v>180000</v>
      </c>
      <c r="G977" s="23"/>
      <c r="H977" s="23">
        <v>0</v>
      </c>
      <c r="I977" s="23">
        <v>2000</v>
      </c>
      <c r="J977" s="23">
        <v>0</v>
      </c>
      <c r="K977" s="24">
        <v>2000</v>
      </c>
    </row>
    <row r="978" spans="1:11" x14ac:dyDescent="0.25">
      <c r="A978" s="11">
        <v>46039</v>
      </c>
      <c r="B978" s="12">
        <v>245</v>
      </c>
      <c r="C978" s="12" t="s">
        <v>444</v>
      </c>
      <c r="D978" s="13"/>
      <c r="E978" s="14"/>
      <c r="F978" s="15"/>
      <c r="G978" s="16">
        <v>58250</v>
      </c>
      <c r="H978" s="16">
        <v>0</v>
      </c>
      <c r="I978" s="16">
        <v>58250</v>
      </c>
      <c r="J978" s="16">
        <v>0</v>
      </c>
      <c r="K978" s="17">
        <v>0</v>
      </c>
    </row>
    <row r="979" spans="1:11" x14ac:dyDescent="0.25">
      <c r="A979" s="18">
        <v>46050</v>
      </c>
      <c r="B979" s="19">
        <v>245</v>
      </c>
      <c r="C979" s="19" t="s">
        <v>444</v>
      </c>
      <c r="D979" s="20" t="s">
        <v>1390</v>
      </c>
      <c r="E979" s="21"/>
      <c r="F979" s="22">
        <v>58250</v>
      </c>
      <c r="G979" s="23"/>
      <c r="H979" s="23">
        <v>0</v>
      </c>
      <c r="I979" s="23">
        <v>0</v>
      </c>
      <c r="J979" s="23">
        <v>0</v>
      </c>
      <c r="K979" s="24">
        <v>0</v>
      </c>
    </row>
    <row r="980" spans="1:11" x14ac:dyDescent="0.25">
      <c r="A980" s="11">
        <v>46059</v>
      </c>
      <c r="B980" s="12">
        <v>245</v>
      </c>
      <c r="C980" s="12" t="s">
        <v>444</v>
      </c>
      <c r="D980" s="13" t="s">
        <v>1385</v>
      </c>
      <c r="E980" s="14">
        <v>2400</v>
      </c>
      <c r="F980" s="15"/>
      <c r="G980" s="16">
        <v>36000</v>
      </c>
      <c r="H980" s="16">
        <v>0</v>
      </c>
      <c r="I980" s="16">
        <v>36000</v>
      </c>
      <c r="J980" s="16">
        <v>0</v>
      </c>
      <c r="K980" s="17">
        <v>0</v>
      </c>
    </row>
    <row r="981" spans="1:11" x14ac:dyDescent="0.25">
      <c r="A981" s="18">
        <v>46071</v>
      </c>
      <c r="B981" s="19">
        <v>245</v>
      </c>
      <c r="C981" s="19" t="s">
        <v>444</v>
      </c>
      <c r="D981" s="20" t="s">
        <v>1385</v>
      </c>
      <c r="E981" s="21">
        <v>2400</v>
      </c>
      <c r="F981" s="22"/>
      <c r="G981" s="23">
        <v>36000</v>
      </c>
      <c r="H981" s="23">
        <v>0</v>
      </c>
      <c r="I981" s="23">
        <v>72000</v>
      </c>
      <c r="J981" s="23">
        <v>0</v>
      </c>
      <c r="K981" s="24">
        <v>72000</v>
      </c>
    </row>
    <row r="982" spans="1:11" x14ac:dyDescent="0.25">
      <c r="A982" s="11">
        <v>46039</v>
      </c>
      <c r="B982" s="12">
        <v>246</v>
      </c>
      <c r="C982" s="12" t="s">
        <v>440</v>
      </c>
      <c r="D982" s="13"/>
      <c r="E982" s="14"/>
      <c r="F982" s="15"/>
      <c r="G982" s="16">
        <v>1100</v>
      </c>
      <c r="H982" s="16">
        <v>0</v>
      </c>
      <c r="I982" s="16">
        <v>1100</v>
      </c>
      <c r="J982" s="16">
        <v>0</v>
      </c>
      <c r="K982" s="17">
        <v>0</v>
      </c>
    </row>
    <row r="983" spans="1:11" x14ac:dyDescent="0.25">
      <c r="A983" s="18">
        <v>46041</v>
      </c>
      <c r="B983" s="19">
        <v>246</v>
      </c>
      <c r="C983" s="19" t="s">
        <v>440</v>
      </c>
      <c r="D983" s="20" t="s">
        <v>1385</v>
      </c>
      <c r="E983" s="21">
        <v>1260</v>
      </c>
      <c r="F983" s="22"/>
      <c r="G983" s="23">
        <v>57600</v>
      </c>
      <c r="H983" s="23">
        <v>0</v>
      </c>
      <c r="I983" s="23">
        <v>58700</v>
      </c>
      <c r="J983" s="23">
        <v>0</v>
      </c>
      <c r="K983" s="24">
        <v>0</v>
      </c>
    </row>
    <row r="984" spans="1:11" x14ac:dyDescent="0.25">
      <c r="A984" s="11">
        <v>46042</v>
      </c>
      <c r="B984" s="12">
        <v>246</v>
      </c>
      <c r="C984" s="12" t="s">
        <v>440</v>
      </c>
      <c r="D984" s="13" t="s">
        <v>1384</v>
      </c>
      <c r="E984" s="14"/>
      <c r="F984" s="15">
        <v>58700</v>
      </c>
      <c r="G984" s="16"/>
      <c r="H984" s="16">
        <v>0</v>
      </c>
      <c r="I984" s="16">
        <v>0</v>
      </c>
      <c r="J984" s="16">
        <v>0</v>
      </c>
      <c r="K984" s="17">
        <v>0</v>
      </c>
    </row>
    <row r="985" spans="1:11" x14ac:dyDescent="0.25">
      <c r="A985" s="18">
        <v>46041</v>
      </c>
      <c r="B985" s="19">
        <v>247</v>
      </c>
      <c r="C985" s="19" t="s">
        <v>436</v>
      </c>
      <c r="D985" s="20" t="s">
        <v>1384</v>
      </c>
      <c r="E985" s="21"/>
      <c r="F985" s="22">
        <v>57600</v>
      </c>
      <c r="G985" s="23"/>
      <c r="H985" s="23">
        <v>57600</v>
      </c>
      <c r="I985" s="23">
        <v>0</v>
      </c>
      <c r="J985" s="23">
        <v>0</v>
      </c>
      <c r="K985" s="24">
        <v>0</v>
      </c>
    </row>
    <row r="986" spans="1:11" x14ac:dyDescent="0.25">
      <c r="A986" s="11">
        <v>46041</v>
      </c>
      <c r="B986" s="12">
        <v>247</v>
      </c>
      <c r="C986" s="12" t="s">
        <v>436</v>
      </c>
      <c r="D986" s="13" t="s">
        <v>1385</v>
      </c>
      <c r="E986" s="14">
        <v>1260</v>
      </c>
      <c r="F986" s="15"/>
      <c r="G986" s="16">
        <v>57600</v>
      </c>
      <c r="H986" s="16">
        <v>0</v>
      </c>
      <c r="I986" s="16">
        <v>0</v>
      </c>
      <c r="J986" s="16">
        <v>0</v>
      </c>
      <c r="K986" s="17">
        <v>0</v>
      </c>
    </row>
    <row r="987" spans="1:11" x14ac:dyDescent="0.25">
      <c r="A987" s="18">
        <v>46052</v>
      </c>
      <c r="B987" s="19">
        <v>247</v>
      </c>
      <c r="C987" s="19" t="s">
        <v>436</v>
      </c>
      <c r="D987" s="20" t="s">
        <v>1385</v>
      </c>
      <c r="E987" s="21">
        <v>1260</v>
      </c>
      <c r="F987" s="22"/>
      <c r="G987" s="23">
        <v>57600</v>
      </c>
      <c r="H987" s="23">
        <v>0</v>
      </c>
      <c r="I987" s="23">
        <v>57600</v>
      </c>
      <c r="J987" s="23">
        <v>0</v>
      </c>
      <c r="K987" s="24">
        <v>0</v>
      </c>
    </row>
    <row r="988" spans="1:11" x14ac:dyDescent="0.25">
      <c r="A988" s="11">
        <v>46052</v>
      </c>
      <c r="B988" s="12">
        <v>247</v>
      </c>
      <c r="C988" s="12" t="s">
        <v>436</v>
      </c>
      <c r="D988" s="13" t="s">
        <v>1390</v>
      </c>
      <c r="E988" s="14"/>
      <c r="F988" s="15">
        <v>57600</v>
      </c>
      <c r="G988" s="16"/>
      <c r="H988" s="16">
        <v>0</v>
      </c>
      <c r="I988" s="16">
        <v>0</v>
      </c>
      <c r="J988" s="16">
        <v>0</v>
      </c>
      <c r="K988" s="17">
        <v>0</v>
      </c>
    </row>
    <row r="989" spans="1:11" x14ac:dyDescent="0.25">
      <c r="A989" s="18">
        <v>46063</v>
      </c>
      <c r="B989" s="19">
        <v>247</v>
      </c>
      <c r="C989" s="19" t="s">
        <v>436</v>
      </c>
      <c r="D989" s="20" t="s">
        <v>1385</v>
      </c>
      <c r="E989" s="21">
        <v>1260</v>
      </c>
      <c r="F989" s="22"/>
      <c r="G989" s="23">
        <v>57600</v>
      </c>
      <c r="H989" s="23">
        <v>0</v>
      </c>
      <c r="I989" s="23">
        <v>57600</v>
      </c>
      <c r="J989" s="23">
        <v>0</v>
      </c>
      <c r="K989" s="24">
        <v>0</v>
      </c>
    </row>
    <row r="990" spans="1:11" x14ac:dyDescent="0.25">
      <c r="A990" s="11">
        <v>46063</v>
      </c>
      <c r="B990" s="12">
        <v>247</v>
      </c>
      <c r="C990" s="12" t="s">
        <v>436</v>
      </c>
      <c r="D990" s="13" t="s">
        <v>1390</v>
      </c>
      <c r="E990" s="14"/>
      <c r="F990" s="15">
        <v>57600</v>
      </c>
      <c r="G990" s="16"/>
      <c r="H990" s="16">
        <v>0</v>
      </c>
      <c r="I990" s="16">
        <v>0</v>
      </c>
      <c r="J990" s="16">
        <v>0</v>
      </c>
      <c r="K990" s="17">
        <v>0</v>
      </c>
    </row>
    <row r="991" spans="1:11" x14ac:dyDescent="0.25">
      <c r="A991" s="18">
        <v>46052</v>
      </c>
      <c r="B991" s="19">
        <v>249</v>
      </c>
      <c r="C991" s="19" t="s">
        <v>430</v>
      </c>
      <c r="D991" s="20" t="s">
        <v>1385</v>
      </c>
      <c r="E991" s="21">
        <v>1500</v>
      </c>
      <c r="F991" s="22"/>
      <c r="G991" s="23">
        <v>80400</v>
      </c>
      <c r="H991" s="23">
        <v>0</v>
      </c>
      <c r="I991" s="23">
        <v>80400</v>
      </c>
      <c r="J991" s="23">
        <v>0</v>
      </c>
      <c r="K991" s="24">
        <v>0</v>
      </c>
    </row>
    <row r="992" spans="1:11" x14ac:dyDescent="0.25">
      <c r="A992" s="11">
        <v>46052</v>
      </c>
      <c r="B992" s="12">
        <v>249</v>
      </c>
      <c r="C992" s="12" t="s">
        <v>430</v>
      </c>
      <c r="D992" s="13" t="s">
        <v>1390</v>
      </c>
      <c r="E992" s="14"/>
      <c r="F992" s="15">
        <v>40200</v>
      </c>
      <c r="G992" s="16"/>
      <c r="H992" s="16">
        <v>0</v>
      </c>
      <c r="I992" s="16">
        <v>40200</v>
      </c>
      <c r="J992" s="16">
        <v>0</v>
      </c>
      <c r="K992" s="17">
        <v>40200</v>
      </c>
    </row>
    <row r="993" spans="1:11" x14ac:dyDescent="0.25">
      <c r="A993" s="18">
        <v>46039</v>
      </c>
      <c r="B993" s="19">
        <v>250</v>
      </c>
      <c r="C993" s="19" t="s">
        <v>1432</v>
      </c>
      <c r="D993" s="20"/>
      <c r="E993" s="21"/>
      <c r="F993" s="22"/>
      <c r="G993" s="23">
        <v>236000</v>
      </c>
      <c r="H993" s="23">
        <v>0</v>
      </c>
      <c r="I993" s="23">
        <v>236000</v>
      </c>
      <c r="J993" s="23">
        <v>0</v>
      </c>
      <c r="K993" s="24">
        <v>0</v>
      </c>
    </row>
    <row r="994" spans="1:11" x14ac:dyDescent="0.25">
      <c r="A994" s="11">
        <v>46048</v>
      </c>
      <c r="B994" s="12">
        <v>250</v>
      </c>
      <c r="C994" s="12" t="s">
        <v>426</v>
      </c>
      <c r="D994" s="13" t="s">
        <v>1384</v>
      </c>
      <c r="E994" s="14"/>
      <c r="F994" s="15">
        <v>236000</v>
      </c>
      <c r="G994" s="16"/>
      <c r="H994" s="16">
        <v>0</v>
      </c>
      <c r="I994" s="16">
        <v>0</v>
      </c>
      <c r="J994" s="16">
        <v>0</v>
      </c>
      <c r="K994" s="17">
        <v>0</v>
      </c>
    </row>
    <row r="995" spans="1:11" x14ac:dyDescent="0.25">
      <c r="A995" s="18">
        <v>46052</v>
      </c>
      <c r="B995" s="19">
        <v>250</v>
      </c>
      <c r="C995" s="19" t="s">
        <v>426</v>
      </c>
      <c r="D995" s="20" t="s">
        <v>1385</v>
      </c>
      <c r="E995" s="21">
        <v>2000</v>
      </c>
      <c r="F995" s="22"/>
      <c r="G995" s="23">
        <v>78000</v>
      </c>
      <c r="H995" s="23">
        <v>0</v>
      </c>
      <c r="I995" s="23">
        <v>78000</v>
      </c>
      <c r="J995" s="23">
        <v>0</v>
      </c>
      <c r="K995" s="24">
        <v>0</v>
      </c>
    </row>
    <row r="996" spans="1:11" x14ac:dyDescent="0.25">
      <c r="A996" s="11">
        <v>46052</v>
      </c>
      <c r="B996" s="12">
        <v>250</v>
      </c>
      <c r="C996" s="12" t="s">
        <v>1432</v>
      </c>
      <c r="D996" s="13" t="s">
        <v>1385</v>
      </c>
      <c r="E996" s="14">
        <v>10500</v>
      </c>
      <c r="F996" s="15"/>
      <c r="G996" s="16">
        <v>304500</v>
      </c>
      <c r="H996" s="16">
        <v>0</v>
      </c>
      <c r="I996" s="16">
        <v>382500</v>
      </c>
      <c r="J996" s="16">
        <v>0</v>
      </c>
      <c r="K996" s="17">
        <v>0</v>
      </c>
    </row>
    <row r="997" spans="1:11" x14ac:dyDescent="0.25">
      <c r="A997" s="18">
        <v>46059</v>
      </c>
      <c r="B997" s="19">
        <v>250</v>
      </c>
      <c r="C997" s="19" t="s">
        <v>426</v>
      </c>
      <c r="D997" s="20" t="s">
        <v>1385</v>
      </c>
      <c r="E997" s="21">
        <v>2000</v>
      </c>
      <c r="F997" s="22"/>
      <c r="G997" s="23">
        <v>78000</v>
      </c>
      <c r="H997" s="23">
        <v>0</v>
      </c>
      <c r="I997" s="23">
        <v>460500</v>
      </c>
      <c r="J997" s="23">
        <v>0</v>
      </c>
      <c r="K997" s="24">
        <v>0</v>
      </c>
    </row>
    <row r="998" spans="1:11" x14ac:dyDescent="0.25">
      <c r="A998" s="11">
        <v>46066</v>
      </c>
      <c r="B998" s="12">
        <v>250</v>
      </c>
      <c r="C998" s="12" t="s">
        <v>1432</v>
      </c>
      <c r="D998" s="13" t="s">
        <v>1385</v>
      </c>
      <c r="E998" s="14">
        <v>3500</v>
      </c>
      <c r="F998" s="15"/>
      <c r="G998" s="16">
        <v>101500</v>
      </c>
      <c r="H998" s="16">
        <v>0</v>
      </c>
      <c r="I998" s="16">
        <v>562000</v>
      </c>
      <c r="J998" s="16">
        <v>0</v>
      </c>
      <c r="K998" s="17">
        <v>0</v>
      </c>
    </row>
    <row r="999" spans="1:11" x14ac:dyDescent="0.25">
      <c r="A999" s="18">
        <v>46069</v>
      </c>
      <c r="B999" s="19">
        <v>250</v>
      </c>
      <c r="C999" s="19" t="s">
        <v>426</v>
      </c>
      <c r="D999" s="20" t="s">
        <v>1385</v>
      </c>
      <c r="E999" s="21">
        <v>2000</v>
      </c>
      <c r="F999" s="22"/>
      <c r="G999" s="23">
        <v>78000</v>
      </c>
      <c r="H999" s="23">
        <v>0</v>
      </c>
      <c r="I999" s="23">
        <v>640000</v>
      </c>
      <c r="J999" s="23">
        <v>0</v>
      </c>
      <c r="K999" s="24">
        <v>640000</v>
      </c>
    </row>
    <row r="1000" spans="1:11" x14ac:dyDescent="0.25">
      <c r="A1000" s="11">
        <v>46041</v>
      </c>
      <c r="B1000" s="12">
        <v>251</v>
      </c>
      <c r="C1000" s="12" t="s">
        <v>422</v>
      </c>
      <c r="D1000" s="13" t="s">
        <v>1385</v>
      </c>
      <c r="E1000" s="14">
        <v>3720</v>
      </c>
      <c r="F1000" s="15"/>
      <c r="G1000" s="16">
        <v>159600</v>
      </c>
      <c r="H1000" s="16">
        <v>0</v>
      </c>
      <c r="I1000" s="16">
        <v>159600</v>
      </c>
      <c r="J1000" s="16">
        <v>0</v>
      </c>
      <c r="K1000" s="17">
        <v>0</v>
      </c>
    </row>
    <row r="1001" spans="1:11" x14ac:dyDescent="0.25">
      <c r="A1001" s="18">
        <v>46041</v>
      </c>
      <c r="B1001" s="19">
        <v>251</v>
      </c>
      <c r="C1001" s="19" t="s">
        <v>1433</v>
      </c>
      <c r="D1001" s="20" t="s">
        <v>1385</v>
      </c>
      <c r="E1001" s="21">
        <v>2400</v>
      </c>
      <c r="F1001" s="22"/>
      <c r="G1001" s="23">
        <v>65400</v>
      </c>
      <c r="H1001" s="23">
        <v>0</v>
      </c>
      <c r="I1001" s="23">
        <v>225000</v>
      </c>
      <c r="J1001" s="23">
        <v>0</v>
      </c>
      <c r="K1001" s="24">
        <v>0</v>
      </c>
    </row>
    <row r="1002" spans="1:11" x14ac:dyDescent="0.25">
      <c r="A1002" s="11">
        <v>46042</v>
      </c>
      <c r="B1002" s="12">
        <v>251</v>
      </c>
      <c r="C1002" s="12" t="s">
        <v>422</v>
      </c>
      <c r="D1002" s="13" t="s">
        <v>1384</v>
      </c>
      <c r="E1002" s="14"/>
      <c r="F1002" s="15">
        <v>225000</v>
      </c>
      <c r="G1002" s="16"/>
      <c r="H1002" s="16">
        <v>0</v>
      </c>
      <c r="I1002" s="16">
        <v>0</v>
      </c>
      <c r="J1002" s="16">
        <v>0</v>
      </c>
      <c r="K1002" s="17">
        <v>0</v>
      </c>
    </row>
    <row r="1003" spans="1:11" x14ac:dyDescent="0.25">
      <c r="A1003" s="18">
        <v>46055</v>
      </c>
      <c r="B1003" s="19">
        <v>251</v>
      </c>
      <c r="C1003" s="19" t="s">
        <v>422</v>
      </c>
      <c r="D1003" s="20" t="s">
        <v>1385</v>
      </c>
      <c r="E1003" s="21">
        <v>3720</v>
      </c>
      <c r="F1003" s="22"/>
      <c r="G1003" s="23">
        <v>141360</v>
      </c>
      <c r="H1003" s="23">
        <v>0</v>
      </c>
      <c r="I1003" s="23">
        <v>141360</v>
      </c>
      <c r="J1003" s="23">
        <v>0</v>
      </c>
      <c r="K1003" s="24">
        <v>0</v>
      </c>
    </row>
    <row r="1004" spans="1:11" x14ac:dyDescent="0.25">
      <c r="A1004" s="11">
        <v>46055</v>
      </c>
      <c r="B1004" s="12">
        <v>251</v>
      </c>
      <c r="C1004" s="12" t="s">
        <v>1433</v>
      </c>
      <c r="D1004" s="13" t="s">
        <v>1385</v>
      </c>
      <c r="E1004" s="14">
        <v>2400</v>
      </c>
      <c r="F1004" s="15"/>
      <c r="G1004" s="16">
        <v>91200</v>
      </c>
      <c r="H1004" s="16">
        <v>0</v>
      </c>
      <c r="I1004" s="16">
        <v>232560</v>
      </c>
      <c r="J1004" s="16">
        <v>0</v>
      </c>
      <c r="K1004" s="17">
        <v>0</v>
      </c>
    </row>
    <row r="1005" spans="1:11" x14ac:dyDescent="0.25">
      <c r="A1005" s="18">
        <v>46057</v>
      </c>
      <c r="B1005" s="19">
        <v>251</v>
      </c>
      <c r="C1005" s="19" t="s">
        <v>422</v>
      </c>
      <c r="D1005" s="20" t="s">
        <v>1384</v>
      </c>
      <c r="E1005" s="21"/>
      <c r="F1005" s="22">
        <v>232560</v>
      </c>
      <c r="G1005" s="23"/>
      <c r="H1005" s="23">
        <v>0</v>
      </c>
      <c r="I1005" s="23">
        <v>0</v>
      </c>
      <c r="J1005" s="23">
        <v>0</v>
      </c>
      <c r="K1005" s="24">
        <v>0</v>
      </c>
    </row>
    <row r="1006" spans="1:11" x14ac:dyDescent="0.25">
      <c r="A1006" s="11">
        <v>46071</v>
      </c>
      <c r="B1006" s="12">
        <v>251</v>
      </c>
      <c r="C1006" s="12" t="s">
        <v>422</v>
      </c>
      <c r="D1006" s="13" t="s">
        <v>1385</v>
      </c>
      <c r="E1006" s="14">
        <v>1860</v>
      </c>
      <c r="F1006" s="15"/>
      <c r="G1006" s="16">
        <v>70680</v>
      </c>
      <c r="H1006" s="16">
        <v>0</v>
      </c>
      <c r="I1006" s="16">
        <v>70680</v>
      </c>
      <c r="J1006" s="16">
        <v>0</v>
      </c>
      <c r="K1006" s="17">
        <v>0</v>
      </c>
    </row>
    <row r="1007" spans="1:11" x14ac:dyDescent="0.25">
      <c r="A1007" s="18">
        <v>46071</v>
      </c>
      <c r="B1007" s="19">
        <v>251</v>
      </c>
      <c r="C1007" s="19" t="s">
        <v>1433</v>
      </c>
      <c r="D1007" s="20" t="s">
        <v>1385</v>
      </c>
      <c r="E1007" s="21">
        <v>2400</v>
      </c>
      <c r="F1007" s="22"/>
      <c r="G1007" s="23">
        <v>91200</v>
      </c>
      <c r="H1007" s="23">
        <v>0</v>
      </c>
      <c r="I1007" s="23">
        <v>161880</v>
      </c>
      <c r="J1007" s="23">
        <v>0</v>
      </c>
      <c r="K1007" s="24">
        <v>161880</v>
      </c>
    </row>
    <row r="1008" spans="1:11" x14ac:dyDescent="0.25">
      <c r="A1008" s="11">
        <v>46039</v>
      </c>
      <c r="B1008" s="12">
        <v>256</v>
      </c>
      <c r="C1008" s="12" t="s">
        <v>407</v>
      </c>
      <c r="D1008" s="13"/>
      <c r="E1008" s="14"/>
      <c r="F1008" s="15"/>
      <c r="G1008" s="16">
        <v>218700</v>
      </c>
      <c r="H1008" s="16">
        <v>0</v>
      </c>
      <c r="I1008" s="16">
        <v>218700</v>
      </c>
      <c r="J1008" s="16">
        <v>0</v>
      </c>
      <c r="K1008" s="17">
        <v>0</v>
      </c>
    </row>
    <row r="1009" spans="1:11" x14ac:dyDescent="0.25">
      <c r="A1009" s="18">
        <v>46043</v>
      </c>
      <c r="B1009" s="19">
        <v>256</v>
      </c>
      <c r="C1009" s="19" t="s">
        <v>407</v>
      </c>
      <c r="D1009" s="20" t="s">
        <v>1384</v>
      </c>
      <c r="E1009" s="21"/>
      <c r="F1009" s="22">
        <v>218700</v>
      </c>
      <c r="G1009" s="23"/>
      <c r="H1009" s="23">
        <v>0</v>
      </c>
      <c r="I1009" s="23">
        <v>0</v>
      </c>
      <c r="J1009" s="23">
        <v>0</v>
      </c>
      <c r="K1009" s="24">
        <v>0</v>
      </c>
    </row>
    <row r="1010" spans="1:11" x14ac:dyDescent="0.25">
      <c r="A1010" s="11">
        <v>46052</v>
      </c>
      <c r="B1010" s="12">
        <v>256</v>
      </c>
      <c r="C1010" s="12" t="s">
        <v>407</v>
      </c>
      <c r="D1010" s="13" t="s">
        <v>1385</v>
      </c>
      <c r="E1010" s="14">
        <v>3960</v>
      </c>
      <c r="F1010" s="15"/>
      <c r="G1010" s="16">
        <v>106920</v>
      </c>
      <c r="H1010" s="16">
        <v>0</v>
      </c>
      <c r="I1010" s="16">
        <v>106920</v>
      </c>
      <c r="J1010" s="16">
        <v>0</v>
      </c>
      <c r="K1010" s="17">
        <v>0</v>
      </c>
    </row>
    <row r="1011" spans="1:11" x14ac:dyDescent="0.25">
      <c r="A1011" s="18">
        <v>46052</v>
      </c>
      <c r="B1011" s="19">
        <v>256</v>
      </c>
      <c r="C1011" s="19" t="s">
        <v>407</v>
      </c>
      <c r="D1011" s="20" t="s">
        <v>1385</v>
      </c>
      <c r="E1011" s="21">
        <v>4140</v>
      </c>
      <c r="F1011" s="22"/>
      <c r="G1011" s="23">
        <v>111780</v>
      </c>
      <c r="H1011" s="23">
        <v>0</v>
      </c>
      <c r="I1011" s="23">
        <v>218700</v>
      </c>
      <c r="J1011" s="23">
        <v>0</v>
      </c>
      <c r="K1011" s="24">
        <v>0</v>
      </c>
    </row>
    <row r="1012" spans="1:11" x14ac:dyDescent="0.25">
      <c r="A1012" s="11">
        <v>46064</v>
      </c>
      <c r="B1012" s="12">
        <v>256</v>
      </c>
      <c r="C1012" s="12" t="s">
        <v>407</v>
      </c>
      <c r="D1012" s="13" t="s">
        <v>1384</v>
      </c>
      <c r="E1012" s="14"/>
      <c r="F1012" s="15">
        <v>218700</v>
      </c>
      <c r="G1012" s="16"/>
      <c r="H1012" s="16">
        <v>0</v>
      </c>
      <c r="I1012" s="16">
        <v>0</v>
      </c>
      <c r="J1012" s="16">
        <v>0</v>
      </c>
      <c r="K1012" s="17">
        <v>0</v>
      </c>
    </row>
    <row r="1013" spans="1:11" x14ac:dyDescent="0.25">
      <c r="A1013" s="18">
        <v>46070</v>
      </c>
      <c r="B1013" s="19">
        <v>256</v>
      </c>
      <c r="C1013" s="19" t="s">
        <v>407</v>
      </c>
      <c r="D1013" s="20" t="s">
        <v>1385</v>
      </c>
      <c r="E1013" s="21">
        <v>3960</v>
      </c>
      <c r="F1013" s="22"/>
      <c r="G1013" s="23">
        <v>106920</v>
      </c>
      <c r="H1013" s="23">
        <v>0</v>
      </c>
      <c r="I1013" s="23">
        <v>106920</v>
      </c>
      <c r="J1013" s="23">
        <v>0</v>
      </c>
      <c r="K1013" s="24">
        <v>0</v>
      </c>
    </row>
    <row r="1014" spans="1:11" x14ac:dyDescent="0.25">
      <c r="A1014" s="11">
        <v>46070</v>
      </c>
      <c r="B1014" s="12">
        <v>256</v>
      </c>
      <c r="C1014" s="12" t="s">
        <v>407</v>
      </c>
      <c r="D1014" s="13" t="s">
        <v>1385</v>
      </c>
      <c r="E1014" s="14">
        <v>4140</v>
      </c>
      <c r="F1014" s="15"/>
      <c r="G1014" s="16">
        <v>111780</v>
      </c>
      <c r="H1014" s="16">
        <v>0</v>
      </c>
      <c r="I1014" s="16">
        <v>218700</v>
      </c>
      <c r="J1014" s="16">
        <v>0</v>
      </c>
      <c r="K1014" s="17">
        <v>218700</v>
      </c>
    </row>
    <row r="1015" spans="1:11" x14ac:dyDescent="0.25">
      <c r="A1015" s="18">
        <v>46049</v>
      </c>
      <c r="B1015" s="19">
        <v>257</v>
      </c>
      <c r="C1015" s="19" t="s">
        <v>403</v>
      </c>
      <c r="D1015" s="20" t="s">
        <v>1384</v>
      </c>
      <c r="E1015" s="21"/>
      <c r="F1015" s="22">
        <v>137000</v>
      </c>
      <c r="G1015" s="23"/>
      <c r="H1015" s="23">
        <v>137000</v>
      </c>
      <c r="I1015" s="23">
        <v>0</v>
      </c>
      <c r="J1015" s="23">
        <v>0</v>
      </c>
      <c r="K1015" s="24">
        <v>0</v>
      </c>
    </row>
    <row r="1016" spans="1:11" x14ac:dyDescent="0.25">
      <c r="A1016" s="11">
        <v>46049</v>
      </c>
      <c r="B1016" s="12">
        <v>257</v>
      </c>
      <c r="C1016" s="12" t="s">
        <v>403</v>
      </c>
      <c r="D1016" s="13" t="s">
        <v>1385</v>
      </c>
      <c r="E1016" s="14">
        <v>3300</v>
      </c>
      <c r="F1016" s="15"/>
      <c r="G1016" s="16">
        <v>137000</v>
      </c>
      <c r="H1016" s="16">
        <v>0</v>
      </c>
      <c r="I1016" s="16">
        <v>0</v>
      </c>
      <c r="J1016" s="16">
        <v>0</v>
      </c>
      <c r="K1016" s="17">
        <v>0</v>
      </c>
    </row>
    <row r="1017" spans="1:11" x14ac:dyDescent="0.25">
      <c r="A1017" s="18">
        <v>46064</v>
      </c>
      <c r="B1017" s="19">
        <v>257</v>
      </c>
      <c r="C1017" s="19" t="s">
        <v>403</v>
      </c>
      <c r="D1017" s="20" t="s">
        <v>1385</v>
      </c>
      <c r="E1017" s="21">
        <v>3300</v>
      </c>
      <c r="F1017" s="22"/>
      <c r="G1017" s="23">
        <v>137000</v>
      </c>
      <c r="H1017" s="23">
        <v>0</v>
      </c>
      <c r="I1017" s="23">
        <v>137000</v>
      </c>
      <c r="J1017" s="23">
        <v>0</v>
      </c>
      <c r="K1017" s="24">
        <v>0</v>
      </c>
    </row>
    <row r="1018" spans="1:11" x14ac:dyDescent="0.25">
      <c r="A1018" s="11">
        <v>46068</v>
      </c>
      <c r="B1018" s="12">
        <v>257</v>
      </c>
      <c r="C1018" s="12" t="s">
        <v>403</v>
      </c>
      <c r="D1018" s="13" t="s">
        <v>1384</v>
      </c>
      <c r="E1018" s="14"/>
      <c r="F1018" s="15">
        <v>137000</v>
      </c>
      <c r="G1018" s="16"/>
      <c r="H1018" s="16">
        <v>0</v>
      </c>
      <c r="I1018" s="16">
        <v>0</v>
      </c>
      <c r="J1018" s="16">
        <v>0</v>
      </c>
      <c r="K1018" s="17">
        <v>0</v>
      </c>
    </row>
    <row r="1019" spans="1:11" x14ac:dyDescent="0.25">
      <c r="A1019" s="18">
        <v>46062</v>
      </c>
      <c r="B1019" s="19">
        <v>260</v>
      </c>
      <c r="C1019" s="19" t="s">
        <v>391</v>
      </c>
      <c r="D1019" s="20" t="s">
        <v>1385</v>
      </c>
      <c r="E1019" s="21">
        <v>4050</v>
      </c>
      <c r="F1019" s="22"/>
      <c r="G1019" s="23">
        <v>135600</v>
      </c>
      <c r="H1019" s="23">
        <v>0</v>
      </c>
      <c r="I1019" s="23">
        <v>135600</v>
      </c>
      <c r="J1019" s="23">
        <v>0</v>
      </c>
      <c r="K1019" s="24">
        <v>0</v>
      </c>
    </row>
    <row r="1020" spans="1:11" x14ac:dyDescent="0.25">
      <c r="A1020" s="11">
        <v>46063</v>
      </c>
      <c r="B1020" s="12">
        <v>260</v>
      </c>
      <c r="C1020" s="12" t="s">
        <v>391</v>
      </c>
      <c r="D1020" s="13" t="s">
        <v>1390</v>
      </c>
      <c r="E1020" s="14"/>
      <c r="F1020" s="15">
        <v>135600</v>
      </c>
      <c r="G1020" s="16"/>
      <c r="H1020" s="16">
        <v>0</v>
      </c>
      <c r="I1020" s="16">
        <v>0</v>
      </c>
      <c r="J1020" s="16">
        <v>0</v>
      </c>
      <c r="K1020" s="17">
        <v>0</v>
      </c>
    </row>
    <row r="1021" spans="1:11" x14ac:dyDescent="0.25">
      <c r="A1021" s="18">
        <v>46048</v>
      </c>
      <c r="B1021" s="19">
        <v>261</v>
      </c>
      <c r="C1021" s="19" t="s">
        <v>388</v>
      </c>
      <c r="D1021" s="20" t="s">
        <v>1385</v>
      </c>
      <c r="E1021" s="21">
        <v>6000</v>
      </c>
      <c r="F1021" s="22"/>
      <c r="G1021" s="23">
        <v>222000</v>
      </c>
      <c r="H1021" s="23">
        <v>0</v>
      </c>
      <c r="I1021" s="23">
        <v>222000</v>
      </c>
      <c r="J1021" s="23">
        <v>0</v>
      </c>
      <c r="K1021" s="24">
        <v>0</v>
      </c>
    </row>
    <row r="1022" spans="1:11" x14ac:dyDescent="0.25">
      <c r="A1022" s="11">
        <v>46048</v>
      </c>
      <c r="B1022" s="12">
        <v>261</v>
      </c>
      <c r="C1022" s="12" t="s">
        <v>388</v>
      </c>
      <c r="D1022" s="13" t="s">
        <v>1384</v>
      </c>
      <c r="E1022" s="14"/>
      <c r="F1022" s="15">
        <v>222000</v>
      </c>
      <c r="G1022" s="16"/>
      <c r="H1022" s="16">
        <v>0</v>
      </c>
      <c r="I1022" s="16">
        <v>0</v>
      </c>
      <c r="J1022" s="16">
        <v>0</v>
      </c>
      <c r="K1022" s="17">
        <v>0</v>
      </c>
    </row>
    <row r="1023" spans="1:11" x14ac:dyDescent="0.25">
      <c r="A1023" s="18">
        <v>46063</v>
      </c>
      <c r="B1023" s="19">
        <v>261</v>
      </c>
      <c r="C1023" s="19" t="s">
        <v>388</v>
      </c>
      <c r="D1023" s="20" t="s">
        <v>1385</v>
      </c>
      <c r="E1023" s="21">
        <v>6000</v>
      </c>
      <c r="F1023" s="22"/>
      <c r="G1023" s="23">
        <v>222000</v>
      </c>
      <c r="H1023" s="23">
        <v>0</v>
      </c>
      <c r="I1023" s="23">
        <v>222000</v>
      </c>
      <c r="J1023" s="23">
        <v>0</v>
      </c>
      <c r="K1023" s="24">
        <v>0</v>
      </c>
    </row>
    <row r="1024" spans="1:11" x14ac:dyDescent="0.25">
      <c r="A1024" s="11">
        <v>46063</v>
      </c>
      <c r="B1024" s="12">
        <v>261</v>
      </c>
      <c r="C1024" s="12" t="s">
        <v>388</v>
      </c>
      <c r="D1024" s="13" t="s">
        <v>1384</v>
      </c>
      <c r="E1024" s="14"/>
      <c r="F1024" s="15">
        <v>222000</v>
      </c>
      <c r="G1024" s="16"/>
      <c r="H1024" s="16">
        <v>0</v>
      </c>
      <c r="I1024" s="16">
        <v>0</v>
      </c>
      <c r="J1024" s="16">
        <v>0</v>
      </c>
      <c r="K1024" s="17">
        <v>0</v>
      </c>
    </row>
    <row r="1025" spans="1:11" x14ac:dyDescent="0.25">
      <c r="A1025" s="18">
        <v>46043</v>
      </c>
      <c r="B1025" s="19">
        <v>262</v>
      </c>
      <c r="C1025" s="19" t="s">
        <v>384</v>
      </c>
      <c r="D1025" s="20" t="s">
        <v>1385</v>
      </c>
      <c r="E1025" s="21">
        <v>5750</v>
      </c>
      <c r="F1025" s="22"/>
      <c r="G1025" s="23">
        <v>132787</v>
      </c>
      <c r="H1025" s="23">
        <v>0</v>
      </c>
      <c r="I1025" s="23">
        <v>132787</v>
      </c>
      <c r="J1025" s="23">
        <v>0</v>
      </c>
      <c r="K1025" s="24">
        <v>0</v>
      </c>
    </row>
    <row r="1026" spans="1:11" x14ac:dyDescent="0.25">
      <c r="A1026" s="11">
        <v>46043</v>
      </c>
      <c r="B1026" s="12">
        <v>262</v>
      </c>
      <c r="C1026" s="12" t="s">
        <v>384</v>
      </c>
      <c r="D1026" s="13" t="s">
        <v>1384</v>
      </c>
      <c r="E1026" s="14"/>
      <c r="F1026" s="15">
        <v>259800</v>
      </c>
      <c r="G1026" s="16"/>
      <c r="H1026" s="16">
        <v>127013</v>
      </c>
      <c r="I1026" s="16">
        <v>0</v>
      </c>
      <c r="J1026" s="16">
        <v>0</v>
      </c>
      <c r="K1026" s="17">
        <v>0</v>
      </c>
    </row>
    <row r="1027" spans="1:11" x14ac:dyDescent="0.25">
      <c r="A1027" s="18">
        <v>46043</v>
      </c>
      <c r="B1027" s="19">
        <v>262</v>
      </c>
      <c r="C1027" s="19" t="s">
        <v>384</v>
      </c>
      <c r="D1027" s="20" t="s">
        <v>1385</v>
      </c>
      <c r="E1027" s="21">
        <v>5500</v>
      </c>
      <c r="F1027" s="22"/>
      <c r="G1027" s="23">
        <v>127013</v>
      </c>
      <c r="H1027" s="23">
        <v>0</v>
      </c>
      <c r="I1027" s="23">
        <v>0</v>
      </c>
      <c r="J1027" s="23">
        <v>0</v>
      </c>
      <c r="K1027" s="24">
        <v>0</v>
      </c>
    </row>
    <row r="1028" spans="1:11" x14ac:dyDescent="0.25">
      <c r="A1028" s="11">
        <v>46063</v>
      </c>
      <c r="B1028" s="12">
        <v>262</v>
      </c>
      <c r="C1028" s="12" t="s">
        <v>384</v>
      </c>
      <c r="D1028" s="13" t="s">
        <v>1385</v>
      </c>
      <c r="E1028" s="14">
        <v>14220</v>
      </c>
      <c r="F1028" s="15"/>
      <c r="G1028" s="16">
        <v>385500</v>
      </c>
      <c r="H1028" s="16">
        <v>0</v>
      </c>
      <c r="I1028" s="16">
        <v>385500</v>
      </c>
      <c r="J1028" s="16">
        <v>0</v>
      </c>
      <c r="K1028" s="17">
        <v>0</v>
      </c>
    </row>
    <row r="1029" spans="1:11" x14ac:dyDescent="0.25">
      <c r="A1029" s="18">
        <v>46063</v>
      </c>
      <c r="B1029" s="19">
        <v>262</v>
      </c>
      <c r="C1029" s="19" t="s">
        <v>384</v>
      </c>
      <c r="D1029" s="20" t="s">
        <v>1390</v>
      </c>
      <c r="E1029" s="21"/>
      <c r="F1029" s="22">
        <v>385500</v>
      </c>
      <c r="G1029" s="23"/>
      <c r="H1029" s="23">
        <v>0</v>
      </c>
      <c r="I1029" s="23">
        <v>0</v>
      </c>
      <c r="J1029" s="23">
        <v>0</v>
      </c>
      <c r="K1029" s="24">
        <v>0</v>
      </c>
    </row>
    <row r="1030" spans="1:11" x14ac:dyDescent="0.25">
      <c r="A1030" s="11">
        <v>46044</v>
      </c>
      <c r="B1030" s="12">
        <v>263</v>
      </c>
      <c r="C1030" s="12" t="s">
        <v>381</v>
      </c>
      <c r="D1030" s="13" t="s">
        <v>1385</v>
      </c>
      <c r="E1030" s="14">
        <v>1050</v>
      </c>
      <c r="F1030" s="15"/>
      <c r="G1030" s="16">
        <v>43050</v>
      </c>
      <c r="H1030" s="16">
        <v>0</v>
      </c>
      <c r="I1030" s="16">
        <v>43050</v>
      </c>
      <c r="J1030" s="16">
        <v>0</v>
      </c>
      <c r="K1030" s="17">
        <v>0</v>
      </c>
    </row>
    <row r="1031" spans="1:11" x14ac:dyDescent="0.25">
      <c r="A1031" s="18">
        <v>46051</v>
      </c>
      <c r="B1031" s="19">
        <v>263</v>
      </c>
      <c r="C1031" s="19" t="s">
        <v>381</v>
      </c>
      <c r="D1031" s="20" t="s">
        <v>1384</v>
      </c>
      <c r="E1031" s="21"/>
      <c r="F1031" s="22">
        <v>43500</v>
      </c>
      <c r="G1031" s="23"/>
      <c r="H1031" s="23">
        <v>450</v>
      </c>
      <c r="I1031" s="23">
        <v>0</v>
      </c>
      <c r="J1031" s="23">
        <v>0</v>
      </c>
      <c r="K1031" s="24">
        <v>0</v>
      </c>
    </row>
    <row r="1032" spans="1:11" x14ac:dyDescent="0.25">
      <c r="A1032" s="11">
        <v>46065</v>
      </c>
      <c r="B1032" s="12">
        <v>263</v>
      </c>
      <c r="C1032" s="12" t="s">
        <v>381</v>
      </c>
      <c r="D1032" s="13" t="s">
        <v>1385</v>
      </c>
      <c r="E1032" s="14">
        <v>1050</v>
      </c>
      <c r="F1032" s="15"/>
      <c r="G1032" s="16">
        <v>43050</v>
      </c>
      <c r="H1032" s="16">
        <v>0</v>
      </c>
      <c r="I1032" s="16">
        <v>42600</v>
      </c>
      <c r="J1032" s="16">
        <v>0</v>
      </c>
      <c r="K1032" s="17">
        <v>0</v>
      </c>
    </row>
    <row r="1033" spans="1:11" x14ac:dyDescent="0.25">
      <c r="A1033" s="18">
        <v>46069</v>
      </c>
      <c r="B1033" s="19">
        <v>263</v>
      </c>
      <c r="C1033" s="19" t="s">
        <v>381</v>
      </c>
      <c r="D1033" s="20" t="s">
        <v>1384</v>
      </c>
      <c r="E1033" s="21"/>
      <c r="F1033" s="22">
        <v>43500</v>
      </c>
      <c r="G1033" s="23"/>
      <c r="H1033" s="23">
        <v>900</v>
      </c>
      <c r="I1033" s="23">
        <v>0</v>
      </c>
      <c r="J1033" s="23">
        <v>900</v>
      </c>
      <c r="K1033" s="24">
        <v>0</v>
      </c>
    </row>
    <row r="1034" spans="1:11" x14ac:dyDescent="0.25">
      <c r="A1034" s="11">
        <v>46039</v>
      </c>
      <c r="B1034" s="12">
        <v>264</v>
      </c>
      <c r="C1034" s="12" t="s">
        <v>377</v>
      </c>
      <c r="D1034" s="13"/>
      <c r="E1034" s="14"/>
      <c r="F1034" s="15">
        <v>0</v>
      </c>
      <c r="G1034" s="16"/>
      <c r="H1034" s="16">
        <v>0</v>
      </c>
      <c r="I1034" s="16">
        <v>0</v>
      </c>
      <c r="J1034" s="16">
        <v>0</v>
      </c>
      <c r="K1034" s="17">
        <v>0</v>
      </c>
    </row>
    <row r="1035" spans="1:11" x14ac:dyDescent="0.25">
      <c r="A1035" s="18">
        <v>46042</v>
      </c>
      <c r="B1035" s="19">
        <v>264</v>
      </c>
      <c r="C1035" s="19" t="s">
        <v>377</v>
      </c>
      <c r="D1035" s="20" t="s">
        <v>1385</v>
      </c>
      <c r="E1035" s="21">
        <v>2550</v>
      </c>
      <c r="F1035" s="22"/>
      <c r="G1035" s="23">
        <v>107100</v>
      </c>
      <c r="H1035" s="23">
        <v>0</v>
      </c>
      <c r="I1035" s="23">
        <v>107100</v>
      </c>
      <c r="J1035" s="23">
        <v>0</v>
      </c>
      <c r="K1035" s="24">
        <v>0</v>
      </c>
    </row>
    <row r="1036" spans="1:11" x14ac:dyDescent="0.25">
      <c r="A1036" s="11">
        <v>46045</v>
      </c>
      <c r="B1036" s="12">
        <v>264</v>
      </c>
      <c r="C1036" s="12" t="s">
        <v>377</v>
      </c>
      <c r="D1036" s="13" t="s">
        <v>1384</v>
      </c>
      <c r="E1036" s="14"/>
      <c r="F1036" s="15">
        <v>107100</v>
      </c>
      <c r="G1036" s="16"/>
      <c r="H1036" s="16">
        <v>0</v>
      </c>
      <c r="I1036" s="16">
        <v>0</v>
      </c>
      <c r="J1036" s="16">
        <v>0</v>
      </c>
      <c r="K1036" s="17">
        <v>0</v>
      </c>
    </row>
    <row r="1037" spans="1:11" x14ac:dyDescent="0.25">
      <c r="A1037" s="18">
        <v>46057</v>
      </c>
      <c r="B1037" s="19">
        <v>264</v>
      </c>
      <c r="C1037" s="19" t="s">
        <v>377</v>
      </c>
      <c r="D1037" s="20" t="s">
        <v>1385</v>
      </c>
      <c r="E1037" s="21">
        <v>2550</v>
      </c>
      <c r="F1037" s="22"/>
      <c r="G1037" s="23">
        <v>107100</v>
      </c>
      <c r="H1037" s="23">
        <v>0</v>
      </c>
      <c r="I1037" s="23">
        <v>107100</v>
      </c>
      <c r="J1037" s="23">
        <v>0</v>
      </c>
      <c r="K1037" s="24">
        <v>0</v>
      </c>
    </row>
    <row r="1038" spans="1:11" x14ac:dyDescent="0.25">
      <c r="A1038" s="11">
        <v>46058</v>
      </c>
      <c r="B1038" s="12">
        <v>264</v>
      </c>
      <c r="C1038" s="12" t="s">
        <v>377</v>
      </c>
      <c r="D1038" s="13" t="s">
        <v>1384</v>
      </c>
      <c r="E1038" s="14"/>
      <c r="F1038" s="15">
        <v>107100</v>
      </c>
      <c r="G1038" s="16"/>
      <c r="H1038" s="16">
        <v>0</v>
      </c>
      <c r="I1038" s="16">
        <v>0</v>
      </c>
      <c r="J1038" s="16">
        <v>0</v>
      </c>
      <c r="K1038" s="17">
        <v>0</v>
      </c>
    </row>
    <row r="1039" spans="1:11" x14ac:dyDescent="0.25">
      <c r="A1039" s="18">
        <v>46071</v>
      </c>
      <c r="B1039" s="19">
        <v>264</v>
      </c>
      <c r="C1039" s="19" t="s">
        <v>377</v>
      </c>
      <c r="D1039" s="20" t="s">
        <v>1385</v>
      </c>
      <c r="E1039" s="21">
        <v>2550</v>
      </c>
      <c r="F1039" s="22"/>
      <c r="G1039" s="23">
        <v>107100</v>
      </c>
      <c r="H1039" s="23">
        <v>0</v>
      </c>
      <c r="I1039" s="23">
        <v>107100</v>
      </c>
      <c r="J1039" s="23">
        <v>0</v>
      </c>
      <c r="K1039" s="24">
        <v>107100</v>
      </c>
    </row>
    <row r="1040" spans="1:11" x14ac:dyDescent="0.25">
      <c r="A1040" s="11">
        <v>46039</v>
      </c>
      <c r="B1040" s="12">
        <v>268</v>
      </c>
      <c r="C1040" s="12" t="s">
        <v>361</v>
      </c>
      <c r="D1040" s="13"/>
      <c r="E1040" s="14"/>
      <c r="F1040" s="15"/>
      <c r="G1040" s="16">
        <v>45600</v>
      </c>
      <c r="H1040" s="16">
        <v>0</v>
      </c>
      <c r="I1040" s="16">
        <v>45600</v>
      </c>
      <c r="J1040" s="16">
        <v>0</v>
      </c>
      <c r="K1040" s="17">
        <v>0</v>
      </c>
    </row>
    <row r="1041" spans="1:11" x14ac:dyDescent="0.25">
      <c r="A1041" s="18">
        <v>46039</v>
      </c>
      <c r="B1041" s="19">
        <v>268</v>
      </c>
      <c r="C1041" s="19" t="s">
        <v>361</v>
      </c>
      <c r="D1041" s="20"/>
      <c r="E1041" s="21"/>
      <c r="F1041" s="22">
        <v>0</v>
      </c>
      <c r="G1041" s="23"/>
      <c r="H1041" s="23">
        <v>0</v>
      </c>
      <c r="I1041" s="23">
        <v>45600</v>
      </c>
      <c r="J1041" s="23">
        <v>0</v>
      </c>
      <c r="K1041" s="24">
        <v>0</v>
      </c>
    </row>
    <row r="1042" spans="1:11" x14ac:dyDescent="0.25">
      <c r="A1042" s="11">
        <v>46041</v>
      </c>
      <c r="B1042" s="12">
        <v>268</v>
      </c>
      <c r="C1042" s="12" t="s">
        <v>361</v>
      </c>
      <c r="D1042" s="13" t="s">
        <v>1385</v>
      </c>
      <c r="E1042" s="14">
        <v>5400</v>
      </c>
      <c r="F1042" s="15"/>
      <c r="G1042" s="16">
        <v>135000</v>
      </c>
      <c r="H1042" s="16">
        <v>0</v>
      </c>
      <c r="I1042" s="16">
        <v>180600</v>
      </c>
      <c r="J1042" s="16">
        <v>0</v>
      </c>
      <c r="K1042" s="17">
        <v>0</v>
      </c>
    </row>
    <row r="1043" spans="1:11" x14ac:dyDescent="0.25">
      <c r="A1043" s="18">
        <v>46055</v>
      </c>
      <c r="B1043" s="19">
        <v>268</v>
      </c>
      <c r="C1043" s="19" t="s">
        <v>361</v>
      </c>
      <c r="D1043" s="20" t="s">
        <v>1384</v>
      </c>
      <c r="E1043" s="21"/>
      <c r="F1043" s="22">
        <v>19300</v>
      </c>
      <c r="G1043" s="23"/>
      <c r="H1043" s="23">
        <v>0</v>
      </c>
      <c r="I1043" s="23">
        <v>161300</v>
      </c>
      <c r="J1043" s="23">
        <v>0</v>
      </c>
      <c r="K1043" s="24">
        <v>0</v>
      </c>
    </row>
    <row r="1044" spans="1:11" x14ac:dyDescent="0.25">
      <c r="A1044" s="11">
        <v>46055</v>
      </c>
      <c r="B1044" s="12">
        <v>268</v>
      </c>
      <c r="C1044" s="12" t="s">
        <v>361</v>
      </c>
      <c r="D1044" s="13" t="s">
        <v>1384</v>
      </c>
      <c r="E1044" s="14"/>
      <c r="F1044" s="15">
        <v>297000</v>
      </c>
      <c r="G1044" s="16"/>
      <c r="H1044" s="16">
        <v>135700</v>
      </c>
      <c r="I1044" s="16">
        <v>0</v>
      </c>
      <c r="J1044" s="16">
        <v>0</v>
      </c>
      <c r="K1044" s="17">
        <v>0</v>
      </c>
    </row>
    <row r="1045" spans="1:11" x14ac:dyDescent="0.25">
      <c r="A1045" s="18">
        <v>46057</v>
      </c>
      <c r="B1045" s="19">
        <v>268</v>
      </c>
      <c r="C1045" s="19" t="s">
        <v>361</v>
      </c>
      <c r="D1045" s="20" t="s">
        <v>1385</v>
      </c>
      <c r="E1045" s="21">
        <v>5400</v>
      </c>
      <c r="F1045" s="22"/>
      <c r="G1045" s="23">
        <v>135000</v>
      </c>
      <c r="H1045" s="23">
        <v>700</v>
      </c>
      <c r="I1045" s="23">
        <v>0</v>
      </c>
      <c r="J1045" s="23">
        <v>0</v>
      </c>
      <c r="K1045" s="24">
        <v>0</v>
      </c>
    </row>
    <row r="1046" spans="1:11" x14ac:dyDescent="0.25">
      <c r="A1046" s="11">
        <v>46071</v>
      </c>
      <c r="B1046" s="12">
        <v>268</v>
      </c>
      <c r="C1046" s="12" t="s">
        <v>361</v>
      </c>
      <c r="D1046" s="13" t="s">
        <v>1385</v>
      </c>
      <c r="E1046" s="14">
        <v>5400</v>
      </c>
      <c r="F1046" s="15"/>
      <c r="G1046" s="16">
        <v>135000</v>
      </c>
      <c r="H1046" s="16">
        <v>0</v>
      </c>
      <c r="I1046" s="16">
        <v>134300</v>
      </c>
      <c r="J1046" s="16">
        <v>0</v>
      </c>
      <c r="K1046" s="17">
        <v>134300</v>
      </c>
    </row>
    <row r="1047" spans="1:11" x14ac:dyDescent="0.25">
      <c r="A1047" s="18">
        <v>46053</v>
      </c>
      <c r="B1047" s="19">
        <v>269</v>
      </c>
      <c r="C1047" s="19" t="s">
        <v>357</v>
      </c>
      <c r="D1047" s="20" t="s">
        <v>1384</v>
      </c>
      <c r="E1047" s="21"/>
      <c r="F1047" s="22">
        <v>410000</v>
      </c>
      <c r="G1047" s="23"/>
      <c r="H1047" s="23">
        <v>410000</v>
      </c>
      <c r="I1047" s="23">
        <v>0</v>
      </c>
      <c r="J1047" s="23">
        <v>0</v>
      </c>
      <c r="K1047" s="24">
        <v>0</v>
      </c>
    </row>
    <row r="1048" spans="1:11" x14ac:dyDescent="0.25">
      <c r="A1048" s="11">
        <v>46055</v>
      </c>
      <c r="B1048" s="12">
        <v>269</v>
      </c>
      <c r="C1048" s="12" t="s">
        <v>357</v>
      </c>
      <c r="D1048" s="13" t="s">
        <v>1383</v>
      </c>
      <c r="E1048" s="14">
        <v>2000</v>
      </c>
      <c r="F1048" s="15"/>
      <c r="G1048" s="16">
        <v>67000</v>
      </c>
      <c r="H1048" s="16">
        <v>343000</v>
      </c>
      <c r="I1048" s="16">
        <v>0</v>
      </c>
      <c r="J1048" s="16">
        <v>0</v>
      </c>
      <c r="K1048" s="17">
        <v>0</v>
      </c>
    </row>
    <row r="1049" spans="1:11" x14ac:dyDescent="0.25">
      <c r="A1049" s="18">
        <v>46055</v>
      </c>
      <c r="B1049" s="19">
        <v>269</v>
      </c>
      <c r="C1049" s="19" t="s">
        <v>357</v>
      </c>
      <c r="D1049" s="20" t="s">
        <v>1385</v>
      </c>
      <c r="E1049" s="21">
        <v>8000</v>
      </c>
      <c r="F1049" s="22"/>
      <c r="G1049" s="23">
        <v>268000</v>
      </c>
      <c r="H1049" s="23">
        <v>75000</v>
      </c>
      <c r="I1049" s="23">
        <v>0</v>
      </c>
      <c r="J1049" s="23">
        <v>75000</v>
      </c>
      <c r="K1049" s="24">
        <v>0</v>
      </c>
    </row>
    <row r="1050" spans="1:11" x14ac:dyDescent="0.25">
      <c r="A1050" s="11">
        <v>46039</v>
      </c>
      <c r="B1050" s="12">
        <v>271</v>
      </c>
      <c r="C1050" s="12" t="s">
        <v>349</v>
      </c>
      <c r="D1050" s="13"/>
      <c r="E1050" s="14"/>
      <c r="F1050" s="15">
        <v>0</v>
      </c>
      <c r="G1050" s="16"/>
      <c r="H1050" s="16">
        <v>0</v>
      </c>
      <c r="I1050" s="16">
        <v>0</v>
      </c>
      <c r="J1050" s="16">
        <v>0</v>
      </c>
      <c r="K1050" s="17">
        <v>0</v>
      </c>
    </row>
    <row r="1051" spans="1:11" x14ac:dyDescent="0.25">
      <c r="A1051" s="18">
        <v>46044</v>
      </c>
      <c r="B1051" s="19">
        <v>271</v>
      </c>
      <c r="C1051" s="19" t="s">
        <v>349</v>
      </c>
      <c r="D1051" s="20" t="s">
        <v>1385</v>
      </c>
      <c r="E1051" s="21">
        <v>3300</v>
      </c>
      <c r="F1051" s="22"/>
      <c r="G1051" s="23">
        <v>99000</v>
      </c>
      <c r="H1051" s="23">
        <v>0</v>
      </c>
      <c r="I1051" s="23">
        <v>99000</v>
      </c>
      <c r="J1051" s="23">
        <v>0</v>
      </c>
      <c r="K1051" s="24">
        <v>0</v>
      </c>
    </row>
    <row r="1052" spans="1:11" x14ac:dyDescent="0.25">
      <c r="A1052" s="11">
        <v>46044</v>
      </c>
      <c r="B1052" s="12">
        <v>271</v>
      </c>
      <c r="C1052" s="12" t="s">
        <v>349</v>
      </c>
      <c r="D1052" s="13" t="s">
        <v>1385</v>
      </c>
      <c r="E1052" s="14">
        <v>3450</v>
      </c>
      <c r="F1052" s="15"/>
      <c r="G1052" s="16">
        <v>103500</v>
      </c>
      <c r="H1052" s="16">
        <v>0</v>
      </c>
      <c r="I1052" s="16">
        <v>202500</v>
      </c>
      <c r="J1052" s="16">
        <v>0</v>
      </c>
      <c r="K1052" s="17">
        <v>0</v>
      </c>
    </row>
    <row r="1053" spans="1:11" x14ac:dyDescent="0.25">
      <c r="A1053" s="18">
        <v>46059</v>
      </c>
      <c r="B1053" s="19">
        <v>271</v>
      </c>
      <c r="C1053" s="19" t="s">
        <v>349</v>
      </c>
      <c r="D1053" s="20" t="s">
        <v>1385</v>
      </c>
      <c r="E1053" s="21">
        <v>3300</v>
      </c>
      <c r="F1053" s="22"/>
      <c r="G1053" s="23">
        <v>99000</v>
      </c>
      <c r="H1053" s="23">
        <v>0</v>
      </c>
      <c r="I1053" s="23">
        <v>301500</v>
      </c>
      <c r="J1053" s="23">
        <v>0</v>
      </c>
      <c r="K1053" s="24">
        <v>0</v>
      </c>
    </row>
    <row r="1054" spans="1:11" x14ac:dyDescent="0.25">
      <c r="A1054" s="11">
        <v>46059</v>
      </c>
      <c r="B1054" s="12">
        <v>271</v>
      </c>
      <c r="C1054" s="12" t="s">
        <v>349</v>
      </c>
      <c r="D1054" s="13" t="s">
        <v>1385</v>
      </c>
      <c r="E1054" s="14">
        <v>3450</v>
      </c>
      <c r="F1054" s="15"/>
      <c r="G1054" s="16">
        <v>103500</v>
      </c>
      <c r="H1054" s="16">
        <v>0</v>
      </c>
      <c r="I1054" s="16">
        <v>405000</v>
      </c>
      <c r="J1054" s="16">
        <v>0</v>
      </c>
      <c r="K1054" s="17">
        <v>0</v>
      </c>
    </row>
    <row r="1055" spans="1:11" x14ac:dyDescent="0.25">
      <c r="A1055" s="18">
        <v>46065</v>
      </c>
      <c r="B1055" s="19">
        <v>271</v>
      </c>
      <c r="C1055" s="19" t="s">
        <v>349</v>
      </c>
      <c r="D1055" s="20" t="s">
        <v>1384</v>
      </c>
      <c r="E1055" s="21"/>
      <c r="F1055" s="22">
        <v>405000</v>
      </c>
      <c r="G1055" s="23"/>
      <c r="H1055" s="23">
        <v>0</v>
      </c>
      <c r="I1055" s="23">
        <v>0</v>
      </c>
      <c r="J1055" s="23">
        <v>0</v>
      </c>
      <c r="K1055" s="24">
        <v>0</v>
      </c>
    </row>
    <row r="1056" spans="1:11" x14ac:dyDescent="0.25">
      <c r="A1056" s="11">
        <v>46039</v>
      </c>
      <c r="B1056" s="12">
        <v>273</v>
      </c>
      <c r="C1056" s="12" t="s">
        <v>341</v>
      </c>
      <c r="D1056" s="13"/>
      <c r="E1056" s="14"/>
      <c r="F1056" s="15"/>
      <c r="G1056" s="16">
        <v>66600</v>
      </c>
      <c r="H1056" s="16">
        <v>0</v>
      </c>
      <c r="I1056" s="16">
        <v>66600</v>
      </c>
      <c r="J1056" s="16">
        <v>0</v>
      </c>
      <c r="K1056" s="17">
        <v>0</v>
      </c>
    </row>
    <row r="1057" spans="1:11" x14ac:dyDescent="0.25">
      <c r="A1057" s="18">
        <v>46042</v>
      </c>
      <c r="B1057" s="19">
        <v>273</v>
      </c>
      <c r="C1057" s="19" t="s">
        <v>341</v>
      </c>
      <c r="D1057" s="20" t="s">
        <v>1384</v>
      </c>
      <c r="E1057" s="21"/>
      <c r="F1057" s="22">
        <v>66600</v>
      </c>
      <c r="G1057" s="23"/>
      <c r="H1057" s="23">
        <v>0</v>
      </c>
      <c r="I1057" s="23">
        <v>0</v>
      </c>
      <c r="J1057" s="23">
        <v>0</v>
      </c>
      <c r="K1057" s="24">
        <v>0</v>
      </c>
    </row>
    <row r="1058" spans="1:11" x14ac:dyDescent="0.25">
      <c r="A1058" s="11">
        <v>46045</v>
      </c>
      <c r="B1058" s="12">
        <v>273</v>
      </c>
      <c r="C1058" s="12" t="s">
        <v>341</v>
      </c>
      <c r="D1058" s="13" t="s">
        <v>1385</v>
      </c>
      <c r="E1058" s="14">
        <v>1680</v>
      </c>
      <c r="F1058" s="15"/>
      <c r="G1058" s="16">
        <v>70500</v>
      </c>
      <c r="H1058" s="16">
        <v>0</v>
      </c>
      <c r="I1058" s="16">
        <v>70500</v>
      </c>
      <c r="J1058" s="16">
        <v>0</v>
      </c>
      <c r="K1058" s="17">
        <v>0</v>
      </c>
    </row>
    <row r="1059" spans="1:11" x14ac:dyDescent="0.25">
      <c r="A1059" s="18">
        <v>46052</v>
      </c>
      <c r="B1059" s="19">
        <v>273</v>
      </c>
      <c r="C1059" s="19" t="s">
        <v>341</v>
      </c>
      <c r="D1059" s="20" t="s">
        <v>1384</v>
      </c>
      <c r="E1059" s="21"/>
      <c r="F1059" s="22">
        <v>70560</v>
      </c>
      <c r="G1059" s="23"/>
      <c r="H1059" s="23">
        <v>60</v>
      </c>
      <c r="I1059" s="23">
        <v>0</v>
      </c>
      <c r="J1059" s="23">
        <v>0</v>
      </c>
      <c r="K1059" s="24">
        <v>0</v>
      </c>
    </row>
    <row r="1060" spans="1:11" x14ac:dyDescent="0.25">
      <c r="A1060" s="11">
        <v>46056</v>
      </c>
      <c r="B1060" s="12">
        <v>273</v>
      </c>
      <c r="C1060" s="12" t="s">
        <v>341</v>
      </c>
      <c r="D1060" s="13" t="s">
        <v>1385</v>
      </c>
      <c r="E1060" s="14">
        <v>1680</v>
      </c>
      <c r="F1060" s="15"/>
      <c r="G1060" s="16">
        <v>70500</v>
      </c>
      <c r="H1060" s="16">
        <v>0</v>
      </c>
      <c r="I1060" s="16">
        <v>70440</v>
      </c>
      <c r="J1060" s="16">
        <v>0</v>
      </c>
      <c r="K1060" s="17">
        <v>0</v>
      </c>
    </row>
    <row r="1061" spans="1:11" x14ac:dyDescent="0.25">
      <c r="A1061" s="18">
        <v>46066</v>
      </c>
      <c r="B1061" s="19">
        <v>273</v>
      </c>
      <c r="C1061" s="19" t="s">
        <v>341</v>
      </c>
      <c r="D1061" s="20" t="s">
        <v>1385</v>
      </c>
      <c r="E1061" s="21">
        <v>1680</v>
      </c>
      <c r="F1061" s="22"/>
      <c r="G1061" s="23">
        <v>70500</v>
      </c>
      <c r="H1061" s="23">
        <v>0</v>
      </c>
      <c r="I1061" s="23">
        <v>140940</v>
      </c>
      <c r="J1061" s="23">
        <v>0</v>
      </c>
      <c r="K1061" s="24">
        <v>0</v>
      </c>
    </row>
    <row r="1062" spans="1:11" x14ac:dyDescent="0.25">
      <c r="A1062" s="11">
        <v>46069</v>
      </c>
      <c r="B1062" s="12">
        <v>273</v>
      </c>
      <c r="C1062" s="12" t="s">
        <v>341</v>
      </c>
      <c r="D1062" s="13" t="s">
        <v>1384</v>
      </c>
      <c r="E1062" s="14"/>
      <c r="F1062" s="15">
        <v>70560</v>
      </c>
      <c r="G1062" s="16"/>
      <c r="H1062" s="16">
        <v>0</v>
      </c>
      <c r="I1062" s="16">
        <v>70380</v>
      </c>
      <c r="J1062" s="16">
        <v>0</v>
      </c>
      <c r="K1062" s="17">
        <v>70380</v>
      </c>
    </row>
    <row r="1063" spans="1:11" x14ac:dyDescent="0.25">
      <c r="A1063" s="18">
        <v>46039</v>
      </c>
      <c r="B1063" s="19">
        <v>275</v>
      </c>
      <c r="C1063" s="19" t="s">
        <v>331</v>
      </c>
      <c r="D1063" s="20"/>
      <c r="E1063" s="21"/>
      <c r="F1063" s="22"/>
      <c r="G1063" s="23">
        <v>192780</v>
      </c>
      <c r="H1063" s="23">
        <v>0</v>
      </c>
      <c r="I1063" s="23">
        <v>192780</v>
      </c>
      <c r="J1063" s="23">
        <v>0</v>
      </c>
      <c r="K1063" s="24">
        <v>0</v>
      </c>
    </row>
    <row r="1064" spans="1:11" x14ac:dyDescent="0.25">
      <c r="A1064" s="11">
        <v>46048</v>
      </c>
      <c r="B1064" s="12">
        <v>275</v>
      </c>
      <c r="C1064" s="12" t="s">
        <v>331</v>
      </c>
      <c r="D1064" s="13" t="s">
        <v>1384</v>
      </c>
      <c r="E1064" s="14"/>
      <c r="F1064" s="15">
        <v>192780</v>
      </c>
      <c r="G1064" s="16"/>
      <c r="H1064" s="16">
        <v>0</v>
      </c>
      <c r="I1064" s="16">
        <v>0</v>
      </c>
      <c r="J1064" s="16">
        <v>0</v>
      </c>
      <c r="K1064" s="17">
        <v>0</v>
      </c>
    </row>
    <row r="1065" spans="1:11" x14ac:dyDescent="0.25">
      <c r="A1065" s="18">
        <v>46052</v>
      </c>
      <c r="B1065" s="19">
        <v>275</v>
      </c>
      <c r="C1065" s="19" t="s">
        <v>331</v>
      </c>
      <c r="D1065" s="20" t="s">
        <v>1385</v>
      </c>
      <c r="E1065" s="21">
        <v>3519</v>
      </c>
      <c r="F1065" s="22"/>
      <c r="G1065" s="23">
        <v>98532</v>
      </c>
      <c r="H1065" s="23">
        <v>0</v>
      </c>
      <c r="I1065" s="23">
        <v>98532</v>
      </c>
      <c r="J1065" s="23">
        <v>0</v>
      </c>
      <c r="K1065" s="24">
        <v>0</v>
      </c>
    </row>
    <row r="1066" spans="1:11" x14ac:dyDescent="0.25">
      <c r="A1066" s="11">
        <v>46052</v>
      </c>
      <c r="B1066" s="12">
        <v>275</v>
      </c>
      <c r="C1066" s="12" t="s">
        <v>331</v>
      </c>
      <c r="D1066" s="13" t="s">
        <v>1385</v>
      </c>
      <c r="E1066" s="14">
        <v>3366</v>
      </c>
      <c r="F1066" s="15"/>
      <c r="G1066" s="16">
        <v>94248</v>
      </c>
      <c r="H1066" s="16">
        <v>0</v>
      </c>
      <c r="I1066" s="16">
        <v>192780</v>
      </c>
      <c r="J1066" s="16">
        <v>0</v>
      </c>
      <c r="K1066" s="17">
        <v>0</v>
      </c>
    </row>
    <row r="1067" spans="1:11" x14ac:dyDescent="0.25">
      <c r="A1067" s="18">
        <v>46061</v>
      </c>
      <c r="B1067" s="19">
        <v>275</v>
      </c>
      <c r="C1067" s="19" t="s">
        <v>331</v>
      </c>
      <c r="D1067" s="20" t="s">
        <v>1384</v>
      </c>
      <c r="E1067" s="21"/>
      <c r="F1067" s="22">
        <v>192780</v>
      </c>
      <c r="G1067" s="23"/>
      <c r="H1067" s="23">
        <v>0</v>
      </c>
      <c r="I1067" s="23">
        <v>0</v>
      </c>
      <c r="J1067" s="23">
        <v>0</v>
      </c>
      <c r="K1067" s="24">
        <v>0</v>
      </c>
    </row>
    <row r="1068" spans="1:11" x14ac:dyDescent="0.25">
      <c r="A1068" s="11">
        <v>46069</v>
      </c>
      <c r="B1068" s="12">
        <v>275</v>
      </c>
      <c r="C1068" s="12" t="s">
        <v>331</v>
      </c>
      <c r="D1068" s="13" t="s">
        <v>1385</v>
      </c>
      <c r="E1068" s="14">
        <v>3519</v>
      </c>
      <c r="F1068" s="15"/>
      <c r="G1068" s="16">
        <v>98532</v>
      </c>
      <c r="H1068" s="16">
        <v>0</v>
      </c>
      <c r="I1068" s="16">
        <v>98532</v>
      </c>
      <c r="J1068" s="16">
        <v>0</v>
      </c>
      <c r="K1068" s="17">
        <v>0</v>
      </c>
    </row>
    <row r="1069" spans="1:11" x14ac:dyDescent="0.25">
      <c r="A1069" s="18">
        <v>46069</v>
      </c>
      <c r="B1069" s="19">
        <v>275</v>
      </c>
      <c r="C1069" s="19" t="s">
        <v>331</v>
      </c>
      <c r="D1069" s="20" t="s">
        <v>1385</v>
      </c>
      <c r="E1069" s="21">
        <v>3366</v>
      </c>
      <c r="F1069" s="22"/>
      <c r="G1069" s="23">
        <v>94248</v>
      </c>
      <c r="H1069" s="23">
        <v>0</v>
      </c>
      <c r="I1069" s="23">
        <v>192780</v>
      </c>
      <c r="J1069" s="23">
        <v>0</v>
      </c>
      <c r="K1069" s="24">
        <v>192780</v>
      </c>
    </row>
    <row r="1070" spans="1:11" x14ac:dyDescent="0.25">
      <c r="A1070" s="11">
        <v>46050</v>
      </c>
      <c r="B1070" s="12">
        <v>276</v>
      </c>
      <c r="C1070" s="12" t="s">
        <v>327</v>
      </c>
      <c r="D1070" s="13" t="s">
        <v>1385</v>
      </c>
      <c r="E1070" s="14">
        <v>4800</v>
      </c>
      <c r="F1070" s="15"/>
      <c r="G1070" s="16">
        <v>144000</v>
      </c>
      <c r="H1070" s="16">
        <v>0</v>
      </c>
      <c r="I1070" s="16">
        <v>144000</v>
      </c>
      <c r="J1070" s="16">
        <v>0</v>
      </c>
      <c r="K1070" s="17">
        <v>0</v>
      </c>
    </row>
    <row r="1071" spans="1:11" x14ac:dyDescent="0.25">
      <c r="A1071" s="18">
        <v>46052</v>
      </c>
      <c r="B1071" s="19">
        <v>276</v>
      </c>
      <c r="C1071" s="19" t="s">
        <v>327</v>
      </c>
      <c r="D1071" s="20" t="s">
        <v>1384</v>
      </c>
      <c r="E1071" s="21"/>
      <c r="F1071" s="22">
        <v>144000</v>
      </c>
      <c r="G1071" s="23"/>
      <c r="H1071" s="23">
        <v>0</v>
      </c>
      <c r="I1071" s="23">
        <v>0</v>
      </c>
      <c r="J1071" s="23">
        <v>0</v>
      </c>
      <c r="K1071" s="24">
        <v>0</v>
      </c>
    </row>
    <row r="1072" spans="1:11" x14ac:dyDescent="0.25">
      <c r="A1072" s="11">
        <v>46065</v>
      </c>
      <c r="B1072" s="12">
        <v>276</v>
      </c>
      <c r="C1072" s="12" t="s">
        <v>327</v>
      </c>
      <c r="D1072" s="13" t="s">
        <v>1385</v>
      </c>
      <c r="E1072" s="14">
        <v>4800</v>
      </c>
      <c r="F1072" s="15"/>
      <c r="G1072" s="16">
        <v>144000</v>
      </c>
      <c r="H1072" s="16">
        <v>0</v>
      </c>
      <c r="I1072" s="16">
        <v>144000</v>
      </c>
      <c r="J1072" s="16">
        <v>0</v>
      </c>
      <c r="K1072" s="17">
        <v>0</v>
      </c>
    </row>
    <row r="1073" spans="1:11" x14ac:dyDescent="0.25">
      <c r="A1073" s="18">
        <v>46069</v>
      </c>
      <c r="B1073" s="19">
        <v>276</v>
      </c>
      <c r="C1073" s="19" t="s">
        <v>327</v>
      </c>
      <c r="D1073" s="20" t="s">
        <v>1384</v>
      </c>
      <c r="E1073" s="21"/>
      <c r="F1073" s="22">
        <v>144000</v>
      </c>
      <c r="G1073" s="23"/>
      <c r="H1073" s="23">
        <v>0</v>
      </c>
      <c r="I1073" s="23">
        <v>0</v>
      </c>
      <c r="J1073" s="23">
        <v>0</v>
      </c>
      <c r="K1073" s="24">
        <v>0</v>
      </c>
    </row>
    <row r="1074" spans="1:11" x14ac:dyDescent="0.25">
      <c r="A1074" s="11">
        <v>46039</v>
      </c>
      <c r="B1074" s="12">
        <v>278</v>
      </c>
      <c r="C1074" s="12" t="s">
        <v>318</v>
      </c>
      <c r="D1074" s="13"/>
      <c r="E1074" s="14"/>
      <c r="F1074" s="15"/>
      <c r="G1074" s="16">
        <v>510500</v>
      </c>
      <c r="H1074" s="16">
        <v>0</v>
      </c>
      <c r="I1074" s="16">
        <v>510500</v>
      </c>
      <c r="J1074" s="16">
        <v>0</v>
      </c>
      <c r="K1074" s="17">
        <v>0</v>
      </c>
    </row>
    <row r="1075" spans="1:11" x14ac:dyDescent="0.25">
      <c r="A1075" s="18">
        <v>46043</v>
      </c>
      <c r="B1075" s="19">
        <v>278</v>
      </c>
      <c r="C1075" s="19" t="s">
        <v>318</v>
      </c>
      <c r="D1075" s="20" t="s">
        <v>1385</v>
      </c>
      <c r="E1075" s="21">
        <v>14700</v>
      </c>
      <c r="F1075" s="22"/>
      <c r="G1075" s="23">
        <v>0</v>
      </c>
      <c r="H1075" s="23">
        <v>0</v>
      </c>
      <c r="I1075" s="23">
        <v>510500</v>
      </c>
      <c r="J1075" s="23">
        <v>0</v>
      </c>
      <c r="K1075" s="24">
        <v>0</v>
      </c>
    </row>
    <row r="1076" spans="1:11" x14ac:dyDescent="0.25">
      <c r="A1076" s="11">
        <v>46050</v>
      </c>
      <c r="B1076" s="12">
        <v>278</v>
      </c>
      <c r="C1076" s="12" t="s">
        <v>318</v>
      </c>
      <c r="D1076" s="13" t="s">
        <v>1384</v>
      </c>
      <c r="E1076" s="14"/>
      <c r="F1076" s="15">
        <v>300000</v>
      </c>
      <c r="G1076" s="16"/>
      <c r="H1076" s="16">
        <v>0</v>
      </c>
      <c r="I1076" s="16">
        <v>210500</v>
      </c>
      <c r="J1076" s="16">
        <v>0</v>
      </c>
      <c r="K1076" s="17">
        <v>0</v>
      </c>
    </row>
    <row r="1077" spans="1:11" x14ac:dyDescent="0.25">
      <c r="A1077" s="18">
        <v>46051</v>
      </c>
      <c r="B1077" s="19">
        <v>278</v>
      </c>
      <c r="C1077" s="19" t="s">
        <v>318</v>
      </c>
      <c r="D1077" s="20" t="s">
        <v>1383</v>
      </c>
      <c r="E1077" s="21">
        <v>1000</v>
      </c>
      <c r="F1077" s="22"/>
      <c r="G1077" s="23">
        <v>60000</v>
      </c>
      <c r="H1077" s="23">
        <v>0</v>
      </c>
      <c r="I1077" s="23">
        <v>270500</v>
      </c>
      <c r="J1077" s="23">
        <v>0</v>
      </c>
      <c r="K1077" s="24">
        <v>0</v>
      </c>
    </row>
    <row r="1078" spans="1:11" x14ac:dyDescent="0.25">
      <c r="A1078" s="11">
        <v>46051</v>
      </c>
      <c r="B1078" s="12">
        <v>278</v>
      </c>
      <c r="C1078" s="12" t="s">
        <v>318</v>
      </c>
      <c r="D1078" s="13" t="s">
        <v>1385</v>
      </c>
      <c r="E1078" s="14">
        <v>11550</v>
      </c>
      <c r="F1078" s="15"/>
      <c r="G1078" s="16">
        <v>0</v>
      </c>
      <c r="H1078" s="16">
        <v>0</v>
      </c>
      <c r="I1078" s="16">
        <v>270500</v>
      </c>
      <c r="J1078" s="16">
        <v>0</v>
      </c>
      <c r="K1078" s="17">
        <v>0</v>
      </c>
    </row>
    <row r="1079" spans="1:11" x14ac:dyDescent="0.25">
      <c r="A1079" s="18">
        <v>46053</v>
      </c>
      <c r="B1079" s="19">
        <v>278</v>
      </c>
      <c r="C1079" s="19" t="s">
        <v>318</v>
      </c>
      <c r="D1079" s="20" t="s">
        <v>1385</v>
      </c>
      <c r="E1079" s="21">
        <v>7350</v>
      </c>
      <c r="F1079" s="22"/>
      <c r="G1079" s="23">
        <v>154000</v>
      </c>
      <c r="H1079" s="23">
        <v>0</v>
      </c>
      <c r="I1079" s="23">
        <v>424500</v>
      </c>
      <c r="J1079" s="23">
        <v>0</v>
      </c>
      <c r="K1079" s="24">
        <v>0</v>
      </c>
    </row>
    <row r="1080" spans="1:11" x14ac:dyDescent="0.25">
      <c r="A1080" s="11">
        <v>46053</v>
      </c>
      <c r="B1080" s="12">
        <v>278</v>
      </c>
      <c r="C1080" s="12" t="s">
        <v>318</v>
      </c>
      <c r="D1080" s="13" t="s">
        <v>1390</v>
      </c>
      <c r="E1080" s="14"/>
      <c r="F1080" s="15">
        <v>120000</v>
      </c>
      <c r="G1080" s="16"/>
      <c r="H1080" s="16">
        <v>0</v>
      </c>
      <c r="I1080" s="16">
        <v>304500</v>
      </c>
      <c r="J1080" s="16">
        <v>0</v>
      </c>
      <c r="K1080" s="17">
        <v>0</v>
      </c>
    </row>
    <row r="1081" spans="1:11" x14ac:dyDescent="0.25">
      <c r="A1081" s="18">
        <v>46057</v>
      </c>
      <c r="B1081" s="19">
        <v>278</v>
      </c>
      <c r="C1081" s="19" t="s">
        <v>318</v>
      </c>
      <c r="D1081" s="20" t="s">
        <v>1390</v>
      </c>
      <c r="E1081" s="21"/>
      <c r="F1081" s="22">
        <v>300000</v>
      </c>
      <c r="G1081" s="23"/>
      <c r="H1081" s="23">
        <v>0</v>
      </c>
      <c r="I1081" s="23">
        <v>4500</v>
      </c>
      <c r="J1081" s="23">
        <v>0</v>
      </c>
      <c r="K1081" s="24">
        <v>0</v>
      </c>
    </row>
    <row r="1082" spans="1:11" x14ac:dyDescent="0.25">
      <c r="A1082" s="11">
        <v>46057</v>
      </c>
      <c r="B1082" s="12">
        <v>278</v>
      </c>
      <c r="C1082" s="12" t="s">
        <v>318</v>
      </c>
      <c r="D1082" s="13" t="s">
        <v>1385</v>
      </c>
      <c r="E1082" s="14">
        <v>15750</v>
      </c>
      <c r="F1082" s="15"/>
      <c r="G1082" s="16">
        <v>346500</v>
      </c>
      <c r="H1082" s="16">
        <v>0</v>
      </c>
      <c r="I1082" s="16">
        <v>351000</v>
      </c>
      <c r="J1082" s="16">
        <v>0</v>
      </c>
      <c r="K1082" s="17">
        <v>0</v>
      </c>
    </row>
    <row r="1083" spans="1:11" x14ac:dyDescent="0.25">
      <c r="A1083" s="18">
        <v>46059</v>
      </c>
      <c r="B1083" s="19">
        <v>278</v>
      </c>
      <c r="C1083" s="19" t="s">
        <v>318</v>
      </c>
      <c r="D1083" s="20" t="s">
        <v>1385</v>
      </c>
      <c r="E1083" s="21">
        <v>15750</v>
      </c>
      <c r="F1083" s="22"/>
      <c r="G1083" s="23">
        <v>346500</v>
      </c>
      <c r="H1083" s="23">
        <v>0</v>
      </c>
      <c r="I1083" s="23">
        <v>697500</v>
      </c>
      <c r="J1083" s="23">
        <v>0</v>
      </c>
      <c r="K1083" s="24">
        <v>0</v>
      </c>
    </row>
    <row r="1084" spans="1:11" x14ac:dyDescent="0.25">
      <c r="A1084" s="11">
        <v>46065</v>
      </c>
      <c r="B1084" s="12">
        <v>278</v>
      </c>
      <c r="C1084" s="12" t="s">
        <v>318</v>
      </c>
      <c r="D1084" s="13" t="s">
        <v>1385</v>
      </c>
      <c r="E1084" s="14">
        <v>15750</v>
      </c>
      <c r="F1084" s="15"/>
      <c r="G1084" s="16">
        <v>346500</v>
      </c>
      <c r="H1084" s="16">
        <v>0</v>
      </c>
      <c r="I1084" s="16">
        <v>1044000</v>
      </c>
      <c r="J1084" s="16">
        <v>0</v>
      </c>
      <c r="K1084" s="17">
        <v>0</v>
      </c>
    </row>
    <row r="1085" spans="1:11" x14ac:dyDescent="0.25">
      <c r="A1085" s="18">
        <v>46069</v>
      </c>
      <c r="B1085" s="19">
        <v>278</v>
      </c>
      <c r="C1085" s="19" t="s">
        <v>318</v>
      </c>
      <c r="D1085" s="20" t="s">
        <v>1384</v>
      </c>
      <c r="E1085" s="21"/>
      <c r="F1085" s="22">
        <v>500000</v>
      </c>
      <c r="G1085" s="23"/>
      <c r="H1085" s="23">
        <v>0</v>
      </c>
      <c r="I1085" s="23">
        <v>544000</v>
      </c>
      <c r="J1085" s="23">
        <v>0</v>
      </c>
      <c r="K1085" s="24">
        <v>544000</v>
      </c>
    </row>
    <row r="1086" spans="1:11" x14ac:dyDescent="0.25">
      <c r="A1086" s="11">
        <v>46039</v>
      </c>
      <c r="B1086" s="12">
        <v>279</v>
      </c>
      <c r="C1086" s="12" t="s">
        <v>314</v>
      </c>
      <c r="D1086" s="13"/>
      <c r="E1086" s="14"/>
      <c r="F1086" s="15"/>
      <c r="G1086" s="16">
        <v>178600</v>
      </c>
      <c r="H1086" s="16">
        <v>0</v>
      </c>
      <c r="I1086" s="16">
        <v>178600</v>
      </c>
      <c r="J1086" s="16">
        <v>0</v>
      </c>
      <c r="K1086" s="17">
        <v>0</v>
      </c>
    </row>
    <row r="1087" spans="1:11" x14ac:dyDescent="0.25">
      <c r="A1087" s="18">
        <v>46050</v>
      </c>
      <c r="B1087" s="19">
        <v>279</v>
      </c>
      <c r="C1087" s="19" t="s">
        <v>314</v>
      </c>
      <c r="D1087" s="20" t="s">
        <v>1385</v>
      </c>
      <c r="E1087" s="21">
        <v>2850</v>
      </c>
      <c r="F1087" s="22"/>
      <c r="G1087" s="23">
        <v>114000</v>
      </c>
      <c r="H1087" s="23">
        <v>0</v>
      </c>
      <c r="I1087" s="23">
        <v>292600</v>
      </c>
      <c r="J1087" s="23">
        <v>0</v>
      </c>
      <c r="K1087" s="24">
        <v>0</v>
      </c>
    </row>
    <row r="1088" spans="1:11" x14ac:dyDescent="0.25">
      <c r="A1088" s="11">
        <v>46050</v>
      </c>
      <c r="B1088" s="12">
        <v>279</v>
      </c>
      <c r="C1088" s="12" t="s">
        <v>314</v>
      </c>
      <c r="D1088" s="13" t="s">
        <v>1384</v>
      </c>
      <c r="E1088" s="14"/>
      <c r="F1088" s="15">
        <v>373600</v>
      </c>
      <c r="G1088" s="16"/>
      <c r="H1088" s="16">
        <v>81000</v>
      </c>
      <c r="I1088" s="16">
        <v>0</v>
      </c>
      <c r="J1088" s="16">
        <v>0</v>
      </c>
      <c r="K1088" s="17">
        <v>0</v>
      </c>
    </row>
    <row r="1089" spans="1:11" x14ac:dyDescent="0.25">
      <c r="A1089" s="18">
        <v>46050</v>
      </c>
      <c r="B1089" s="19">
        <v>279</v>
      </c>
      <c r="C1089" s="19" t="s">
        <v>1434</v>
      </c>
      <c r="D1089" s="20" t="s">
        <v>1385</v>
      </c>
      <c r="E1089" s="21">
        <v>1350</v>
      </c>
      <c r="F1089" s="22"/>
      <c r="G1089" s="23">
        <v>81000</v>
      </c>
      <c r="H1089" s="23">
        <v>0</v>
      </c>
      <c r="I1089" s="23">
        <v>0</v>
      </c>
      <c r="J1089" s="23">
        <v>0</v>
      </c>
      <c r="K1089" s="24">
        <v>0</v>
      </c>
    </row>
    <row r="1090" spans="1:11" x14ac:dyDescent="0.25">
      <c r="A1090" s="11">
        <v>46065</v>
      </c>
      <c r="B1090" s="12">
        <v>279</v>
      </c>
      <c r="C1090" s="12" t="s">
        <v>314</v>
      </c>
      <c r="D1090" s="13" t="s">
        <v>1385</v>
      </c>
      <c r="E1090" s="14">
        <v>2850</v>
      </c>
      <c r="F1090" s="15"/>
      <c r="G1090" s="16">
        <v>114000</v>
      </c>
      <c r="H1090" s="16">
        <v>0</v>
      </c>
      <c r="I1090" s="16">
        <v>114000</v>
      </c>
      <c r="J1090" s="16">
        <v>0</v>
      </c>
      <c r="K1090" s="17">
        <v>0</v>
      </c>
    </row>
    <row r="1091" spans="1:11" x14ac:dyDescent="0.25">
      <c r="A1091" s="18">
        <v>46065</v>
      </c>
      <c r="B1091" s="19">
        <v>279</v>
      </c>
      <c r="C1091" s="19" t="s">
        <v>1434</v>
      </c>
      <c r="D1091" s="20" t="s">
        <v>1385</v>
      </c>
      <c r="E1091" s="21">
        <v>1350</v>
      </c>
      <c r="F1091" s="22"/>
      <c r="G1091" s="23">
        <v>81000</v>
      </c>
      <c r="H1091" s="23">
        <v>0</v>
      </c>
      <c r="I1091" s="23">
        <v>195000</v>
      </c>
      <c r="J1091" s="23">
        <v>0</v>
      </c>
      <c r="K1091" s="24">
        <v>195000</v>
      </c>
    </row>
    <row r="1092" spans="1:11" x14ac:dyDescent="0.25">
      <c r="A1092" s="11">
        <v>46039</v>
      </c>
      <c r="B1092" s="12">
        <v>282</v>
      </c>
      <c r="C1092" s="12" t="s">
        <v>301</v>
      </c>
      <c r="D1092" s="13"/>
      <c r="E1092" s="14"/>
      <c r="F1092" s="15">
        <v>0</v>
      </c>
      <c r="G1092" s="16"/>
      <c r="H1092" s="16">
        <v>0</v>
      </c>
      <c r="I1092" s="16">
        <v>0</v>
      </c>
      <c r="J1092" s="16">
        <v>0</v>
      </c>
      <c r="K1092" s="17">
        <v>0</v>
      </c>
    </row>
    <row r="1093" spans="1:11" x14ac:dyDescent="0.25">
      <c r="A1093" s="18">
        <v>46043</v>
      </c>
      <c r="B1093" s="19">
        <v>283</v>
      </c>
      <c r="C1093" s="19" t="s">
        <v>298</v>
      </c>
      <c r="D1093" s="20" t="s">
        <v>1385</v>
      </c>
      <c r="E1093" s="21">
        <v>7200</v>
      </c>
      <c r="F1093" s="22"/>
      <c r="G1093" s="23">
        <v>236000</v>
      </c>
      <c r="H1093" s="23">
        <v>0</v>
      </c>
      <c r="I1093" s="23">
        <v>236000</v>
      </c>
      <c r="J1093" s="23">
        <v>0</v>
      </c>
      <c r="K1093" s="24">
        <v>0</v>
      </c>
    </row>
    <row r="1094" spans="1:11" x14ac:dyDescent="0.25">
      <c r="A1094" s="11">
        <v>46043</v>
      </c>
      <c r="B1094" s="12">
        <v>283</v>
      </c>
      <c r="C1094" s="12" t="s">
        <v>1435</v>
      </c>
      <c r="D1094" s="13" t="s">
        <v>1385</v>
      </c>
      <c r="E1094" s="14">
        <v>7950</v>
      </c>
      <c r="F1094" s="15"/>
      <c r="G1094" s="16">
        <v>260000</v>
      </c>
      <c r="H1094" s="16">
        <v>0</v>
      </c>
      <c r="I1094" s="16">
        <v>496000</v>
      </c>
      <c r="J1094" s="16">
        <v>0</v>
      </c>
      <c r="K1094" s="17">
        <v>0</v>
      </c>
    </row>
    <row r="1095" spans="1:11" x14ac:dyDescent="0.25">
      <c r="A1095" s="18">
        <v>46044</v>
      </c>
      <c r="B1095" s="19">
        <v>283</v>
      </c>
      <c r="C1095" s="19" t="s">
        <v>298</v>
      </c>
      <c r="D1095" s="20" t="s">
        <v>1384</v>
      </c>
      <c r="E1095" s="21"/>
      <c r="F1095" s="22">
        <v>496000</v>
      </c>
      <c r="G1095" s="23"/>
      <c r="H1095" s="23">
        <v>0</v>
      </c>
      <c r="I1095" s="23">
        <v>0</v>
      </c>
      <c r="J1095" s="23">
        <v>0</v>
      </c>
      <c r="K1095" s="24">
        <v>0</v>
      </c>
    </row>
    <row r="1096" spans="1:11" x14ac:dyDescent="0.25">
      <c r="A1096" s="11">
        <v>46039</v>
      </c>
      <c r="B1096" s="12">
        <v>284</v>
      </c>
      <c r="C1096" s="12" t="s">
        <v>294</v>
      </c>
      <c r="D1096" s="13"/>
      <c r="E1096" s="14"/>
      <c r="F1096" s="15"/>
      <c r="G1096" s="16">
        <v>223200</v>
      </c>
      <c r="H1096" s="16">
        <v>0</v>
      </c>
      <c r="I1096" s="16">
        <v>223200</v>
      </c>
      <c r="J1096" s="16">
        <v>0</v>
      </c>
      <c r="K1096" s="17">
        <v>0</v>
      </c>
    </row>
    <row r="1097" spans="1:11" x14ac:dyDescent="0.25">
      <c r="A1097" s="18">
        <v>46039</v>
      </c>
      <c r="B1097" s="19">
        <v>284</v>
      </c>
      <c r="C1097" s="19" t="s">
        <v>294</v>
      </c>
      <c r="D1097" s="20"/>
      <c r="E1097" s="21"/>
      <c r="F1097" s="22">
        <v>0</v>
      </c>
      <c r="G1097" s="23"/>
      <c r="H1097" s="23">
        <v>0</v>
      </c>
      <c r="I1097" s="23">
        <v>223200</v>
      </c>
      <c r="J1097" s="23">
        <v>0</v>
      </c>
      <c r="K1097" s="24">
        <v>0</v>
      </c>
    </row>
    <row r="1098" spans="1:11" x14ac:dyDescent="0.25">
      <c r="A1098" s="11">
        <v>46043</v>
      </c>
      <c r="B1098" s="12">
        <v>284</v>
      </c>
      <c r="C1098" s="12" t="s">
        <v>294</v>
      </c>
      <c r="D1098" s="13" t="s">
        <v>1384</v>
      </c>
      <c r="E1098" s="14"/>
      <c r="F1098" s="15">
        <v>223200</v>
      </c>
      <c r="G1098" s="16"/>
      <c r="H1098" s="16">
        <v>0</v>
      </c>
      <c r="I1098" s="16">
        <v>0</v>
      </c>
      <c r="J1098" s="16">
        <v>0</v>
      </c>
      <c r="K1098" s="17">
        <v>0</v>
      </c>
    </row>
    <row r="1099" spans="1:11" x14ac:dyDescent="0.25">
      <c r="A1099" s="18">
        <v>46065</v>
      </c>
      <c r="B1099" s="19">
        <v>284</v>
      </c>
      <c r="C1099" s="19" t="s">
        <v>294</v>
      </c>
      <c r="D1099" s="20" t="s">
        <v>1385</v>
      </c>
      <c r="E1099" s="21">
        <v>8640</v>
      </c>
      <c r="F1099" s="22"/>
      <c r="G1099" s="23">
        <v>223200</v>
      </c>
      <c r="H1099" s="23">
        <v>0</v>
      </c>
      <c r="I1099" s="23">
        <v>223200</v>
      </c>
      <c r="J1099" s="23">
        <v>0</v>
      </c>
      <c r="K1099" s="24">
        <v>223200</v>
      </c>
    </row>
    <row r="1100" spans="1:11" x14ac:dyDescent="0.25">
      <c r="A1100" s="11">
        <v>46039</v>
      </c>
      <c r="B1100" s="12">
        <v>285</v>
      </c>
      <c r="C1100" s="12" t="s">
        <v>290</v>
      </c>
      <c r="D1100" s="13"/>
      <c r="E1100" s="14"/>
      <c r="F1100" s="15"/>
      <c r="G1100" s="16">
        <v>330000</v>
      </c>
      <c r="H1100" s="16">
        <v>0</v>
      </c>
      <c r="I1100" s="16">
        <v>330000</v>
      </c>
      <c r="J1100" s="16">
        <v>0</v>
      </c>
      <c r="K1100" s="17">
        <v>0</v>
      </c>
    </row>
    <row r="1101" spans="1:11" x14ac:dyDescent="0.25">
      <c r="A1101" s="18">
        <v>46039</v>
      </c>
      <c r="B1101" s="19">
        <v>285</v>
      </c>
      <c r="C1101" s="19" t="s">
        <v>290</v>
      </c>
      <c r="D1101" s="20" t="s">
        <v>1384</v>
      </c>
      <c r="E1101" s="21"/>
      <c r="F1101" s="22">
        <v>330000</v>
      </c>
      <c r="G1101" s="23"/>
      <c r="H1101" s="23">
        <v>0</v>
      </c>
      <c r="I1101" s="23">
        <v>0</v>
      </c>
      <c r="J1101" s="23">
        <v>0</v>
      </c>
      <c r="K1101" s="24">
        <v>0</v>
      </c>
    </row>
    <row r="1102" spans="1:11" x14ac:dyDescent="0.25">
      <c r="A1102" s="11">
        <v>46055</v>
      </c>
      <c r="B1102" s="12">
        <v>285</v>
      </c>
      <c r="C1102" s="12" t="s">
        <v>290</v>
      </c>
      <c r="D1102" s="13" t="s">
        <v>1403</v>
      </c>
      <c r="E1102" s="14"/>
      <c r="F1102" s="15">
        <v>78723</v>
      </c>
      <c r="G1102" s="16"/>
      <c r="H1102" s="16">
        <v>78723</v>
      </c>
      <c r="I1102" s="16">
        <v>0</v>
      </c>
      <c r="J1102" s="16">
        <v>0</v>
      </c>
      <c r="K1102" s="17">
        <v>0</v>
      </c>
    </row>
    <row r="1103" spans="1:11" x14ac:dyDescent="0.25">
      <c r="A1103" s="18">
        <v>46056</v>
      </c>
      <c r="B1103" s="19">
        <v>285</v>
      </c>
      <c r="C1103" s="19" t="s">
        <v>290</v>
      </c>
      <c r="D1103" s="20" t="s">
        <v>1385</v>
      </c>
      <c r="E1103" s="21">
        <v>4092</v>
      </c>
      <c r="F1103" s="22"/>
      <c r="G1103" s="23">
        <v>90024</v>
      </c>
      <c r="H1103" s="23">
        <v>0</v>
      </c>
      <c r="I1103" s="23">
        <v>11301</v>
      </c>
      <c r="J1103" s="23">
        <v>0</v>
      </c>
      <c r="K1103" s="24">
        <v>0</v>
      </c>
    </row>
    <row r="1104" spans="1:11" x14ac:dyDescent="0.25">
      <c r="A1104" s="11">
        <v>46056</v>
      </c>
      <c r="B1104" s="12">
        <v>285</v>
      </c>
      <c r="C1104" s="12" t="s">
        <v>1436</v>
      </c>
      <c r="D1104" s="13" t="s">
        <v>1385</v>
      </c>
      <c r="E1104" s="14">
        <v>20000</v>
      </c>
      <c r="F1104" s="15"/>
      <c r="G1104" s="16">
        <v>440000</v>
      </c>
      <c r="H1104" s="16">
        <v>0</v>
      </c>
      <c r="I1104" s="16">
        <v>451301</v>
      </c>
      <c r="J1104" s="16">
        <v>0</v>
      </c>
      <c r="K1104" s="17">
        <v>0</v>
      </c>
    </row>
    <row r="1105" spans="1:11" x14ac:dyDescent="0.25">
      <c r="A1105" s="18">
        <v>46058</v>
      </c>
      <c r="B1105" s="19">
        <v>285</v>
      </c>
      <c r="C1105" s="19" t="s">
        <v>290</v>
      </c>
      <c r="D1105" s="20" t="s">
        <v>1384</v>
      </c>
      <c r="E1105" s="21"/>
      <c r="F1105" s="22">
        <v>440000</v>
      </c>
      <c r="G1105" s="23"/>
      <c r="H1105" s="23">
        <v>0</v>
      </c>
      <c r="I1105" s="23">
        <v>11301</v>
      </c>
      <c r="J1105" s="23">
        <v>0</v>
      </c>
      <c r="K1105" s="24">
        <v>0</v>
      </c>
    </row>
    <row r="1106" spans="1:11" x14ac:dyDescent="0.25">
      <c r="A1106" s="11">
        <v>46064</v>
      </c>
      <c r="B1106" s="12">
        <v>285</v>
      </c>
      <c r="C1106" s="12" t="s">
        <v>290</v>
      </c>
      <c r="D1106" s="13" t="s">
        <v>1385</v>
      </c>
      <c r="E1106" s="14">
        <v>5880</v>
      </c>
      <c r="F1106" s="15"/>
      <c r="G1106" s="16">
        <v>129360</v>
      </c>
      <c r="H1106" s="16">
        <v>0</v>
      </c>
      <c r="I1106" s="16">
        <v>140661</v>
      </c>
      <c r="J1106" s="16">
        <v>0</v>
      </c>
      <c r="K1106" s="17">
        <v>0</v>
      </c>
    </row>
    <row r="1107" spans="1:11" x14ac:dyDescent="0.25">
      <c r="A1107" s="18">
        <v>46071</v>
      </c>
      <c r="B1107" s="19">
        <v>285</v>
      </c>
      <c r="C1107" s="19" t="s">
        <v>290</v>
      </c>
      <c r="D1107" s="20" t="s">
        <v>1384</v>
      </c>
      <c r="E1107" s="21"/>
      <c r="F1107" s="22">
        <v>140661</v>
      </c>
      <c r="G1107" s="23"/>
      <c r="H1107" s="23">
        <v>0</v>
      </c>
      <c r="I1107" s="23">
        <v>0</v>
      </c>
      <c r="J1107" s="23">
        <v>0</v>
      </c>
      <c r="K1107" s="24">
        <v>0</v>
      </c>
    </row>
    <row r="1108" spans="1:11" x14ac:dyDescent="0.25">
      <c r="A1108" s="11">
        <v>46057</v>
      </c>
      <c r="B1108" s="12">
        <v>287</v>
      </c>
      <c r="C1108" s="12" t="s">
        <v>285</v>
      </c>
      <c r="D1108" s="13" t="s">
        <v>1385</v>
      </c>
      <c r="E1108" s="14">
        <v>660</v>
      </c>
      <c r="F1108" s="15"/>
      <c r="G1108" s="16">
        <v>38700</v>
      </c>
      <c r="H1108" s="16">
        <v>0</v>
      </c>
      <c r="I1108" s="16">
        <v>38700</v>
      </c>
      <c r="J1108" s="16">
        <v>0</v>
      </c>
      <c r="K1108" s="17">
        <v>0</v>
      </c>
    </row>
    <row r="1109" spans="1:11" x14ac:dyDescent="0.25">
      <c r="A1109" s="18">
        <v>46058</v>
      </c>
      <c r="B1109" s="19">
        <v>287</v>
      </c>
      <c r="C1109" s="19" t="s">
        <v>285</v>
      </c>
      <c r="D1109" s="20" t="s">
        <v>1384</v>
      </c>
      <c r="E1109" s="21"/>
      <c r="F1109" s="22">
        <v>38700</v>
      </c>
      <c r="G1109" s="23"/>
      <c r="H1109" s="23">
        <v>0</v>
      </c>
      <c r="I1109" s="23">
        <v>0</v>
      </c>
      <c r="J1109" s="23">
        <v>0</v>
      </c>
      <c r="K1109" s="24">
        <v>0</v>
      </c>
    </row>
    <row r="1110" spans="1:11" x14ac:dyDescent="0.25">
      <c r="A1110" s="11">
        <v>46059</v>
      </c>
      <c r="B1110" s="12">
        <v>287</v>
      </c>
      <c r="C1110" s="12" t="s">
        <v>285</v>
      </c>
      <c r="D1110" s="13" t="s">
        <v>1385</v>
      </c>
      <c r="E1110" s="14">
        <v>660</v>
      </c>
      <c r="F1110" s="15"/>
      <c r="G1110" s="16">
        <v>38700</v>
      </c>
      <c r="H1110" s="16">
        <v>0</v>
      </c>
      <c r="I1110" s="16">
        <v>38700</v>
      </c>
      <c r="J1110" s="16">
        <v>0</v>
      </c>
      <c r="K1110" s="17">
        <v>0</v>
      </c>
    </row>
    <row r="1111" spans="1:11" x14ac:dyDescent="0.25">
      <c r="A1111" s="18">
        <v>46069</v>
      </c>
      <c r="B1111" s="19">
        <v>287</v>
      </c>
      <c r="C1111" s="19" t="s">
        <v>285</v>
      </c>
      <c r="D1111" s="20" t="s">
        <v>1384</v>
      </c>
      <c r="E1111" s="21"/>
      <c r="F1111" s="22">
        <v>38700</v>
      </c>
      <c r="G1111" s="23"/>
      <c r="H1111" s="23">
        <v>0</v>
      </c>
      <c r="I1111" s="23">
        <v>0</v>
      </c>
      <c r="J1111" s="23">
        <v>0</v>
      </c>
      <c r="K1111" s="24">
        <v>0</v>
      </c>
    </row>
    <row r="1112" spans="1:11" x14ac:dyDescent="0.25">
      <c r="A1112" s="11">
        <v>46044</v>
      </c>
      <c r="B1112" s="12">
        <v>288</v>
      </c>
      <c r="C1112" s="12" t="s">
        <v>281</v>
      </c>
      <c r="D1112" s="13" t="s">
        <v>1385</v>
      </c>
      <c r="E1112" s="14">
        <v>3750</v>
      </c>
      <c r="F1112" s="15"/>
      <c r="G1112" s="16">
        <v>90000</v>
      </c>
      <c r="H1112" s="16">
        <v>0</v>
      </c>
      <c r="I1112" s="16">
        <v>90000</v>
      </c>
      <c r="J1112" s="16">
        <v>0</v>
      </c>
      <c r="K1112" s="17">
        <v>0</v>
      </c>
    </row>
    <row r="1113" spans="1:11" x14ac:dyDescent="0.25">
      <c r="A1113" s="18">
        <v>46058</v>
      </c>
      <c r="B1113" s="19">
        <v>288</v>
      </c>
      <c r="C1113" s="19" t="s">
        <v>281</v>
      </c>
      <c r="D1113" s="20" t="s">
        <v>1385</v>
      </c>
      <c r="E1113" s="21">
        <v>3750</v>
      </c>
      <c r="F1113" s="22"/>
      <c r="G1113" s="23">
        <v>90000</v>
      </c>
      <c r="H1113" s="23">
        <v>0</v>
      </c>
      <c r="I1113" s="23">
        <v>180000</v>
      </c>
      <c r="J1113" s="23">
        <v>0</v>
      </c>
      <c r="K1113" s="24">
        <v>0</v>
      </c>
    </row>
    <row r="1114" spans="1:11" x14ac:dyDescent="0.25">
      <c r="A1114" s="11">
        <v>46071</v>
      </c>
      <c r="B1114" s="12">
        <v>288</v>
      </c>
      <c r="C1114" s="12" t="s">
        <v>281</v>
      </c>
      <c r="D1114" s="13" t="s">
        <v>1385</v>
      </c>
      <c r="E1114" s="14">
        <v>3750</v>
      </c>
      <c r="F1114" s="15"/>
      <c r="G1114" s="16">
        <v>90000</v>
      </c>
      <c r="H1114" s="16">
        <v>0</v>
      </c>
      <c r="I1114" s="16">
        <v>270000</v>
      </c>
      <c r="J1114" s="16">
        <v>0</v>
      </c>
      <c r="K1114" s="17">
        <v>270000</v>
      </c>
    </row>
    <row r="1115" spans="1:11" x14ac:dyDescent="0.25">
      <c r="A1115" s="18">
        <v>46039</v>
      </c>
      <c r="B1115" s="19">
        <v>289</v>
      </c>
      <c r="C1115" s="19" t="s">
        <v>276</v>
      </c>
      <c r="D1115" s="20"/>
      <c r="E1115" s="21"/>
      <c r="F1115" s="22"/>
      <c r="G1115" s="23">
        <v>125400</v>
      </c>
      <c r="H1115" s="23">
        <v>0</v>
      </c>
      <c r="I1115" s="23">
        <v>125400</v>
      </c>
      <c r="J1115" s="23">
        <v>0</v>
      </c>
      <c r="K1115" s="24">
        <v>0</v>
      </c>
    </row>
    <row r="1116" spans="1:11" x14ac:dyDescent="0.25">
      <c r="A1116" s="11">
        <v>46040</v>
      </c>
      <c r="B1116" s="12">
        <v>289</v>
      </c>
      <c r="C1116" s="12" t="s">
        <v>276</v>
      </c>
      <c r="D1116" s="13" t="s">
        <v>1384</v>
      </c>
      <c r="E1116" s="14"/>
      <c r="F1116" s="15">
        <v>125400</v>
      </c>
      <c r="G1116" s="16"/>
      <c r="H1116" s="16">
        <v>0</v>
      </c>
      <c r="I1116" s="16">
        <v>0</v>
      </c>
      <c r="J1116" s="16">
        <v>0</v>
      </c>
      <c r="K1116" s="17">
        <v>0</v>
      </c>
    </row>
    <row r="1117" spans="1:11" x14ac:dyDescent="0.25">
      <c r="A1117" s="18">
        <v>46051</v>
      </c>
      <c r="B1117" s="19">
        <v>289</v>
      </c>
      <c r="C1117" s="19" t="s">
        <v>276</v>
      </c>
      <c r="D1117" s="20" t="s">
        <v>1385</v>
      </c>
      <c r="E1117" s="21">
        <v>5700</v>
      </c>
      <c r="F1117" s="22"/>
      <c r="G1117" s="23">
        <v>125400</v>
      </c>
      <c r="H1117" s="23">
        <v>0</v>
      </c>
      <c r="I1117" s="23">
        <v>125400</v>
      </c>
      <c r="J1117" s="23">
        <v>0</v>
      </c>
      <c r="K1117" s="24">
        <v>0</v>
      </c>
    </row>
    <row r="1118" spans="1:11" x14ac:dyDescent="0.25">
      <c r="A1118" s="11">
        <v>46052</v>
      </c>
      <c r="B1118" s="12">
        <v>289</v>
      </c>
      <c r="C1118" s="12" t="s">
        <v>276</v>
      </c>
      <c r="D1118" s="13" t="s">
        <v>1384</v>
      </c>
      <c r="E1118" s="14"/>
      <c r="F1118" s="15">
        <v>125400</v>
      </c>
      <c r="G1118" s="16"/>
      <c r="H1118" s="16">
        <v>0</v>
      </c>
      <c r="I1118" s="16">
        <v>0</v>
      </c>
      <c r="J1118" s="16">
        <v>0</v>
      </c>
      <c r="K1118" s="17">
        <v>0</v>
      </c>
    </row>
    <row r="1119" spans="1:11" x14ac:dyDescent="0.25">
      <c r="A1119" s="18">
        <v>46065</v>
      </c>
      <c r="B1119" s="19">
        <v>289</v>
      </c>
      <c r="C1119" s="19" t="s">
        <v>276</v>
      </c>
      <c r="D1119" s="20" t="s">
        <v>1385</v>
      </c>
      <c r="E1119" s="21">
        <v>5700</v>
      </c>
      <c r="F1119" s="22"/>
      <c r="G1119" s="23">
        <v>125400</v>
      </c>
      <c r="H1119" s="23">
        <v>0</v>
      </c>
      <c r="I1119" s="23">
        <v>125400</v>
      </c>
      <c r="J1119" s="23">
        <v>0</v>
      </c>
      <c r="K1119" s="24">
        <v>0</v>
      </c>
    </row>
    <row r="1120" spans="1:11" x14ac:dyDescent="0.25">
      <c r="A1120" s="11">
        <v>46066</v>
      </c>
      <c r="B1120" s="12">
        <v>289</v>
      </c>
      <c r="C1120" s="12" t="s">
        <v>276</v>
      </c>
      <c r="D1120" s="13" t="s">
        <v>1384</v>
      </c>
      <c r="E1120" s="14"/>
      <c r="F1120" s="15">
        <v>125400</v>
      </c>
      <c r="G1120" s="16"/>
      <c r="H1120" s="16">
        <v>0</v>
      </c>
      <c r="I1120" s="16">
        <v>0</v>
      </c>
      <c r="J1120" s="16">
        <v>0</v>
      </c>
      <c r="K1120" s="17">
        <v>0</v>
      </c>
    </row>
    <row r="1121" spans="1:11" x14ac:dyDescent="0.25">
      <c r="A1121" s="18">
        <v>46039</v>
      </c>
      <c r="B1121" s="19">
        <v>290</v>
      </c>
      <c r="C1121" s="19" t="s">
        <v>271</v>
      </c>
      <c r="D1121" s="20" t="s">
        <v>1384</v>
      </c>
      <c r="E1121" s="21"/>
      <c r="F1121" s="22">
        <v>335800</v>
      </c>
      <c r="G1121" s="23"/>
      <c r="H1121" s="23">
        <v>335800</v>
      </c>
      <c r="I1121" s="23">
        <v>0</v>
      </c>
      <c r="J1121" s="23">
        <v>0</v>
      </c>
      <c r="K1121" s="24">
        <v>0</v>
      </c>
    </row>
    <row r="1122" spans="1:11" x14ac:dyDescent="0.25">
      <c r="A1122" s="11">
        <v>46039</v>
      </c>
      <c r="B1122" s="12">
        <v>290</v>
      </c>
      <c r="C1122" s="12" t="s">
        <v>271</v>
      </c>
      <c r="D1122" s="13"/>
      <c r="E1122" s="14"/>
      <c r="F1122" s="15"/>
      <c r="G1122" s="16">
        <v>71000</v>
      </c>
      <c r="H1122" s="16">
        <v>264800</v>
      </c>
      <c r="I1122" s="16">
        <v>0</v>
      </c>
      <c r="J1122" s="16">
        <v>0</v>
      </c>
      <c r="K1122" s="17">
        <v>0</v>
      </c>
    </row>
    <row r="1123" spans="1:11" x14ac:dyDescent="0.25">
      <c r="A1123" s="18">
        <v>46044</v>
      </c>
      <c r="B1123" s="19">
        <v>290</v>
      </c>
      <c r="C1123" s="19" t="s">
        <v>271</v>
      </c>
      <c r="D1123" s="20" t="s">
        <v>1385</v>
      </c>
      <c r="E1123" s="21">
        <v>3900</v>
      </c>
      <c r="F1123" s="22"/>
      <c r="G1123" s="23">
        <v>115800</v>
      </c>
      <c r="H1123" s="23">
        <v>149000</v>
      </c>
      <c r="I1123" s="23">
        <v>0</v>
      </c>
      <c r="J1123" s="23">
        <v>0</v>
      </c>
      <c r="K1123" s="24">
        <v>0</v>
      </c>
    </row>
    <row r="1124" spans="1:11" x14ac:dyDescent="0.25">
      <c r="A1124" s="11">
        <v>46055</v>
      </c>
      <c r="B1124" s="12">
        <v>290</v>
      </c>
      <c r="C1124" s="12" t="s">
        <v>271</v>
      </c>
      <c r="D1124" s="13" t="s">
        <v>1385</v>
      </c>
      <c r="E1124" s="14">
        <v>3900</v>
      </c>
      <c r="F1124" s="15"/>
      <c r="G1124" s="16">
        <v>115800</v>
      </c>
      <c r="H1124" s="16">
        <v>33200</v>
      </c>
      <c r="I1124" s="16">
        <v>0</v>
      </c>
      <c r="J1124" s="16">
        <v>0</v>
      </c>
      <c r="K1124" s="17">
        <v>0</v>
      </c>
    </row>
    <row r="1125" spans="1:11" x14ac:dyDescent="0.25">
      <c r="A1125" s="18">
        <v>46064</v>
      </c>
      <c r="B1125" s="19">
        <v>290</v>
      </c>
      <c r="C1125" s="19" t="s">
        <v>271</v>
      </c>
      <c r="D1125" s="20" t="s">
        <v>1385</v>
      </c>
      <c r="E1125" s="21">
        <v>3900</v>
      </c>
      <c r="F1125" s="22"/>
      <c r="G1125" s="23">
        <v>115800</v>
      </c>
      <c r="H1125" s="23">
        <v>0</v>
      </c>
      <c r="I1125" s="23">
        <v>82600</v>
      </c>
      <c r="J1125" s="23">
        <v>0</v>
      </c>
      <c r="K1125" s="24">
        <v>82600</v>
      </c>
    </row>
    <row r="1126" spans="1:11" x14ac:dyDescent="0.25">
      <c r="A1126" s="11">
        <v>46052</v>
      </c>
      <c r="B1126" s="12">
        <v>291</v>
      </c>
      <c r="C1126" s="12" t="s">
        <v>267</v>
      </c>
      <c r="D1126" s="13" t="s">
        <v>1385</v>
      </c>
      <c r="E1126" s="14">
        <v>5000</v>
      </c>
      <c r="F1126" s="15"/>
      <c r="G1126" s="16">
        <v>125000</v>
      </c>
      <c r="H1126" s="16">
        <v>0</v>
      </c>
      <c r="I1126" s="16">
        <v>125000</v>
      </c>
      <c r="J1126" s="16">
        <v>0</v>
      </c>
      <c r="K1126" s="17">
        <v>0</v>
      </c>
    </row>
    <row r="1127" spans="1:11" x14ac:dyDescent="0.25">
      <c r="A1127" s="18">
        <v>46053</v>
      </c>
      <c r="B1127" s="19">
        <v>291</v>
      </c>
      <c r="C1127" s="19" t="s">
        <v>267</v>
      </c>
      <c r="D1127" s="20" t="s">
        <v>1384</v>
      </c>
      <c r="E1127" s="21"/>
      <c r="F1127" s="22">
        <v>125000</v>
      </c>
      <c r="G1127" s="23"/>
      <c r="H1127" s="23">
        <v>0</v>
      </c>
      <c r="I1127" s="23">
        <v>0</v>
      </c>
      <c r="J1127" s="23">
        <v>0</v>
      </c>
      <c r="K1127" s="24">
        <v>0</v>
      </c>
    </row>
    <row r="1128" spans="1:11" x14ac:dyDescent="0.25">
      <c r="A1128" s="11">
        <v>46059</v>
      </c>
      <c r="B1128" s="12">
        <v>291</v>
      </c>
      <c r="C1128" s="12" t="s">
        <v>267</v>
      </c>
      <c r="D1128" s="13" t="s">
        <v>1384</v>
      </c>
      <c r="E1128" s="14"/>
      <c r="F1128" s="15">
        <v>125000</v>
      </c>
      <c r="G1128" s="16"/>
      <c r="H1128" s="16">
        <v>125000</v>
      </c>
      <c r="I1128" s="16">
        <v>0</v>
      </c>
      <c r="J1128" s="16">
        <v>0</v>
      </c>
      <c r="K1128" s="17">
        <v>0</v>
      </c>
    </row>
    <row r="1129" spans="1:11" x14ac:dyDescent="0.25">
      <c r="A1129" s="18">
        <v>46059</v>
      </c>
      <c r="B1129" s="19">
        <v>291</v>
      </c>
      <c r="C1129" s="19" t="s">
        <v>267</v>
      </c>
      <c r="D1129" s="20" t="s">
        <v>1385</v>
      </c>
      <c r="E1129" s="21">
        <v>5000</v>
      </c>
      <c r="F1129" s="22"/>
      <c r="G1129" s="23">
        <v>125000</v>
      </c>
      <c r="H1129" s="23">
        <v>0</v>
      </c>
      <c r="I1129" s="23">
        <v>0</v>
      </c>
      <c r="J1129" s="23">
        <v>0</v>
      </c>
      <c r="K1129" s="24">
        <v>0</v>
      </c>
    </row>
    <row r="1130" spans="1:11" x14ac:dyDescent="0.25">
      <c r="A1130" s="11">
        <v>46069</v>
      </c>
      <c r="B1130" s="12">
        <v>291</v>
      </c>
      <c r="C1130" s="12" t="s">
        <v>267</v>
      </c>
      <c r="D1130" s="13" t="s">
        <v>1385</v>
      </c>
      <c r="E1130" s="14">
        <v>5000</v>
      </c>
      <c r="F1130" s="15"/>
      <c r="G1130" s="16">
        <v>125000</v>
      </c>
      <c r="H1130" s="16">
        <v>0</v>
      </c>
      <c r="I1130" s="16">
        <v>125000</v>
      </c>
      <c r="J1130" s="16">
        <v>0</v>
      </c>
      <c r="K1130" s="17">
        <v>0</v>
      </c>
    </row>
    <row r="1131" spans="1:11" x14ac:dyDescent="0.25">
      <c r="A1131" s="18">
        <v>46070</v>
      </c>
      <c r="B1131" s="19">
        <v>291</v>
      </c>
      <c r="C1131" s="19" t="s">
        <v>267</v>
      </c>
      <c r="D1131" s="20" t="s">
        <v>1384</v>
      </c>
      <c r="E1131" s="21"/>
      <c r="F1131" s="22">
        <v>125000</v>
      </c>
      <c r="G1131" s="23"/>
      <c r="H1131" s="23">
        <v>0</v>
      </c>
      <c r="I1131" s="23">
        <v>0</v>
      </c>
      <c r="J1131" s="23">
        <v>0</v>
      </c>
      <c r="K1131" s="24">
        <v>0</v>
      </c>
    </row>
    <row r="1132" spans="1:11" x14ac:dyDescent="0.25">
      <c r="A1132" s="11">
        <v>46040</v>
      </c>
      <c r="B1132" s="12">
        <v>292</v>
      </c>
      <c r="C1132" s="12" t="s">
        <v>263</v>
      </c>
      <c r="D1132" s="13" t="s">
        <v>1385</v>
      </c>
      <c r="E1132" s="14">
        <v>5850</v>
      </c>
      <c r="F1132" s="15"/>
      <c r="G1132" s="16">
        <v>169650</v>
      </c>
      <c r="H1132" s="16">
        <v>0</v>
      </c>
      <c r="I1132" s="16">
        <v>169650</v>
      </c>
      <c r="J1132" s="16">
        <v>0</v>
      </c>
      <c r="K1132" s="17">
        <v>0</v>
      </c>
    </row>
    <row r="1133" spans="1:11" x14ac:dyDescent="0.25">
      <c r="A1133" s="18">
        <v>46041</v>
      </c>
      <c r="B1133" s="19">
        <v>292</v>
      </c>
      <c r="C1133" s="19" t="s">
        <v>263</v>
      </c>
      <c r="D1133" s="20" t="s">
        <v>1384</v>
      </c>
      <c r="E1133" s="21"/>
      <c r="F1133" s="22">
        <v>169650</v>
      </c>
      <c r="G1133" s="23"/>
      <c r="H1133" s="23">
        <v>0</v>
      </c>
      <c r="I1133" s="23">
        <v>0</v>
      </c>
      <c r="J1133" s="23">
        <v>0</v>
      </c>
      <c r="K1133" s="24">
        <v>0</v>
      </c>
    </row>
    <row r="1134" spans="1:11" x14ac:dyDescent="0.25">
      <c r="A1134" s="11">
        <v>46055</v>
      </c>
      <c r="B1134" s="12">
        <v>292</v>
      </c>
      <c r="C1134" s="12" t="s">
        <v>263</v>
      </c>
      <c r="D1134" s="13" t="s">
        <v>1385</v>
      </c>
      <c r="E1134" s="14">
        <v>5850</v>
      </c>
      <c r="F1134" s="15"/>
      <c r="G1134" s="16">
        <v>169650</v>
      </c>
      <c r="H1134" s="16">
        <v>0</v>
      </c>
      <c r="I1134" s="16">
        <v>169650</v>
      </c>
      <c r="J1134" s="16">
        <v>0</v>
      </c>
      <c r="K1134" s="17">
        <v>0</v>
      </c>
    </row>
    <row r="1135" spans="1:11" x14ac:dyDescent="0.25">
      <c r="A1135" s="18">
        <v>46058</v>
      </c>
      <c r="B1135" s="19">
        <v>292</v>
      </c>
      <c r="C1135" s="19" t="s">
        <v>263</v>
      </c>
      <c r="D1135" s="20" t="s">
        <v>1384</v>
      </c>
      <c r="E1135" s="21"/>
      <c r="F1135" s="22">
        <v>169650</v>
      </c>
      <c r="G1135" s="23"/>
      <c r="H1135" s="23">
        <v>0</v>
      </c>
      <c r="I1135" s="23">
        <v>0</v>
      </c>
      <c r="J1135" s="23">
        <v>0</v>
      </c>
      <c r="K1135" s="24">
        <v>0</v>
      </c>
    </row>
    <row r="1136" spans="1:11" x14ac:dyDescent="0.25">
      <c r="A1136" s="11">
        <v>46069</v>
      </c>
      <c r="B1136" s="12">
        <v>292</v>
      </c>
      <c r="C1136" s="12" t="s">
        <v>263</v>
      </c>
      <c r="D1136" s="13" t="s">
        <v>1385</v>
      </c>
      <c r="E1136" s="14">
        <v>5850</v>
      </c>
      <c r="F1136" s="15"/>
      <c r="G1136" s="16">
        <v>169650</v>
      </c>
      <c r="H1136" s="16">
        <v>0</v>
      </c>
      <c r="I1136" s="16">
        <v>169650</v>
      </c>
      <c r="J1136" s="16">
        <v>0</v>
      </c>
      <c r="K1136" s="17">
        <v>0</v>
      </c>
    </row>
    <row r="1137" spans="1:11" x14ac:dyDescent="0.25">
      <c r="A1137" s="18">
        <v>46070</v>
      </c>
      <c r="B1137" s="19">
        <v>292</v>
      </c>
      <c r="C1137" s="19" t="s">
        <v>263</v>
      </c>
      <c r="D1137" s="20" t="s">
        <v>1384</v>
      </c>
      <c r="E1137" s="21"/>
      <c r="F1137" s="22">
        <v>169650</v>
      </c>
      <c r="G1137" s="23"/>
      <c r="H1137" s="23">
        <v>0</v>
      </c>
      <c r="I1137" s="23">
        <v>0</v>
      </c>
      <c r="J1137" s="23">
        <v>0</v>
      </c>
      <c r="K1137" s="24">
        <v>0</v>
      </c>
    </row>
    <row r="1138" spans="1:11" x14ac:dyDescent="0.25">
      <c r="A1138" s="11">
        <v>46044</v>
      </c>
      <c r="B1138" s="12">
        <v>294</v>
      </c>
      <c r="C1138" s="12" t="s">
        <v>254</v>
      </c>
      <c r="D1138" s="13" t="s">
        <v>1385</v>
      </c>
      <c r="E1138" s="14">
        <v>3900</v>
      </c>
      <c r="F1138" s="15"/>
      <c r="G1138" s="16">
        <v>152100</v>
      </c>
      <c r="H1138" s="16">
        <v>0</v>
      </c>
      <c r="I1138" s="16">
        <v>152100</v>
      </c>
      <c r="J1138" s="16">
        <v>0</v>
      </c>
      <c r="K1138" s="17">
        <v>0</v>
      </c>
    </row>
    <row r="1139" spans="1:11" x14ac:dyDescent="0.25">
      <c r="A1139" s="18">
        <v>46057</v>
      </c>
      <c r="B1139" s="19">
        <v>294</v>
      </c>
      <c r="C1139" s="19" t="s">
        <v>254</v>
      </c>
      <c r="D1139" s="20" t="s">
        <v>1384</v>
      </c>
      <c r="E1139" s="21"/>
      <c r="F1139" s="22">
        <v>152100</v>
      </c>
      <c r="G1139" s="23"/>
      <c r="H1139" s="23">
        <v>0</v>
      </c>
      <c r="I1139" s="23">
        <v>0</v>
      </c>
      <c r="J1139" s="23">
        <v>0</v>
      </c>
      <c r="K1139" s="24">
        <v>0</v>
      </c>
    </row>
    <row r="1140" spans="1:11" x14ac:dyDescent="0.25">
      <c r="A1140" s="11">
        <v>46057</v>
      </c>
      <c r="B1140" s="12">
        <v>294</v>
      </c>
      <c r="C1140" s="12" t="s">
        <v>254</v>
      </c>
      <c r="D1140" s="13" t="s">
        <v>1384</v>
      </c>
      <c r="E1140" s="14"/>
      <c r="F1140" s="15">
        <v>152100</v>
      </c>
      <c r="G1140" s="16"/>
      <c r="H1140" s="16">
        <v>152100</v>
      </c>
      <c r="I1140" s="16">
        <v>0</v>
      </c>
      <c r="J1140" s="16">
        <v>0</v>
      </c>
      <c r="K1140" s="17">
        <v>0</v>
      </c>
    </row>
    <row r="1141" spans="1:11" x14ac:dyDescent="0.25">
      <c r="A1141" s="18">
        <v>46058</v>
      </c>
      <c r="B1141" s="19">
        <v>294</v>
      </c>
      <c r="C1141" s="19" t="s">
        <v>254</v>
      </c>
      <c r="D1141" s="20" t="s">
        <v>1385</v>
      </c>
      <c r="E1141" s="21">
        <v>3900</v>
      </c>
      <c r="F1141" s="22"/>
      <c r="G1141" s="23">
        <v>152100</v>
      </c>
      <c r="H1141" s="23">
        <v>0</v>
      </c>
      <c r="I1141" s="23">
        <v>0</v>
      </c>
      <c r="J1141" s="23">
        <v>0</v>
      </c>
      <c r="K1141" s="24">
        <v>0</v>
      </c>
    </row>
    <row r="1142" spans="1:11" x14ac:dyDescent="0.25">
      <c r="A1142" s="11">
        <v>46041</v>
      </c>
      <c r="B1142" s="12">
        <v>296</v>
      </c>
      <c r="C1142" s="12" t="s">
        <v>245</v>
      </c>
      <c r="D1142" s="13" t="s">
        <v>1384</v>
      </c>
      <c r="E1142" s="14"/>
      <c r="F1142" s="15">
        <v>67500</v>
      </c>
      <c r="G1142" s="16"/>
      <c r="H1142" s="16">
        <v>67500</v>
      </c>
      <c r="I1142" s="16">
        <v>0</v>
      </c>
      <c r="J1142" s="16">
        <v>0</v>
      </c>
      <c r="K1142" s="17">
        <v>0</v>
      </c>
    </row>
    <row r="1143" spans="1:11" x14ac:dyDescent="0.25">
      <c r="A1143" s="18">
        <v>46041</v>
      </c>
      <c r="B1143" s="19">
        <v>296</v>
      </c>
      <c r="C1143" s="19" t="s">
        <v>246</v>
      </c>
      <c r="D1143" s="20" t="s">
        <v>1385</v>
      </c>
      <c r="E1143" s="21">
        <v>1200</v>
      </c>
      <c r="F1143" s="22"/>
      <c r="G1143" s="23">
        <v>67500</v>
      </c>
      <c r="H1143" s="23">
        <v>0</v>
      </c>
      <c r="I1143" s="23">
        <v>0</v>
      </c>
      <c r="J1143" s="23">
        <v>0</v>
      </c>
      <c r="K1143" s="24">
        <v>0</v>
      </c>
    </row>
    <row r="1144" spans="1:11" x14ac:dyDescent="0.25">
      <c r="A1144" s="11">
        <v>46055</v>
      </c>
      <c r="B1144" s="12">
        <v>296</v>
      </c>
      <c r="C1144" s="12" t="s">
        <v>245</v>
      </c>
      <c r="D1144" s="13" t="s">
        <v>1384</v>
      </c>
      <c r="E1144" s="14"/>
      <c r="F1144" s="15">
        <v>67500</v>
      </c>
      <c r="G1144" s="16"/>
      <c r="H1144" s="16">
        <v>67500</v>
      </c>
      <c r="I1144" s="16">
        <v>0</v>
      </c>
      <c r="J1144" s="16">
        <v>0</v>
      </c>
      <c r="K1144" s="17">
        <v>0</v>
      </c>
    </row>
    <row r="1145" spans="1:11" x14ac:dyDescent="0.25">
      <c r="A1145" s="18">
        <v>46055</v>
      </c>
      <c r="B1145" s="19">
        <v>296</v>
      </c>
      <c r="C1145" s="19" t="s">
        <v>245</v>
      </c>
      <c r="D1145" s="20" t="s">
        <v>1385</v>
      </c>
      <c r="E1145" s="21">
        <v>1200</v>
      </c>
      <c r="F1145" s="22"/>
      <c r="G1145" s="23">
        <v>67500</v>
      </c>
      <c r="H1145" s="23">
        <v>0</v>
      </c>
      <c r="I1145" s="23">
        <v>0</v>
      </c>
      <c r="J1145" s="23">
        <v>0</v>
      </c>
      <c r="K1145" s="24">
        <v>0</v>
      </c>
    </row>
    <row r="1146" spans="1:11" x14ac:dyDescent="0.25">
      <c r="A1146" s="11">
        <v>46063</v>
      </c>
      <c r="B1146" s="12">
        <v>297</v>
      </c>
      <c r="C1146" s="12" t="s">
        <v>241</v>
      </c>
      <c r="D1146" s="13" t="s">
        <v>1385</v>
      </c>
      <c r="E1146" s="14">
        <v>3450</v>
      </c>
      <c r="F1146" s="15"/>
      <c r="G1146" s="16">
        <v>86250</v>
      </c>
      <c r="H1146" s="16">
        <v>0</v>
      </c>
      <c r="I1146" s="16">
        <v>86250</v>
      </c>
      <c r="J1146" s="16">
        <v>0</v>
      </c>
      <c r="K1146" s="17">
        <v>0</v>
      </c>
    </row>
    <row r="1147" spans="1:11" x14ac:dyDescent="0.25">
      <c r="A1147" s="18">
        <v>46063</v>
      </c>
      <c r="B1147" s="19">
        <v>297</v>
      </c>
      <c r="C1147" s="19" t="s">
        <v>241</v>
      </c>
      <c r="D1147" s="20" t="s">
        <v>1385</v>
      </c>
      <c r="E1147" s="21">
        <v>3300</v>
      </c>
      <c r="F1147" s="22"/>
      <c r="G1147" s="23">
        <v>82500</v>
      </c>
      <c r="H1147" s="23">
        <v>0</v>
      </c>
      <c r="I1147" s="23">
        <v>168750</v>
      </c>
      <c r="J1147" s="23">
        <v>0</v>
      </c>
      <c r="K1147" s="24">
        <v>0</v>
      </c>
    </row>
    <row r="1148" spans="1:11" x14ac:dyDescent="0.25">
      <c r="A1148" s="11">
        <v>46063</v>
      </c>
      <c r="B1148" s="12">
        <v>297</v>
      </c>
      <c r="C1148" s="12" t="s">
        <v>1437</v>
      </c>
      <c r="D1148" s="13" t="s">
        <v>1385</v>
      </c>
      <c r="E1148" s="14">
        <v>2250</v>
      </c>
      <c r="F1148" s="15"/>
      <c r="G1148" s="16">
        <v>56250</v>
      </c>
      <c r="H1148" s="16">
        <v>0</v>
      </c>
      <c r="I1148" s="16">
        <v>225000</v>
      </c>
      <c r="J1148" s="16">
        <v>0</v>
      </c>
      <c r="K1148" s="17">
        <v>0</v>
      </c>
    </row>
    <row r="1149" spans="1:11" x14ac:dyDescent="0.25">
      <c r="A1149" s="18">
        <v>46064</v>
      </c>
      <c r="B1149" s="19">
        <v>297</v>
      </c>
      <c r="C1149" s="19" t="s">
        <v>241</v>
      </c>
      <c r="D1149" s="20" t="s">
        <v>1384</v>
      </c>
      <c r="E1149" s="21"/>
      <c r="F1149" s="22">
        <v>431000</v>
      </c>
      <c r="G1149" s="23"/>
      <c r="H1149" s="23">
        <v>206000</v>
      </c>
      <c r="I1149" s="23">
        <v>0</v>
      </c>
      <c r="J1149" s="23">
        <v>206000</v>
      </c>
      <c r="K1149" s="24">
        <v>0</v>
      </c>
    </row>
    <row r="1150" spans="1:11" x14ac:dyDescent="0.25">
      <c r="A1150" s="11">
        <v>46039</v>
      </c>
      <c r="B1150" s="12">
        <v>299</v>
      </c>
      <c r="C1150" s="12" t="s">
        <v>234</v>
      </c>
      <c r="D1150" s="13"/>
      <c r="E1150" s="14"/>
      <c r="F1150" s="15"/>
      <c r="G1150" s="16">
        <v>138000</v>
      </c>
      <c r="H1150" s="16">
        <v>0</v>
      </c>
      <c r="I1150" s="16">
        <v>138000</v>
      </c>
      <c r="J1150" s="16">
        <v>0</v>
      </c>
      <c r="K1150" s="17">
        <v>0</v>
      </c>
    </row>
    <row r="1151" spans="1:11" x14ac:dyDescent="0.25">
      <c r="A1151" s="18">
        <v>46043</v>
      </c>
      <c r="B1151" s="19">
        <v>299</v>
      </c>
      <c r="C1151" s="19" t="s">
        <v>234</v>
      </c>
      <c r="D1151" s="20" t="s">
        <v>1384</v>
      </c>
      <c r="E1151" s="21"/>
      <c r="F1151" s="22">
        <v>138000</v>
      </c>
      <c r="G1151" s="23"/>
      <c r="H1151" s="23">
        <v>0</v>
      </c>
      <c r="I1151" s="23">
        <v>0</v>
      </c>
      <c r="J1151" s="23">
        <v>0</v>
      </c>
      <c r="K1151" s="24">
        <v>0</v>
      </c>
    </row>
    <row r="1152" spans="1:11" x14ac:dyDescent="0.25">
      <c r="A1152" s="11">
        <v>46045</v>
      </c>
      <c r="B1152" s="12">
        <v>299</v>
      </c>
      <c r="C1152" s="12" t="s">
        <v>234</v>
      </c>
      <c r="D1152" s="13" t="s">
        <v>1385</v>
      </c>
      <c r="E1152" s="14">
        <v>6000</v>
      </c>
      <c r="F1152" s="15"/>
      <c r="G1152" s="16">
        <v>150000</v>
      </c>
      <c r="H1152" s="16">
        <v>0</v>
      </c>
      <c r="I1152" s="16">
        <v>150000</v>
      </c>
      <c r="J1152" s="16">
        <v>0</v>
      </c>
      <c r="K1152" s="17">
        <v>0</v>
      </c>
    </row>
    <row r="1153" spans="1:11" x14ac:dyDescent="0.25">
      <c r="A1153" s="18">
        <v>46055</v>
      </c>
      <c r="B1153" s="19">
        <v>299</v>
      </c>
      <c r="C1153" s="19" t="s">
        <v>234</v>
      </c>
      <c r="D1153" s="20" t="s">
        <v>1384</v>
      </c>
      <c r="E1153" s="21"/>
      <c r="F1153" s="22">
        <v>284000</v>
      </c>
      <c r="G1153" s="23"/>
      <c r="H1153" s="23">
        <v>134000</v>
      </c>
      <c r="I1153" s="23">
        <v>0</v>
      </c>
      <c r="J1153" s="23">
        <v>0</v>
      </c>
      <c r="K1153" s="24">
        <v>0</v>
      </c>
    </row>
    <row r="1154" spans="1:11" x14ac:dyDescent="0.25">
      <c r="A1154" s="11">
        <v>46056</v>
      </c>
      <c r="B1154" s="12">
        <v>299</v>
      </c>
      <c r="C1154" s="12" t="s">
        <v>234</v>
      </c>
      <c r="D1154" s="13" t="s">
        <v>1385</v>
      </c>
      <c r="E1154" s="14">
        <v>6000</v>
      </c>
      <c r="F1154" s="15"/>
      <c r="G1154" s="16">
        <v>150000</v>
      </c>
      <c r="H1154" s="16">
        <v>0</v>
      </c>
      <c r="I1154" s="16">
        <v>16000</v>
      </c>
      <c r="J1154" s="16">
        <v>0</v>
      </c>
      <c r="K1154" s="17">
        <v>0</v>
      </c>
    </row>
    <row r="1155" spans="1:11" x14ac:dyDescent="0.25">
      <c r="A1155" s="18">
        <v>46071</v>
      </c>
      <c r="B1155" s="19">
        <v>299</v>
      </c>
      <c r="C1155" s="19" t="s">
        <v>234</v>
      </c>
      <c r="D1155" s="20" t="s">
        <v>1385</v>
      </c>
      <c r="E1155" s="21">
        <v>6000</v>
      </c>
      <c r="F1155" s="22"/>
      <c r="G1155" s="23">
        <v>150000</v>
      </c>
      <c r="H1155" s="23">
        <v>0</v>
      </c>
      <c r="I1155" s="23">
        <v>166000</v>
      </c>
      <c r="J1155" s="23">
        <v>0</v>
      </c>
      <c r="K1155" s="24">
        <v>166000</v>
      </c>
    </row>
    <row r="1156" spans="1:11" x14ac:dyDescent="0.25">
      <c r="A1156" s="11">
        <v>46039</v>
      </c>
      <c r="B1156" s="12">
        <v>300</v>
      </c>
      <c r="C1156" s="12" t="s">
        <v>231</v>
      </c>
      <c r="D1156" s="13"/>
      <c r="E1156" s="14"/>
      <c r="F1156" s="15">
        <v>82950</v>
      </c>
      <c r="G1156" s="16"/>
      <c r="H1156" s="16">
        <v>82950</v>
      </c>
      <c r="I1156" s="16">
        <v>0</v>
      </c>
      <c r="J1156" s="16">
        <v>0</v>
      </c>
      <c r="K1156" s="17">
        <v>0</v>
      </c>
    </row>
    <row r="1157" spans="1:11" x14ac:dyDescent="0.25">
      <c r="A1157" s="18">
        <v>46041</v>
      </c>
      <c r="B1157" s="19">
        <v>300</v>
      </c>
      <c r="C1157" s="19" t="s">
        <v>231</v>
      </c>
      <c r="D1157" s="20" t="s">
        <v>1385</v>
      </c>
      <c r="E1157" s="21">
        <v>1050</v>
      </c>
      <c r="F1157" s="22"/>
      <c r="G1157" s="23">
        <v>38710</v>
      </c>
      <c r="H1157" s="23">
        <v>44240</v>
      </c>
      <c r="I1157" s="23">
        <v>0</v>
      </c>
      <c r="J1157" s="23">
        <v>0</v>
      </c>
      <c r="K1157" s="24">
        <v>0</v>
      </c>
    </row>
    <row r="1158" spans="1:11" x14ac:dyDescent="0.25">
      <c r="A1158" s="11">
        <v>46043</v>
      </c>
      <c r="B1158" s="12">
        <v>300</v>
      </c>
      <c r="C1158" s="12" t="s">
        <v>231</v>
      </c>
      <c r="D1158" s="13" t="s">
        <v>1385</v>
      </c>
      <c r="E1158" s="14">
        <v>1200</v>
      </c>
      <c r="F1158" s="15"/>
      <c r="G1158" s="16">
        <v>44240</v>
      </c>
      <c r="H1158" s="16">
        <v>0</v>
      </c>
      <c r="I1158" s="16">
        <v>0</v>
      </c>
      <c r="J1158" s="16">
        <v>0</v>
      </c>
      <c r="K1158" s="17">
        <v>0</v>
      </c>
    </row>
    <row r="1159" spans="1:11" x14ac:dyDescent="0.25">
      <c r="A1159" s="18">
        <v>46052</v>
      </c>
      <c r="B1159" s="19">
        <v>300</v>
      </c>
      <c r="C1159" s="19" t="s">
        <v>231</v>
      </c>
      <c r="D1159" s="20" t="s">
        <v>1384</v>
      </c>
      <c r="E1159" s="21"/>
      <c r="F1159" s="22">
        <v>82950</v>
      </c>
      <c r="G1159" s="23"/>
      <c r="H1159" s="23">
        <v>82950</v>
      </c>
      <c r="I1159" s="23">
        <v>0</v>
      </c>
      <c r="J1159" s="23">
        <v>0</v>
      </c>
      <c r="K1159" s="24">
        <v>0</v>
      </c>
    </row>
    <row r="1160" spans="1:11" x14ac:dyDescent="0.25">
      <c r="A1160" s="11">
        <v>46055</v>
      </c>
      <c r="B1160" s="12">
        <v>300</v>
      </c>
      <c r="C1160" s="12" t="s">
        <v>231</v>
      </c>
      <c r="D1160" s="13" t="s">
        <v>1385</v>
      </c>
      <c r="E1160" s="14">
        <v>2250</v>
      </c>
      <c r="F1160" s="15"/>
      <c r="G1160" s="16">
        <v>82950</v>
      </c>
      <c r="H1160" s="16">
        <v>0</v>
      </c>
      <c r="I1160" s="16">
        <v>0</v>
      </c>
      <c r="J1160" s="16">
        <v>0</v>
      </c>
      <c r="K1160" s="17">
        <v>0</v>
      </c>
    </row>
    <row r="1161" spans="1:11" x14ac:dyDescent="0.25">
      <c r="A1161" s="18">
        <v>46066</v>
      </c>
      <c r="B1161" s="19">
        <v>300</v>
      </c>
      <c r="C1161" s="19" t="s">
        <v>231</v>
      </c>
      <c r="D1161" s="20" t="s">
        <v>1384</v>
      </c>
      <c r="E1161" s="21"/>
      <c r="F1161" s="22">
        <v>82950</v>
      </c>
      <c r="G1161" s="23"/>
      <c r="H1161" s="23">
        <v>82950</v>
      </c>
      <c r="I1161" s="23">
        <v>0</v>
      </c>
      <c r="J1161" s="23">
        <v>0</v>
      </c>
      <c r="K1161" s="24">
        <v>0</v>
      </c>
    </row>
    <row r="1162" spans="1:11" x14ac:dyDescent="0.25">
      <c r="A1162" s="11">
        <v>46069</v>
      </c>
      <c r="B1162" s="12">
        <v>300</v>
      </c>
      <c r="C1162" s="12" t="s">
        <v>231</v>
      </c>
      <c r="D1162" s="13" t="s">
        <v>1385</v>
      </c>
      <c r="E1162" s="14">
        <v>2250</v>
      </c>
      <c r="F1162" s="15"/>
      <c r="G1162" s="16">
        <v>82950</v>
      </c>
      <c r="H1162" s="16">
        <v>0</v>
      </c>
      <c r="I1162" s="16">
        <v>0</v>
      </c>
      <c r="J1162" s="16">
        <v>0</v>
      </c>
      <c r="K1162" s="17">
        <v>0</v>
      </c>
    </row>
    <row r="1163" spans="1:11" x14ac:dyDescent="0.25">
      <c r="A1163" s="18">
        <v>46052</v>
      </c>
      <c r="B1163" s="19">
        <v>301</v>
      </c>
      <c r="C1163" s="19" t="s">
        <v>227</v>
      </c>
      <c r="D1163" s="20" t="s">
        <v>1385</v>
      </c>
      <c r="E1163" s="21">
        <v>6900</v>
      </c>
      <c r="F1163" s="22"/>
      <c r="G1163" s="23">
        <v>251400</v>
      </c>
      <c r="H1163" s="23">
        <v>0</v>
      </c>
      <c r="I1163" s="23">
        <v>251400</v>
      </c>
      <c r="J1163" s="23">
        <v>0</v>
      </c>
      <c r="K1163" s="24">
        <v>0</v>
      </c>
    </row>
    <row r="1164" spans="1:11" x14ac:dyDescent="0.25">
      <c r="A1164" s="11">
        <v>46052</v>
      </c>
      <c r="B1164" s="12">
        <v>301</v>
      </c>
      <c r="C1164" s="12" t="s">
        <v>227</v>
      </c>
      <c r="D1164" s="13" t="s">
        <v>1399</v>
      </c>
      <c r="E1164" s="14"/>
      <c r="F1164" s="15">
        <v>251400</v>
      </c>
      <c r="G1164" s="16"/>
      <c r="H1164" s="16">
        <v>0</v>
      </c>
      <c r="I1164" s="16">
        <v>0</v>
      </c>
      <c r="J1164" s="16">
        <v>0</v>
      </c>
      <c r="K1164" s="17">
        <v>0</v>
      </c>
    </row>
    <row r="1165" spans="1:11" x14ac:dyDescent="0.25">
      <c r="A1165" s="18">
        <v>46066</v>
      </c>
      <c r="B1165" s="19">
        <v>302</v>
      </c>
      <c r="C1165" s="19" t="s">
        <v>223</v>
      </c>
      <c r="D1165" s="20" t="s">
        <v>1385</v>
      </c>
      <c r="E1165" s="21">
        <v>7500</v>
      </c>
      <c r="F1165" s="22"/>
      <c r="G1165" s="23">
        <v>207000</v>
      </c>
      <c r="H1165" s="23">
        <v>0</v>
      </c>
      <c r="I1165" s="23">
        <v>207000</v>
      </c>
      <c r="J1165" s="23">
        <v>0</v>
      </c>
      <c r="K1165" s="24">
        <v>0</v>
      </c>
    </row>
    <row r="1166" spans="1:11" x14ac:dyDescent="0.25">
      <c r="A1166" s="11">
        <v>46070</v>
      </c>
      <c r="B1166" s="12">
        <v>302</v>
      </c>
      <c r="C1166" s="12" t="s">
        <v>223</v>
      </c>
      <c r="D1166" s="13" t="s">
        <v>1384</v>
      </c>
      <c r="E1166" s="14"/>
      <c r="F1166" s="15">
        <v>204000</v>
      </c>
      <c r="G1166" s="16"/>
      <c r="H1166" s="16">
        <v>0</v>
      </c>
      <c r="I1166" s="16">
        <v>3000</v>
      </c>
      <c r="J1166" s="16">
        <v>0</v>
      </c>
      <c r="K1166" s="17">
        <v>3000</v>
      </c>
    </row>
    <row r="1167" spans="1:11" x14ac:dyDescent="0.25">
      <c r="A1167" s="18">
        <v>46039</v>
      </c>
      <c r="B1167" s="19">
        <v>305</v>
      </c>
      <c r="C1167" s="19" t="s">
        <v>212</v>
      </c>
      <c r="D1167" s="20"/>
      <c r="E1167" s="21"/>
      <c r="F1167" s="22"/>
      <c r="G1167" s="23">
        <v>59650</v>
      </c>
      <c r="H1167" s="23">
        <v>0</v>
      </c>
      <c r="I1167" s="23">
        <v>59650</v>
      </c>
      <c r="J1167" s="23">
        <v>0</v>
      </c>
      <c r="K1167" s="24">
        <v>0</v>
      </c>
    </row>
    <row r="1168" spans="1:11" x14ac:dyDescent="0.25">
      <c r="A1168" s="11">
        <v>46059</v>
      </c>
      <c r="B1168" s="12">
        <v>305</v>
      </c>
      <c r="C1168" s="12" t="s">
        <v>212</v>
      </c>
      <c r="D1168" s="13" t="s">
        <v>1384</v>
      </c>
      <c r="E1168" s="14"/>
      <c r="F1168" s="15">
        <v>245000</v>
      </c>
      <c r="G1168" s="16"/>
      <c r="H1168" s="16">
        <v>185350</v>
      </c>
      <c r="I1168" s="16">
        <v>0</v>
      </c>
      <c r="J1168" s="16">
        <v>0</v>
      </c>
      <c r="K1168" s="17">
        <v>0</v>
      </c>
    </row>
    <row r="1169" spans="1:11" x14ac:dyDescent="0.25">
      <c r="A1169" s="18">
        <v>46059</v>
      </c>
      <c r="B1169" s="19">
        <v>305</v>
      </c>
      <c r="C1169" s="19" t="s">
        <v>212</v>
      </c>
      <c r="D1169" s="20" t="s">
        <v>1385</v>
      </c>
      <c r="E1169" s="21">
        <v>6900</v>
      </c>
      <c r="F1169" s="22"/>
      <c r="G1169" s="23">
        <v>193200</v>
      </c>
      <c r="H1169" s="23">
        <v>0</v>
      </c>
      <c r="I1169" s="23">
        <v>7850</v>
      </c>
      <c r="J1169" s="23">
        <v>0</v>
      </c>
      <c r="K1169" s="24">
        <v>7850</v>
      </c>
    </row>
    <row r="1170" spans="1:11" x14ac:dyDescent="0.25">
      <c r="A1170" s="11">
        <v>46039</v>
      </c>
      <c r="B1170" s="12">
        <v>306</v>
      </c>
      <c r="C1170" s="12" t="s">
        <v>207</v>
      </c>
      <c r="D1170" s="13"/>
      <c r="E1170" s="14"/>
      <c r="F1170" s="15">
        <v>0</v>
      </c>
      <c r="G1170" s="16"/>
      <c r="H1170" s="16">
        <v>0</v>
      </c>
      <c r="I1170" s="16">
        <v>0</v>
      </c>
      <c r="J1170" s="16">
        <v>0</v>
      </c>
      <c r="K1170" s="17">
        <v>0</v>
      </c>
    </row>
    <row r="1171" spans="1:11" x14ac:dyDescent="0.25">
      <c r="A1171" s="18">
        <v>46039</v>
      </c>
      <c r="B1171" s="19">
        <v>307</v>
      </c>
      <c r="C1171" s="19" t="s">
        <v>203</v>
      </c>
      <c r="D1171" s="20"/>
      <c r="E1171" s="21"/>
      <c r="F1171" s="22">
        <v>0</v>
      </c>
      <c r="G1171" s="23"/>
      <c r="H1171" s="23">
        <v>0</v>
      </c>
      <c r="I1171" s="23">
        <v>0</v>
      </c>
      <c r="J1171" s="23">
        <v>0</v>
      </c>
      <c r="K1171" s="24">
        <v>0</v>
      </c>
    </row>
    <row r="1172" spans="1:11" x14ac:dyDescent="0.25">
      <c r="A1172" s="11">
        <v>46041</v>
      </c>
      <c r="B1172" s="12">
        <v>309</v>
      </c>
      <c r="C1172" s="12" t="s">
        <v>200</v>
      </c>
      <c r="D1172" s="13" t="s">
        <v>1384</v>
      </c>
      <c r="E1172" s="14"/>
      <c r="F1172" s="15">
        <v>87000</v>
      </c>
      <c r="G1172" s="16"/>
      <c r="H1172" s="16">
        <v>87000</v>
      </c>
      <c r="I1172" s="16">
        <v>0</v>
      </c>
      <c r="J1172" s="16">
        <v>0</v>
      </c>
      <c r="K1172" s="17">
        <v>0</v>
      </c>
    </row>
    <row r="1173" spans="1:11" x14ac:dyDescent="0.25">
      <c r="A1173" s="18">
        <v>46042</v>
      </c>
      <c r="B1173" s="19">
        <v>309</v>
      </c>
      <c r="C1173" s="19" t="s">
        <v>200</v>
      </c>
      <c r="D1173" s="20" t="s">
        <v>1385</v>
      </c>
      <c r="E1173" s="21">
        <v>2250</v>
      </c>
      <c r="F1173" s="22"/>
      <c r="G1173" s="23">
        <v>87000</v>
      </c>
      <c r="H1173" s="23">
        <v>0</v>
      </c>
      <c r="I1173" s="23">
        <v>0</v>
      </c>
      <c r="J1173" s="23">
        <v>0</v>
      </c>
      <c r="K1173" s="24">
        <v>0</v>
      </c>
    </row>
    <row r="1174" spans="1:11" x14ac:dyDescent="0.25">
      <c r="A1174" s="11">
        <v>46058</v>
      </c>
      <c r="B1174" s="12">
        <v>309</v>
      </c>
      <c r="C1174" s="12" t="s">
        <v>200</v>
      </c>
      <c r="D1174" s="13" t="s">
        <v>1384</v>
      </c>
      <c r="E1174" s="14"/>
      <c r="F1174" s="15">
        <v>101400</v>
      </c>
      <c r="G1174" s="16"/>
      <c r="H1174" s="16">
        <v>101400</v>
      </c>
      <c r="I1174" s="16">
        <v>0</v>
      </c>
      <c r="J1174" s="16">
        <v>0</v>
      </c>
      <c r="K1174" s="17">
        <v>0</v>
      </c>
    </row>
    <row r="1175" spans="1:11" x14ac:dyDescent="0.25">
      <c r="A1175" s="18">
        <v>46059</v>
      </c>
      <c r="B1175" s="19">
        <v>309</v>
      </c>
      <c r="C1175" s="19" t="s">
        <v>200</v>
      </c>
      <c r="D1175" s="20" t="s">
        <v>1385</v>
      </c>
      <c r="E1175" s="21">
        <v>2430</v>
      </c>
      <c r="F1175" s="22"/>
      <c r="G1175" s="23">
        <v>102668</v>
      </c>
      <c r="H1175" s="23">
        <v>0</v>
      </c>
      <c r="I1175" s="23">
        <v>1268</v>
      </c>
      <c r="J1175" s="23">
        <v>0</v>
      </c>
      <c r="K1175" s="24">
        <v>1268</v>
      </c>
    </row>
    <row r="1176" spans="1:11" x14ac:dyDescent="0.25">
      <c r="A1176" s="11">
        <v>46042</v>
      </c>
      <c r="B1176" s="12">
        <v>310</v>
      </c>
      <c r="C1176" s="12" t="s">
        <v>11</v>
      </c>
      <c r="D1176" s="13" t="s">
        <v>1385</v>
      </c>
      <c r="E1176" s="14">
        <v>1400</v>
      </c>
      <c r="F1176" s="15"/>
      <c r="G1176" s="16">
        <v>10000</v>
      </c>
      <c r="H1176" s="16">
        <v>0</v>
      </c>
      <c r="I1176" s="16">
        <v>10000</v>
      </c>
      <c r="J1176" s="16">
        <v>0</v>
      </c>
      <c r="K1176" s="17">
        <v>10000</v>
      </c>
    </row>
    <row r="1177" spans="1:11" x14ac:dyDescent="0.25">
      <c r="A1177" s="18">
        <v>46044</v>
      </c>
      <c r="B1177" s="19">
        <v>312</v>
      </c>
      <c r="C1177" s="19" t="s">
        <v>196</v>
      </c>
      <c r="D1177" s="20" t="s">
        <v>1390</v>
      </c>
      <c r="E1177" s="21"/>
      <c r="F1177" s="22">
        <v>10000</v>
      </c>
      <c r="G1177" s="23"/>
      <c r="H1177" s="23">
        <v>10000</v>
      </c>
      <c r="I1177" s="23">
        <v>0</v>
      </c>
      <c r="J1177" s="23">
        <v>0</v>
      </c>
      <c r="K1177" s="24">
        <v>0</v>
      </c>
    </row>
    <row r="1178" spans="1:11" x14ac:dyDescent="0.25">
      <c r="A1178" s="11">
        <v>46044</v>
      </c>
      <c r="B1178" s="12">
        <v>312</v>
      </c>
      <c r="C1178" s="12" t="s">
        <v>196</v>
      </c>
      <c r="D1178" s="13" t="s">
        <v>1385</v>
      </c>
      <c r="E1178" s="14">
        <v>420</v>
      </c>
      <c r="F1178" s="15"/>
      <c r="G1178" s="16">
        <v>10000</v>
      </c>
      <c r="H1178" s="16">
        <v>0</v>
      </c>
      <c r="I1178" s="16">
        <v>0</v>
      </c>
      <c r="J1178" s="16">
        <v>0</v>
      </c>
      <c r="K1178" s="17">
        <v>0</v>
      </c>
    </row>
    <row r="1179" spans="1:11" x14ac:dyDescent="0.25">
      <c r="A1179" s="18">
        <v>46049</v>
      </c>
      <c r="B1179" s="19">
        <v>312</v>
      </c>
      <c r="C1179" s="19" t="s">
        <v>196</v>
      </c>
      <c r="D1179" s="20" t="s">
        <v>1383</v>
      </c>
      <c r="E1179" s="21">
        <v>200</v>
      </c>
      <c r="F1179" s="22"/>
      <c r="G1179" s="23">
        <v>0</v>
      </c>
      <c r="H1179" s="23">
        <v>0</v>
      </c>
      <c r="I1179" s="23">
        <v>0</v>
      </c>
      <c r="J1179" s="23">
        <v>0</v>
      </c>
      <c r="K1179" s="24">
        <v>0</v>
      </c>
    </row>
    <row r="1180" spans="1:11" x14ac:dyDescent="0.25">
      <c r="A1180" s="11">
        <v>46049</v>
      </c>
      <c r="B1180" s="12">
        <v>312</v>
      </c>
      <c r="C1180" s="12" t="s">
        <v>196</v>
      </c>
      <c r="D1180" s="13" t="s">
        <v>1384</v>
      </c>
      <c r="E1180" s="14"/>
      <c r="F1180" s="15">
        <v>76800</v>
      </c>
      <c r="G1180" s="16"/>
      <c r="H1180" s="16">
        <v>76800</v>
      </c>
      <c r="I1180" s="16">
        <v>0</v>
      </c>
      <c r="J1180" s="16">
        <v>0</v>
      </c>
      <c r="K1180" s="17">
        <v>0</v>
      </c>
    </row>
    <row r="1181" spans="1:11" x14ac:dyDescent="0.25">
      <c r="A1181" s="18">
        <v>46049</v>
      </c>
      <c r="B1181" s="19">
        <v>312</v>
      </c>
      <c r="C1181" s="19" t="s">
        <v>196</v>
      </c>
      <c r="D1181" s="20" t="s">
        <v>1385</v>
      </c>
      <c r="E1181" s="21">
        <v>1800</v>
      </c>
      <c r="F1181" s="22"/>
      <c r="G1181" s="23">
        <v>76800</v>
      </c>
      <c r="H1181" s="23">
        <v>0</v>
      </c>
      <c r="I1181" s="23">
        <v>0</v>
      </c>
      <c r="J1181" s="23">
        <v>0</v>
      </c>
      <c r="K1181" s="24">
        <v>0</v>
      </c>
    </row>
    <row r="1182" spans="1:11" x14ac:dyDescent="0.25">
      <c r="A1182" s="11">
        <v>46044</v>
      </c>
      <c r="B1182" s="12">
        <v>313</v>
      </c>
      <c r="C1182" s="12" t="s">
        <v>8</v>
      </c>
      <c r="D1182" s="13" t="s">
        <v>1385</v>
      </c>
      <c r="E1182" s="14">
        <v>546</v>
      </c>
      <c r="F1182" s="15"/>
      <c r="G1182" s="16">
        <v>20000</v>
      </c>
      <c r="H1182" s="16">
        <v>0</v>
      </c>
      <c r="I1182" s="16">
        <v>20000</v>
      </c>
      <c r="J1182" s="16">
        <v>0</v>
      </c>
      <c r="K1182" s="17">
        <v>20000</v>
      </c>
    </row>
    <row r="1183" spans="1:11" x14ac:dyDescent="0.25">
      <c r="A1183" s="18">
        <v>46045</v>
      </c>
      <c r="B1183" s="19">
        <v>314</v>
      </c>
      <c r="C1183" s="19" t="s">
        <v>192</v>
      </c>
      <c r="D1183" s="20" t="s">
        <v>1390</v>
      </c>
      <c r="E1183" s="21"/>
      <c r="F1183" s="22">
        <v>10000</v>
      </c>
      <c r="G1183" s="23"/>
      <c r="H1183" s="23">
        <v>10000</v>
      </c>
      <c r="I1183" s="23">
        <v>0</v>
      </c>
      <c r="J1183" s="23">
        <v>0</v>
      </c>
      <c r="K1183" s="24">
        <v>0</v>
      </c>
    </row>
    <row r="1184" spans="1:11" x14ac:dyDescent="0.25">
      <c r="A1184" s="11">
        <v>46045</v>
      </c>
      <c r="B1184" s="12">
        <v>314</v>
      </c>
      <c r="C1184" s="12" t="s">
        <v>192</v>
      </c>
      <c r="D1184" s="13" t="s">
        <v>1385</v>
      </c>
      <c r="E1184" s="14">
        <v>700</v>
      </c>
      <c r="F1184" s="15"/>
      <c r="G1184" s="16">
        <v>10000</v>
      </c>
      <c r="H1184" s="16">
        <v>0</v>
      </c>
      <c r="I1184" s="16">
        <v>0</v>
      </c>
      <c r="J1184" s="16">
        <v>0</v>
      </c>
      <c r="K1184" s="17">
        <v>0</v>
      </c>
    </row>
    <row r="1185" spans="1:11" x14ac:dyDescent="0.25">
      <c r="A1185" s="18">
        <v>46051</v>
      </c>
      <c r="B1185" s="19">
        <v>314</v>
      </c>
      <c r="C1185" s="19" t="s">
        <v>192</v>
      </c>
      <c r="D1185" s="20" t="s">
        <v>1384</v>
      </c>
      <c r="E1185" s="21"/>
      <c r="F1185" s="22">
        <v>87000</v>
      </c>
      <c r="G1185" s="23"/>
      <c r="H1185" s="23">
        <v>87000</v>
      </c>
      <c r="I1185" s="23">
        <v>0</v>
      </c>
      <c r="J1185" s="23">
        <v>0</v>
      </c>
      <c r="K1185" s="24">
        <v>0</v>
      </c>
    </row>
    <row r="1186" spans="1:11" x14ac:dyDescent="0.25">
      <c r="A1186" s="11">
        <v>46051</v>
      </c>
      <c r="B1186" s="12">
        <v>314</v>
      </c>
      <c r="C1186" s="12" t="s">
        <v>192</v>
      </c>
      <c r="D1186" s="13" t="s">
        <v>1383</v>
      </c>
      <c r="E1186" s="14">
        <v>200</v>
      </c>
      <c r="F1186" s="15"/>
      <c r="G1186" s="16">
        <v>7733</v>
      </c>
      <c r="H1186" s="16">
        <v>79267</v>
      </c>
      <c r="I1186" s="16">
        <v>0</v>
      </c>
      <c r="J1186" s="16">
        <v>0</v>
      </c>
      <c r="K1186" s="17">
        <v>0</v>
      </c>
    </row>
    <row r="1187" spans="1:11" x14ac:dyDescent="0.25">
      <c r="A1187" s="18">
        <v>46051</v>
      </c>
      <c r="B1187" s="19">
        <v>314</v>
      </c>
      <c r="C1187" s="19" t="s">
        <v>192</v>
      </c>
      <c r="D1187" s="20" t="s">
        <v>1385</v>
      </c>
      <c r="E1187" s="21">
        <v>2250</v>
      </c>
      <c r="F1187" s="22"/>
      <c r="G1187" s="23">
        <v>87000</v>
      </c>
      <c r="H1187" s="23">
        <v>0</v>
      </c>
      <c r="I1187" s="23">
        <v>7733</v>
      </c>
      <c r="J1187" s="23">
        <v>0</v>
      </c>
      <c r="K1187" s="24">
        <v>0</v>
      </c>
    </row>
    <row r="1188" spans="1:11" x14ac:dyDescent="0.25">
      <c r="A1188" s="11">
        <v>46065</v>
      </c>
      <c r="B1188" s="12">
        <v>314</v>
      </c>
      <c r="C1188" s="12" t="s">
        <v>192</v>
      </c>
      <c r="D1188" s="13" t="s">
        <v>1384</v>
      </c>
      <c r="E1188" s="14"/>
      <c r="F1188" s="15">
        <v>100000</v>
      </c>
      <c r="G1188" s="16"/>
      <c r="H1188" s="16">
        <v>92267</v>
      </c>
      <c r="I1188" s="16">
        <v>0</v>
      </c>
      <c r="J1188" s="16">
        <v>0</v>
      </c>
      <c r="K1188" s="17">
        <v>0</v>
      </c>
    </row>
    <row r="1189" spans="1:11" x14ac:dyDescent="0.25">
      <c r="A1189" s="18">
        <v>46066</v>
      </c>
      <c r="B1189" s="19">
        <v>314</v>
      </c>
      <c r="C1189" s="19" t="s">
        <v>192</v>
      </c>
      <c r="D1189" s="20" t="s">
        <v>1385</v>
      </c>
      <c r="E1189" s="21">
        <v>2700</v>
      </c>
      <c r="F1189" s="22"/>
      <c r="G1189" s="23">
        <v>100000</v>
      </c>
      <c r="H1189" s="23">
        <v>0</v>
      </c>
      <c r="I1189" s="23">
        <v>7733</v>
      </c>
      <c r="J1189" s="23">
        <v>0</v>
      </c>
      <c r="K1189" s="24">
        <v>7733</v>
      </c>
    </row>
    <row r="1190" spans="1:11" x14ac:dyDescent="0.25">
      <c r="A1190" s="11">
        <v>46048</v>
      </c>
      <c r="B1190" s="12">
        <v>315</v>
      </c>
      <c r="C1190" s="12" t="s">
        <v>189</v>
      </c>
      <c r="D1190" s="13" t="s">
        <v>1390</v>
      </c>
      <c r="E1190" s="14"/>
      <c r="F1190" s="15">
        <v>10000</v>
      </c>
      <c r="G1190" s="16"/>
      <c r="H1190" s="16">
        <v>10000</v>
      </c>
      <c r="I1190" s="16">
        <v>0</v>
      </c>
      <c r="J1190" s="16">
        <v>0</v>
      </c>
      <c r="K1190" s="17">
        <v>0</v>
      </c>
    </row>
    <row r="1191" spans="1:11" x14ac:dyDescent="0.25">
      <c r="A1191" s="18">
        <v>46048</v>
      </c>
      <c r="B1191" s="19">
        <v>315</v>
      </c>
      <c r="C1191" s="19" t="s">
        <v>189</v>
      </c>
      <c r="D1191" s="20" t="s">
        <v>1385</v>
      </c>
      <c r="E1191" s="21">
        <v>672</v>
      </c>
      <c r="F1191" s="22"/>
      <c r="G1191" s="23">
        <v>10000</v>
      </c>
      <c r="H1191" s="23">
        <v>0</v>
      </c>
      <c r="I1191" s="23">
        <v>0</v>
      </c>
      <c r="J1191" s="23">
        <v>0</v>
      </c>
      <c r="K1191" s="24">
        <v>0</v>
      </c>
    </row>
    <row r="1192" spans="1:11" x14ac:dyDescent="0.25">
      <c r="A1192" s="11">
        <v>46052</v>
      </c>
      <c r="B1192" s="12">
        <v>315</v>
      </c>
      <c r="C1192" s="12" t="s">
        <v>189</v>
      </c>
      <c r="D1192" s="13" t="s">
        <v>1384</v>
      </c>
      <c r="E1192" s="14"/>
      <c r="F1192" s="15">
        <v>81600</v>
      </c>
      <c r="G1192" s="16"/>
      <c r="H1192" s="16">
        <v>81600</v>
      </c>
      <c r="I1192" s="16">
        <v>0</v>
      </c>
      <c r="J1192" s="16">
        <v>0</v>
      </c>
      <c r="K1192" s="17">
        <v>0</v>
      </c>
    </row>
    <row r="1193" spans="1:11" x14ac:dyDescent="0.25">
      <c r="A1193" s="18">
        <v>46052</v>
      </c>
      <c r="B1193" s="19">
        <v>315</v>
      </c>
      <c r="C1193" s="19" t="s">
        <v>189</v>
      </c>
      <c r="D1193" s="20" t="s">
        <v>1385</v>
      </c>
      <c r="E1193" s="21">
        <v>2250</v>
      </c>
      <c r="F1193" s="22"/>
      <c r="G1193" s="23">
        <v>81600</v>
      </c>
      <c r="H1193" s="23">
        <v>0</v>
      </c>
      <c r="I1193" s="23">
        <v>0</v>
      </c>
      <c r="J1193" s="23">
        <v>0</v>
      </c>
      <c r="K1193" s="24">
        <v>0</v>
      </c>
    </row>
    <row r="1194" spans="1:11" x14ac:dyDescent="0.25">
      <c r="A1194" s="11">
        <v>46052</v>
      </c>
      <c r="B1194" s="12">
        <v>315</v>
      </c>
      <c r="C1194" s="12" t="s">
        <v>189</v>
      </c>
      <c r="D1194" s="13" t="s">
        <v>1383</v>
      </c>
      <c r="E1194" s="14">
        <v>200</v>
      </c>
      <c r="F1194" s="15"/>
      <c r="G1194" s="16">
        <v>0</v>
      </c>
      <c r="H1194" s="16">
        <v>0</v>
      </c>
      <c r="I1194" s="16">
        <v>0</v>
      </c>
      <c r="J1194" s="16">
        <v>0</v>
      </c>
      <c r="K1194" s="17">
        <v>0</v>
      </c>
    </row>
    <row r="1195" spans="1:11" x14ac:dyDescent="0.25">
      <c r="A1195" s="18">
        <v>46069</v>
      </c>
      <c r="B1195" s="19">
        <v>315</v>
      </c>
      <c r="C1195" s="19" t="s">
        <v>189</v>
      </c>
      <c r="D1195" s="20" t="s">
        <v>1384</v>
      </c>
      <c r="E1195" s="21"/>
      <c r="F1195" s="22">
        <v>97200</v>
      </c>
      <c r="G1195" s="23"/>
      <c r="H1195" s="23">
        <v>97200</v>
      </c>
      <c r="I1195" s="23">
        <v>0</v>
      </c>
      <c r="J1195" s="23">
        <v>0</v>
      </c>
      <c r="K1195" s="24">
        <v>0</v>
      </c>
    </row>
    <row r="1196" spans="1:11" x14ac:dyDescent="0.25">
      <c r="A1196" s="11">
        <v>46069</v>
      </c>
      <c r="B1196" s="12">
        <v>315</v>
      </c>
      <c r="C1196" s="12" t="s">
        <v>189</v>
      </c>
      <c r="D1196" s="13" t="s">
        <v>1385</v>
      </c>
      <c r="E1196" s="14">
        <v>2700</v>
      </c>
      <c r="F1196" s="15"/>
      <c r="G1196" s="16">
        <v>97920</v>
      </c>
      <c r="H1196" s="16">
        <v>0</v>
      </c>
      <c r="I1196" s="16">
        <v>720</v>
      </c>
      <c r="J1196" s="16">
        <v>0</v>
      </c>
      <c r="K1196" s="17">
        <v>720</v>
      </c>
    </row>
    <row r="1197" spans="1:11" x14ac:dyDescent="0.25">
      <c r="A1197" s="18">
        <v>46048</v>
      </c>
      <c r="B1197" s="19">
        <v>316</v>
      </c>
      <c r="C1197" s="19" t="s">
        <v>78</v>
      </c>
      <c r="D1197" s="20" t="s">
        <v>1384</v>
      </c>
      <c r="E1197" s="21"/>
      <c r="F1197" s="22">
        <v>187200</v>
      </c>
      <c r="G1197" s="23"/>
      <c r="H1197" s="23">
        <v>187200</v>
      </c>
      <c r="I1197" s="23">
        <v>0</v>
      </c>
      <c r="J1197" s="23">
        <v>0</v>
      </c>
      <c r="K1197" s="24">
        <v>0</v>
      </c>
    </row>
    <row r="1198" spans="1:11" x14ac:dyDescent="0.25">
      <c r="A1198" s="11">
        <v>46048</v>
      </c>
      <c r="B1198" s="12">
        <v>316</v>
      </c>
      <c r="C1198" s="12" t="s">
        <v>78</v>
      </c>
      <c r="D1198" s="13" t="s">
        <v>1385</v>
      </c>
      <c r="E1198" s="14">
        <v>7800</v>
      </c>
      <c r="F1198" s="15"/>
      <c r="G1198" s="16">
        <v>187200</v>
      </c>
      <c r="H1198" s="16">
        <v>0</v>
      </c>
      <c r="I1198" s="16">
        <v>0</v>
      </c>
      <c r="J1198" s="16">
        <v>0</v>
      </c>
      <c r="K1198" s="17">
        <v>0</v>
      </c>
    </row>
    <row r="1199" spans="1:11" x14ac:dyDescent="0.25">
      <c r="A1199" s="18">
        <v>46070</v>
      </c>
      <c r="B1199" s="19">
        <v>316</v>
      </c>
      <c r="C1199" s="19" t="s">
        <v>78</v>
      </c>
      <c r="D1199" s="20" t="s">
        <v>1385</v>
      </c>
      <c r="E1199" s="21">
        <v>7800</v>
      </c>
      <c r="F1199" s="22"/>
      <c r="G1199" s="23">
        <v>187200</v>
      </c>
      <c r="H1199" s="23">
        <v>0</v>
      </c>
      <c r="I1199" s="23">
        <v>187200</v>
      </c>
      <c r="J1199" s="23">
        <v>0</v>
      </c>
      <c r="K1199" s="24">
        <v>187200</v>
      </c>
    </row>
    <row r="1200" spans="1:11" x14ac:dyDescent="0.25">
      <c r="A1200" s="11">
        <v>46048</v>
      </c>
      <c r="B1200" s="12">
        <v>317</v>
      </c>
      <c r="C1200" s="12" t="s">
        <v>1438</v>
      </c>
      <c r="D1200" s="13" t="s">
        <v>1385</v>
      </c>
      <c r="E1200" s="14">
        <v>784</v>
      </c>
      <c r="F1200" s="15"/>
      <c r="G1200" s="16">
        <v>10000</v>
      </c>
      <c r="H1200" s="16">
        <v>0</v>
      </c>
      <c r="I1200" s="16">
        <v>10000</v>
      </c>
      <c r="J1200" s="16">
        <v>0</v>
      </c>
      <c r="K1200" s="17">
        <v>0</v>
      </c>
    </row>
    <row r="1201" spans="1:11" x14ac:dyDescent="0.25">
      <c r="A1201" s="18">
        <v>46048</v>
      </c>
      <c r="B1201" s="19">
        <v>317</v>
      </c>
      <c r="C1201" s="19" t="s">
        <v>3</v>
      </c>
      <c r="D1201" s="20" t="s">
        <v>1385</v>
      </c>
      <c r="E1201" s="21">
        <v>882</v>
      </c>
      <c r="F1201" s="22"/>
      <c r="G1201" s="23">
        <v>10000</v>
      </c>
      <c r="H1201" s="23">
        <v>0</v>
      </c>
      <c r="I1201" s="23">
        <v>20000</v>
      </c>
      <c r="J1201" s="23">
        <v>0</v>
      </c>
      <c r="K1201" s="24">
        <v>20000</v>
      </c>
    </row>
    <row r="1202" spans="1:11" x14ac:dyDescent="0.25">
      <c r="A1202" s="11">
        <v>46049</v>
      </c>
      <c r="B1202" s="12">
        <v>318</v>
      </c>
      <c r="C1202" s="12" t="s">
        <v>186</v>
      </c>
      <c r="D1202" s="13" t="s">
        <v>1385</v>
      </c>
      <c r="E1202" s="14">
        <v>798</v>
      </c>
      <c r="F1202" s="15"/>
      <c r="G1202" s="16">
        <v>0</v>
      </c>
      <c r="H1202" s="16">
        <v>0</v>
      </c>
      <c r="I1202" s="16">
        <v>0</v>
      </c>
      <c r="J1202" s="16">
        <v>0</v>
      </c>
      <c r="K1202" s="17">
        <v>0</v>
      </c>
    </row>
    <row r="1203" spans="1:11" x14ac:dyDescent="0.25">
      <c r="A1203" s="18">
        <v>46050</v>
      </c>
      <c r="B1203" s="19">
        <v>318</v>
      </c>
      <c r="C1203" s="19" t="s">
        <v>186</v>
      </c>
      <c r="D1203" s="20" t="s">
        <v>1385</v>
      </c>
      <c r="E1203" s="21">
        <v>798</v>
      </c>
      <c r="F1203" s="22"/>
      <c r="G1203" s="23">
        <v>0</v>
      </c>
      <c r="H1203" s="23">
        <v>0</v>
      </c>
      <c r="I1203" s="23">
        <v>0</v>
      </c>
      <c r="J1203" s="23">
        <v>0</v>
      </c>
      <c r="K1203" s="24">
        <v>0</v>
      </c>
    </row>
    <row r="1204" spans="1:11" x14ac:dyDescent="0.25">
      <c r="A1204" s="11">
        <v>46050</v>
      </c>
      <c r="B1204" s="12">
        <v>320</v>
      </c>
      <c r="C1204" s="12" t="s">
        <v>182</v>
      </c>
      <c r="D1204" s="13" t="s">
        <v>1384</v>
      </c>
      <c r="E1204" s="14"/>
      <c r="F1204" s="15">
        <v>30000</v>
      </c>
      <c r="G1204" s="16"/>
      <c r="H1204" s="16">
        <v>30000</v>
      </c>
      <c r="I1204" s="16">
        <v>0</v>
      </c>
      <c r="J1204" s="16">
        <v>0</v>
      </c>
      <c r="K1204" s="17">
        <v>0</v>
      </c>
    </row>
    <row r="1205" spans="1:11" x14ac:dyDescent="0.25">
      <c r="A1205" s="18">
        <v>46052</v>
      </c>
      <c r="B1205" s="19">
        <v>320</v>
      </c>
      <c r="C1205" s="19" t="s">
        <v>182</v>
      </c>
      <c r="D1205" s="20" t="s">
        <v>1384</v>
      </c>
      <c r="E1205" s="21"/>
      <c r="F1205" s="22">
        <v>284800</v>
      </c>
      <c r="G1205" s="23"/>
      <c r="H1205" s="23">
        <v>314800</v>
      </c>
      <c r="I1205" s="23">
        <v>0</v>
      </c>
      <c r="J1205" s="23">
        <v>0</v>
      </c>
      <c r="K1205" s="24">
        <v>0</v>
      </c>
    </row>
    <row r="1206" spans="1:11" x14ac:dyDescent="0.25">
      <c r="A1206" s="11">
        <v>46066</v>
      </c>
      <c r="B1206" s="12">
        <v>320</v>
      </c>
      <c r="C1206" s="12" t="s">
        <v>182</v>
      </c>
      <c r="D1206" s="13" t="s">
        <v>1384</v>
      </c>
      <c r="E1206" s="14"/>
      <c r="F1206" s="15">
        <v>192000</v>
      </c>
      <c r="G1206" s="16"/>
      <c r="H1206" s="16">
        <v>506800</v>
      </c>
      <c r="I1206" s="16">
        <v>0</v>
      </c>
      <c r="J1206" s="16">
        <v>0</v>
      </c>
      <c r="K1206" s="17">
        <v>0</v>
      </c>
    </row>
    <row r="1207" spans="1:11" x14ac:dyDescent="0.25">
      <c r="A1207" s="18">
        <v>46069</v>
      </c>
      <c r="B1207" s="19">
        <v>320</v>
      </c>
      <c r="C1207" s="19" t="s">
        <v>1439</v>
      </c>
      <c r="D1207" s="20" t="s">
        <v>1385</v>
      </c>
      <c r="E1207" s="21">
        <v>2250</v>
      </c>
      <c r="F1207" s="22"/>
      <c r="G1207" s="23">
        <v>90600</v>
      </c>
      <c r="H1207" s="23">
        <v>416200</v>
      </c>
      <c r="I1207" s="23">
        <v>0</v>
      </c>
      <c r="J1207" s="23">
        <v>0</v>
      </c>
      <c r="K1207" s="24">
        <v>0</v>
      </c>
    </row>
    <row r="1208" spans="1:11" x14ac:dyDescent="0.25">
      <c r="A1208" s="11">
        <v>46069</v>
      </c>
      <c r="B1208" s="12">
        <v>320</v>
      </c>
      <c r="C1208" s="12" t="s">
        <v>182</v>
      </c>
      <c r="D1208" s="13" t="s">
        <v>1385</v>
      </c>
      <c r="E1208" s="14">
        <v>2400</v>
      </c>
      <c r="F1208" s="15"/>
      <c r="G1208" s="16">
        <v>101400</v>
      </c>
      <c r="H1208" s="16">
        <v>314800</v>
      </c>
      <c r="I1208" s="16">
        <v>0</v>
      </c>
      <c r="J1208" s="16">
        <v>314800</v>
      </c>
      <c r="K1208" s="17">
        <v>0</v>
      </c>
    </row>
    <row r="1209" spans="1:11" x14ac:dyDescent="0.25">
      <c r="A1209" s="18">
        <v>46051</v>
      </c>
      <c r="B1209" s="19">
        <v>321</v>
      </c>
      <c r="C1209" s="19" t="s">
        <v>180</v>
      </c>
      <c r="D1209" s="20" t="s">
        <v>1385</v>
      </c>
      <c r="E1209" s="21">
        <v>2250</v>
      </c>
      <c r="F1209" s="22"/>
      <c r="G1209" s="23">
        <v>15000</v>
      </c>
      <c r="H1209" s="23">
        <v>0</v>
      </c>
      <c r="I1209" s="23">
        <v>15000</v>
      </c>
      <c r="J1209" s="23">
        <v>0</v>
      </c>
      <c r="K1209" s="24">
        <v>0</v>
      </c>
    </row>
    <row r="1210" spans="1:11" x14ac:dyDescent="0.25">
      <c r="A1210" s="11">
        <v>46052</v>
      </c>
      <c r="B1210" s="12">
        <v>321</v>
      </c>
      <c r="C1210" s="12" t="s">
        <v>180</v>
      </c>
      <c r="D1210" s="13" t="s">
        <v>1384</v>
      </c>
      <c r="E1210" s="14"/>
      <c r="F1210" s="15">
        <v>15000</v>
      </c>
      <c r="G1210" s="16"/>
      <c r="H1210" s="16">
        <v>0</v>
      </c>
      <c r="I1210" s="16">
        <v>0</v>
      </c>
      <c r="J1210" s="16">
        <v>0</v>
      </c>
      <c r="K1210" s="17">
        <v>0</v>
      </c>
    </row>
    <row r="1211" spans="1:11" x14ac:dyDescent="0.25">
      <c r="A1211" s="18">
        <v>46062</v>
      </c>
      <c r="B1211" s="19">
        <v>321</v>
      </c>
      <c r="C1211" s="19" t="s">
        <v>180</v>
      </c>
      <c r="D1211" s="20" t="s">
        <v>1385</v>
      </c>
      <c r="E1211" s="21">
        <v>2250</v>
      </c>
      <c r="F1211" s="22"/>
      <c r="G1211" s="23">
        <v>90600</v>
      </c>
      <c r="H1211" s="23">
        <v>0</v>
      </c>
      <c r="I1211" s="23">
        <v>90600</v>
      </c>
      <c r="J1211" s="23">
        <v>0</v>
      </c>
      <c r="K1211" s="24">
        <v>0</v>
      </c>
    </row>
    <row r="1212" spans="1:11" x14ac:dyDescent="0.25">
      <c r="A1212" s="11">
        <v>46063</v>
      </c>
      <c r="B1212" s="12">
        <v>321</v>
      </c>
      <c r="C1212" s="12" t="s">
        <v>180</v>
      </c>
      <c r="D1212" s="13" t="s">
        <v>1384</v>
      </c>
      <c r="E1212" s="14"/>
      <c r="F1212" s="15">
        <v>90600</v>
      </c>
      <c r="G1212" s="16"/>
      <c r="H1212" s="16">
        <v>0</v>
      </c>
      <c r="I1212" s="16">
        <v>0</v>
      </c>
      <c r="J1212" s="16">
        <v>0</v>
      </c>
      <c r="K1212" s="17">
        <v>0</v>
      </c>
    </row>
    <row r="1213" spans="1:11" x14ac:dyDescent="0.25">
      <c r="A1213" s="18">
        <v>46066</v>
      </c>
      <c r="B1213" s="19">
        <v>325</v>
      </c>
      <c r="C1213" s="19" t="s">
        <v>177</v>
      </c>
      <c r="D1213" s="20" t="s">
        <v>1384</v>
      </c>
      <c r="E1213" s="21"/>
      <c r="F1213" s="22">
        <v>90600</v>
      </c>
      <c r="G1213" s="23"/>
      <c r="H1213" s="23">
        <v>90600</v>
      </c>
      <c r="I1213" s="23">
        <v>0</v>
      </c>
      <c r="J1213" s="23">
        <v>0</v>
      </c>
      <c r="K1213" s="24">
        <v>0</v>
      </c>
    </row>
    <row r="1214" spans="1:11" x14ac:dyDescent="0.25">
      <c r="A1214" s="11">
        <v>46069</v>
      </c>
      <c r="B1214" s="12">
        <v>325</v>
      </c>
      <c r="C1214" s="12" t="s">
        <v>177</v>
      </c>
      <c r="D1214" s="13" t="s">
        <v>1385</v>
      </c>
      <c r="E1214" s="14">
        <v>2250</v>
      </c>
      <c r="F1214" s="15"/>
      <c r="G1214" s="16">
        <v>90600</v>
      </c>
      <c r="H1214" s="16">
        <v>0</v>
      </c>
      <c r="I1214" s="16">
        <v>0</v>
      </c>
      <c r="J1214" s="16">
        <v>0</v>
      </c>
      <c r="K1214" s="17">
        <v>0</v>
      </c>
    </row>
    <row r="1215" spans="1:11" x14ac:dyDescent="0.25">
      <c r="A1215" s="18">
        <v>46056</v>
      </c>
      <c r="B1215" s="19">
        <v>329</v>
      </c>
      <c r="C1215" s="19" t="s">
        <v>174</v>
      </c>
      <c r="D1215" s="20" t="s">
        <v>1384</v>
      </c>
      <c r="E1215" s="21"/>
      <c r="F1215" s="22">
        <v>100000</v>
      </c>
      <c r="G1215" s="23"/>
      <c r="H1215" s="23">
        <v>100000</v>
      </c>
      <c r="I1215" s="23">
        <v>0</v>
      </c>
      <c r="J1215" s="23">
        <v>0</v>
      </c>
      <c r="K1215" s="24">
        <v>0</v>
      </c>
    </row>
    <row r="1216" spans="1:11" x14ac:dyDescent="0.25">
      <c r="A1216" s="11">
        <v>46057</v>
      </c>
      <c r="B1216" s="12">
        <v>329</v>
      </c>
      <c r="C1216" s="12" t="s">
        <v>174</v>
      </c>
      <c r="D1216" s="13" t="s">
        <v>1385</v>
      </c>
      <c r="E1216" s="14">
        <v>3915</v>
      </c>
      <c r="F1216" s="15"/>
      <c r="G1216" s="16">
        <v>100385</v>
      </c>
      <c r="H1216" s="16">
        <v>0</v>
      </c>
      <c r="I1216" s="16">
        <v>385</v>
      </c>
      <c r="J1216" s="16">
        <v>0</v>
      </c>
      <c r="K1216" s="17">
        <v>0</v>
      </c>
    </row>
    <row r="1217" spans="1:11" x14ac:dyDescent="0.25">
      <c r="A1217" s="18">
        <v>46057</v>
      </c>
      <c r="B1217" s="19">
        <v>329</v>
      </c>
      <c r="C1217" s="19" t="s">
        <v>174</v>
      </c>
      <c r="D1217" s="20" t="s">
        <v>1383</v>
      </c>
      <c r="E1217" s="21">
        <v>200</v>
      </c>
      <c r="F1217" s="22"/>
      <c r="G1217" s="23">
        <v>0</v>
      </c>
      <c r="H1217" s="23">
        <v>0</v>
      </c>
      <c r="I1217" s="23">
        <v>385</v>
      </c>
      <c r="J1217" s="23">
        <v>0</v>
      </c>
      <c r="K1217" s="24">
        <v>0</v>
      </c>
    </row>
    <row r="1218" spans="1:11" x14ac:dyDescent="0.25">
      <c r="A1218" s="11">
        <v>46070</v>
      </c>
      <c r="B1218" s="12">
        <v>329</v>
      </c>
      <c r="C1218" s="12" t="s">
        <v>174</v>
      </c>
      <c r="D1218" s="13" t="s">
        <v>1384</v>
      </c>
      <c r="E1218" s="14"/>
      <c r="F1218" s="15">
        <v>100000</v>
      </c>
      <c r="G1218" s="16"/>
      <c r="H1218" s="16">
        <v>99615</v>
      </c>
      <c r="I1218" s="16">
        <v>0</v>
      </c>
      <c r="J1218" s="16">
        <v>0</v>
      </c>
      <c r="K1218" s="17">
        <v>0</v>
      </c>
    </row>
    <row r="1219" spans="1:11" x14ac:dyDescent="0.25">
      <c r="A1219" s="18">
        <v>46071</v>
      </c>
      <c r="B1219" s="19">
        <v>329</v>
      </c>
      <c r="C1219" s="19" t="s">
        <v>174</v>
      </c>
      <c r="D1219" s="20" t="s">
        <v>1385</v>
      </c>
      <c r="E1219" s="21">
        <v>3915</v>
      </c>
      <c r="F1219" s="22"/>
      <c r="G1219" s="23">
        <v>100385</v>
      </c>
      <c r="H1219" s="23">
        <v>0</v>
      </c>
      <c r="I1219" s="23">
        <v>770</v>
      </c>
      <c r="J1219" s="23">
        <v>0</v>
      </c>
      <c r="K1219" s="24">
        <v>770</v>
      </c>
    </row>
    <row r="1220" spans="1:11" x14ac:dyDescent="0.25">
      <c r="A1220" s="11">
        <v>46057</v>
      </c>
      <c r="B1220" s="12">
        <v>330</v>
      </c>
      <c r="C1220" s="12" t="s">
        <v>171</v>
      </c>
      <c r="D1220" s="13" t="s">
        <v>1384</v>
      </c>
      <c r="E1220" s="14"/>
      <c r="F1220" s="15">
        <v>265600</v>
      </c>
      <c r="G1220" s="16"/>
      <c r="H1220" s="16">
        <v>265600</v>
      </c>
      <c r="I1220" s="16">
        <v>0</v>
      </c>
      <c r="J1220" s="16">
        <v>0</v>
      </c>
      <c r="K1220" s="17">
        <v>0</v>
      </c>
    </row>
    <row r="1221" spans="1:11" x14ac:dyDescent="0.25">
      <c r="A1221" s="18">
        <v>46058</v>
      </c>
      <c r="B1221" s="19">
        <v>330</v>
      </c>
      <c r="C1221" s="19" t="s">
        <v>171</v>
      </c>
      <c r="D1221" s="20" t="s">
        <v>1385</v>
      </c>
      <c r="E1221" s="21">
        <v>8850</v>
      </c>
      <c r="F1221" s="22"/>
      <c r="G1221" s="23">
        <v>265500</v>
      </c>
      <c r="H1221" s="23">
        <v>100</v>
      </c>
      <c r="I1221" s="23">
        <v>0</v>
      </c>
      <c r="J1221" s="23">
        <v>100</v>
      </c>
      <c r="K1221" s="24">
        <v>0</v>
      </c>
    </row>
    <row r="1222" spans="1:11" x14ac:dyDescent="0.25">
      <c r="A1222" s="11">
        <v>46059</v>
      </c>
      <c r="B1222" s="12">
        <v>331</v>
      </c>
      <c r="C1222" s="12" t="s">
        <v>166</v>
      </c>
      <c r="D1222" s="13" t="s">
        <v>1384</v>
      </c>
      <c r="E1222" s="14"/>
      <c r="F1222" s="15">
        <v>54750</v>
      </c>
      <c r="G1222" s="16"/>
      <c r="H1222" s="16">
        <v>54750</v>
      </c>
      <c r="I1222" s="16">
        <v>0</v>
      </c>
      <c r="J1222" s="16">
        <v>54750</v>
      </c>
      <c r="K1222" s="17">
        <v>0</v>
      </c>
    </row>
    <row r="1223" spans="1:11" x14ac:dyDescent="0.25">
      <c r="A1223" s="18">
        <v>46062</v>
      </c>
      <c r="B1223" s="19">
        <v>336</v>
      </c>
      <c r="C1223" s="19" t="s">
        <v>164</v>
      </c>
      <c r="D1223" s="20" t="s">
        <v>1384</v>
      </c>
      <c r="E1223" s="21"/>
      <c r="F1223" s="22">
        <v>116800</v>
      </c>
      <c r="G1223" s="23"/>
      <c r="H1223" s="23">
        <v>116800</v>
      </c>
      <c r="I1223" s="23">
        <v>0</v>
      </c>
      <c r="J1223" s="23">
        <v>0</v>
      </c>
      <c r="K1223" s="24">
        <v>0</v>
      </c>
    </row>
    <row r="1224" spans="1:11" x14ac:dyDescent="0.25">
      <c r="A1224" s="11">
        <v>46062</v>
      </c>
      <c r="B1224" s="12">
        <v>336</v>
      </c>
      <c r="C1224" s="12" t="s">
        <v>164</v>
      </c>
      <c r="D1224" s="13" t="s">
        <v>1383</v>
      </c>
      <c r="E1224" s="14">
        <v>400</v>
      </c>
      <c r="F1224" s="15"/>
      <c r="G1224" s="16">
        <v>19000</v>
      </c>
      <c r="H1224" s="16">
        <v>97800</v>
      </c>
      <c r="I1224" s="16">
        <v>0</v>
      </c>
      <c r="J1224" s="16">
        <v>0</v>
      </c>
      <c r="K1224" s="17">
        <v>0</v>
      </c>
    </row>
    <row r="1225" spans="1:11" x14ac:dyDescent="0.25">
      <c r="A1225" s="18">
        <v>46062</v>
      </c>
      <c r="B1225" s="19">
        <v>336</v>
      </c>
      <c r="C1225" s="19" t="s">
        <v>164</v>
      </c>
      <c r="D1225" s="20" t="s">
        <v>1385</v>
      </c>
      <c r="E1225" s="21">
        <v>1467</v>
      </c>
      <c r="F1225" s="22"/>
      <c r="G1225" s="23">
        <v>97800</v>
      </c>
      <c r="H1225" s="23">
        <v>0</v>
      </c>
      <c r="I1225" s="23">
        <v>0</v>
      </c>
      <c r="J1225" s="23">
        <v>0</v>
      </c>
      <c r="K1225" s="24">
        <v>0</v>
      </c>
    </row>
    <row r="1226" spans="1:11" x14ac:dyDescent="0.25">
      <c r="A1226" s="11">
        <v>46062</v>
      </c>
      <c r="B1226" s="12">
        <v>337</v>
      </c>
      <c r="C1226" s="12" t="s">
        <v>160</v>
      </c>
      <c r="D1226" s="13" t="s">
        <v>1385</v>
      </c>
      <c r="E1226" s="14">
        <v>9600</v>
      </c>
      <c r="F1226" s="15"/>
      <c r="G1226" s="16">
        <v>144000</v>
      </c>
      <c r="H1226" s="16">
        <v>0</v>
      </c>
      <c r="I1226" s="16">
        <v>144000</v>
      </c>
      <c r="J1226" s="16">
        <v>0</v>
      </c>
      <c r="K1226" s="17">
        <v>144000</v>
      </c>
    </row>
    <row r="1227" spans="1:11" x14ac:dyDescent="0.25">
      <c r="A1227" s="18">
        <v>46065</v>
      </c>
      <c r="B1227" s="19">
        <v>345</v>
      </c>
      <c r="C1227" s="19" t="s">
        <v>101</v>
      </c>
      <c r="D1227" s="20" t="s">
        <v>1384</v>
      </c>
      <c r="E1227" s="21"/>
      <c r="F1227" s="22">
        <v>97800</v>
      </c>
      <c r="G1227" s="23"/>
      <c r="H1227" s="23">
        <v>97800</v>
      </c>
      <c r="I1227" s="23">
        <v>0</v>
      </c>
      <c r="J1227" s="23">
        <v>0</v>
      </c>
      <c r="K1227" s="24">
        <v>0</v>
      </c>
    </row>
    <row r="1228" spans="1:11" x14ac:dyDescent="0.25">
      <c r="A1228" s="11">
        <v>46065</v>
      </c>
      <c r="B1228" s="12">
        <v>345</v>
      </c>
      <c r="C1228" s="12" t="s">
        <v>101</v>
      </c>
      <c r="D1228" s="13" t="s">
        <v>1383</v>
      </c>
      <c r="E1228" s="14">
        <v>200</v>
      </c>
      <c r="F1228" s="15"/>
      <c r="G1228" s="16">
        <v>0</v>
      </c>
      <c r="H1228" s="16">
        <v>97800</v>
      </c>
      <c r="I1228" s="16">
        <v>0</v>
      </c>
      <c r="J1228" s="16">
        <v>0</v>
      </c>
      <c r="K1228" s="17">
        <v>0</v>
      </c>
    </row>
    <row r="1229" spans="1:11" x14ac:dyDescent="0.25">
      <c r="A1229" s="18">
        <v>46065</v>
      </c>
      <c r="B1229" s="19">
        <v>345</v>
      </c>
      <c r="C1229" s="19" t="s">
        <v>101</v>
      </c>
      <c r="D1229" s="20" t="s">
        <v>1385</v>
      </c>
      <c r="E1229" s="21">
        <v>1610</v>
      </c>
      <c r="F1229" s="22"/>
      <c r="G1229" s="23">
        <v>0</v>
      </c>
      <c r="H1229" s="23">
        <v>97800</v>
      </c>
      <c r="I1229" s="23">
        <v>0</v>
      </c>
      <c r="J1229" s="23">
        <v>0</v>
      </c>
      <c r="K1229" s="24">
        <v>0</v>
      </c>
    </row>
    <row r="1230" spans="1:11" x14ac:dyDescent="0.25">
      <c r="A1230" s="11">
        <v>46065</v>
      </c>
      <c r="B1230" s="12">
        <v>345</v>
      </c>
      <c r="C1230" s="12" t="s">
        <v>101</v>
      </c>
      <c r="D1230" s="13" t="s">
        <v>1385</v>
      </c>
      <c r="E1230" s="14">
        <v>2300</v>
      </c>
      <c r="F1230" s="15"/>
      <c r="G1230" s="16">
        <v>97800</v>
      </c>
      <c r="H1230" s="16">
        <v>0</v>
      </c>
      <c r="I1230" s="16">
        <v>0</v>
      </c>
      <c r="J1230" s="16">
        <v>0</v>
      </c>
      <c r="K1230" s="17">
        <v>0</v>
      </c>
    </row>
    <row r="1231" spans="1:11" x14ac:dyDescent="0.25">
      <c r="A1231" s="18">
        <v>46066</v>
      </c>
      <c r="B1231" s="19">
        <v>349</v>
      </c>
      <c r="C1231" s="19" t="s">
        <v>89</v>
      </c>
      <c r="D1231" s="20" t="s">
        <v>1385</v>
      </c>
      <c r="E1231" s="21">
        <v>4480</v>
      </c>
      <c r="F1231" s="22"/>
      <c r="G1231" s="23">
        <v>143300</v>
      </c>
      <c r="H1231" s="23">
        <v>0</v>
      </c>
      <c r="I1231" s="23">
        <v>143300</v>
      </c>
      <c r="J1231" s="23">
        <v>0</v>
      </c>
      <c r="K1231" s="24">
        <v>143300</v>
      </c>
    </row>
    <row r="1232" spans="1:11" x14ac:dyDescent="0.25">
      <c r="A1232" s="11">
        <v>46044</v>
      </c>
      <c r="B1232" s="12">
        <v>313</v>
      </c>
      <c r="C1232" s="12" t="s">
        <v>8</v>
      </c>
      <c r="D1232" s="13" t="s">
        <v>1390</v>
      </c>
      <c r="E1232" s="14"/>
      <c r="F1232" s="15">
        <v>20000</v>
      </c>
      <c r="G1232" s="16"/>
      <c r="H1232" s="16">
        <v>20000</v>
      </c>
      <c r="I1232" s="16">
        <v>0</v>
      </c>
      <c r="J1232" s="16">
        <v>20000</v>
      </c>
      <c r="K1232" s="17">
        <v>0</v>
      </c>
    </row>
    <row r="1233" spans="1:11" x14ac:dyDescent="0.25">
      <c r="A1233" s="18">
        <v>46048</v>
      </c>
      <c r="B1233" s="19">
        <v>317</v>
      </c>
      <c r="C1233" s="19" t="s">
        <v>3</v>
      </c>
      <c r="D1233" s="20" t="s">
        <v>1390</v>
      </c>
      <c r="E1233" s="21"/>
      <c r="F1233" s="22">
        <v>20000</v>
      </c>
      <c r="G1233" s="23"/>
      <c r="H1233" s="23">
        <v>20000</v>
      </c>
      <c r="I1233" s="23">
        <v>0</v>
      </c>
      <c r="J1233" s="23">
        <v>20000</v>
      </c>
      <c r="K1233" s="24">
        <v>0</v>
      </c>
    </row>
    <row r="1234" spans="1:11" x14ac:dyDescent="0.25">
      <c r="A1234" s="11">
        <v>46050</v>
      </c>
      <c r="B1234" s="12">
        <v>1000319</v>
      </c>
      <c r="C1234" s="12" t="s">
        <v>153</v>
      </c>
      <c r="D1234" s="13" t="s">
        <v>1390</v>
      </c>
      <c r="E1234" s="14"/>
      <c r="F1234" s="15">
        <v>14200</v>
      </c>
      <c r="G1234" s="16"/>
      <c r="H1234" s="16">
        <v>14200</v>
      </c>
      <c r="I1234" s="16">
        <v>0</v>
      </c>
      <c r="J1234" s="16">
        <v>0</v>
      </c>
      <c r="K1234" s="17">
        <v>0</v>
      </c>
    </row>
    <row r="1235" spans="1:11" x14ac:dyDescent="0.25">
      <c r="A1235" s="18">
        <v>46050</v>
      </c>
      <c r="B1235" s="19">
        <v>1000319</v>
      </c>
      <c r="C1235" s="19" t="s">
        <v>153</v>
      </c>
      <c r="D1235" s="20" t="s">
        <v>1385</v>
      </c>
      <c r="E1235" s="21">
        <v>2100</v>
      </c>
      <c r="F1235" s="22"/>
      <c r="G1235" s="23">
        <v>15000</v>
      </c>
      <c r="H1235" s="23">
        <v>0</v>
      </c>
      <c r="I1235" s="23">
        <v>800</v>
      </c>
      <c r="J1235" s="23">
        <v>0</v>
      </c>
      <c r="K1235" s="24">
        <v>800</v>
      </c>
    </row>
    <row r="1236" spans="1:11" x14ac:dyDescent="0.25">
      <c r="A1236" s="11">
        <v>46051</v>
      </c>
      <c r="B1236" s="12">
        <v>320</v>
      </c>
      <c r="C1236" s="12" t="s">
        <v>1440</v>
      </c>
      <c r="D1236" s="13" t="s">
        <v>1385</v>
      </c>
      <c r="E1236" s="14">
        <v>1050</v>
      </c>
      <c r="F1236" s="15"/>
      <c r="G1236" s="16">
        <v>15000</v>
      </c>
      <c r="H1236" s="16">
        <v>0</v>
      </c>
      <c r="I1236" s="16">
        <v>15000</v>
      </c>
      <c r="J1236" s="16">
        <v>0</v>
      </c>
      <c r="K1236" s="17">
        <v>0</v>
      </c>
    </row>
    <row r="1237" spans="1:11" x14ac:dyDescent="0.25">
      <c r="A1237" s="18">
        <v>46051</v>
      </c>
      <c r="B1237" s="19">
        <v>320</v>
      </c>
      <c r="C1237" s="19" t="s">
        <v>1441</v>
      </c>
      <c r="D1237" s="20" t="s">
        <v>1385</v>
      </c>
      <c r="E1237" s="21">
        <v>1120</v>
      </c>
      <c r="F1237" s="22"/>
      <c r="G1237" s="23">
        <v>15000</v>
      </c>
      <c r="H1237" s="23">
        <v>0</v>
      </c>
      <c r="I1237" s="23">
        <v>30000</v>
      </c>
      <c r="J1237" s="23">
        <v>0</v>
      </c>
      <c r="K1237" s="24">
        <v>0</v>
      </c>
    </row>
    <row r="1238" spans="1:11" x14ac:dyDescent="0.25">
      <c r="A1238" s="11">
        <v>46055</v>
      </c>
      <c r="B1238" s="12">
        <v>320</v>
      </c>
      <c r="C1238" s="12" t="s">
        <v>1440</v>
      </c>
      <c r="D1238" s="13" t="s">
        <v>1385</v>
      </c>
      <c r="E1238" s="14">
        <v>2400</v>
      </c>
      <c r="F1238" s="15"/>
      <c r="G1238" s="16">
        <v>96640</v>
      </c>
      <c r="H1238" s="16">
        <v>0</v>
      </c>
      <c r="I1238" s="16">
        <v>126640</v>
      </c>
      <c r="J1238" s="16">
        <v>0</v>
      </c>
      <c r="K1238" s="17">
        <v>0</v>
      </c>
    </row>
    <row r="1239" spans="1:11" x14ac:dyDescent="0.25">
      <c r="A1239" s="18">
        <v>46055</v>
      </c>
      <c r="B1239" s="19">
        <v>320</v>
      </c>
      <c r="C1239" s="19" t="s">
        <v>1441</v>
      </c>
      <c r="D1239" s="20" t="s">
        <v>1385</v>
      </c>
      <c r="E1239" s="21">
        <v>2250</v>
      </c>
      <c r="F1239" s="22"/>
      <c r="G1239" s="23">
        <v>95062</v>
      </c>
      <c r="H1239" s="23">
        <v>0</v>
      </c>
      <c r="I1239" s="23">
        <v>221702</v>
      </c>
      <c r="J1239" s="23">
        <v>0</v>
      </c>
      <c r="K1239" s="24">
        <v>0</v>
      </c>
    </row>
    <row r="1240" spans="1:11" x14ac:dyDescent="0.25">
      <c r="A1240" s="11">
        <v>46055</v>
      </c>
      <c r="B1240" s="19">
        <v>320</v>
      </c>
      <c r="C1240" s="12" t="s">
        <v>1441</v>
      </c>
      <c r="D1240" s="13" t="s">
        <v>1383</v>
      </c>
      <c r="E1240" s="14">
        <v>400</v>
      </c>
      <c r="F1240" s="15"/>
      <c r="G1240" s="16">
        <v>0</v>
      </c>
      <c r="H1240" s="16">
        <v>0</v>
      </c>
      <c r="I1240" s="16">
        <v>221702</v>
      </c>
      <c r="J1240" s="16">
        <v>0</v>
      </c>
      <c r="K1240" s="17">
        <v>221702</v>
      </c>
    </row>
    <row r="1241" spans="1:11" x14ac:dyDescent="0.25">
      <c r="A1241" s="18">
        <v>46055</v>
      </c>
      <c r="B1241" s="19">
        <v>1000322</v>
      </c>
      <c r="C1241" s="19" t="s">
        <v>30</v>
      </c>
      <c r="D1241" s="20" t="s">
        <v>1384</v>
      </c>
      <c r="E1241" s="21"/>
      <c r="F1241" s="22">
        <v>10000</v>
      </c>
      <c r="G1241" s="23"/>
      <c r="H1241" s="23">
        <v>10000</v>
      </c>
      <c r="I1241" s="23">
        <v>0</v>
      </c>
      <c r="J1241" s="23">
        <v>0</v>
      </c>
      <c r="K1241" s="24">
        <v>0</v>
      </c>
    </row>
    <row r="1242" spans="1:11" x14ac:dyDescent="0.25">
      <c r="A1242" s="11">
        <v>46055</v>
      </c>
      <c r="B1242" s="12">
        <v>1000322</v>
      </c>
      <c r="C1242" s="12" t="s">
        <v>30</v>
      </c>
      <c r="D1242" s="13" t="s">
        <v>1385</v>
      </c>
      <c r="E1242" s="14">
        <v>980</v>
      </c>
      <c r="F1242" s="15"/>
      <c r="G1242" s="16">
        <v>10000</v>
      </c>
      <c r="H1242" s="16">
        <v>0</v>
      </c>
      <c r="I1242" s="16">
        <v>0</v>
      </c>
      <c r="J1242" s="16">
        <v>0</v>
      </c>
      <c r="K1242" s="17">
        <v>0</v>
      </c>
    </row>
    <row r="1243" spans="1:11" x14ac:dyDescent="0.25">
      <c r="A1243" s="18">
        <v>46052</v>
      </c>
      <c r="B1243" s="19">
        <v>1000323</v>
      </c>
      <c r="C1243" s="19" t="s">
        <v>148</v>
      </c>
      <c r="D1243" s="20" t="s">
        <v>1385</v>
      </c>
      <c r="E1243" s="21">
        <v>784</v>
      </c>
      <c r="F1243" s="22"/>
      <c r="G1243" s="23">
        <v>15000</v>
      </c>
      <c r="H1243" s="23">
        <v>0</v>
      </c>
      <c r="I1243" s="23">
        <v>15000</v>
      </c>
      <c r="J1243" s="23">
        <v>0</v>
      </c>
      <c r="K1243" s="24">
        <v>0</v>
      </c>
    </row>
    <row r="1244" spans="1:11" x14ac:dyDescent="0.25">
      <c r="A1244" s="11">
        <v>46052</v>
      </c>
      <c r="B1244" s="12">
        <v>1000323</v>
      </c>
      <c r="C1244" s="12" t="s">
        <v>148</v>
      </c>
      <c r="D1244" s="13" t="s">
        <v>1390</v>
      </c>
      <c r="E1244" s="14"/>
      <c r="F1244" s="15">
        <v>15000</v>
      </c>
      <c r="G1244" s="16"/>
      <c r="H1244" s="16">
        <v>0</v>
      </c>
      <c r="I1244" s="16">
        <v>0</v>
      </c>
      <c r="J1244" s="16">
        <v>0</v>
      </c>
      <c r="K1244" s="17">
        <v>0</v>
      </c>
    </row>
    <row r="1245" spans="1:11" x14ac:dyDescent="0.25">
      <c r="A1245" s="18">
        <v>46053</v>
      </c>
      <c r="B1245" s="19">
        <v>1000324</v>
      </c>
      <c r="C1245" s="19" t="s">
        <v>145</v>
      </c>
      <c r="D1245" s="20" t="s">
        <v>1384</v>
      </c>
      <c r="E1245" s="21"/>
      <c r="F1245" s="22">
        <v>15000</v>
      </c>
      <c r="G1245" s="23"/>
      <c r="H1245" s="23">
        <v>15000</v>
      </c>
      <c r="I1245" s="23">
        <v>0</v>
      </c>
      <c r="J1245" s="23">
        <v>0</v>
      </c>
      <c r="K1245" s="24">
        <v>0</v>
      </c>
    </row>
    <row r="1246" spans="1:11" x14ac:dyDescent="0.25">
      <c r="A1246" s="11">
        <v>46055</v>
      </c>
      <c r="B1246" s="12">
        <v>1000324</v>
      </c>
      <c r="C1246" s="12" t="s">
        <v>145</v>
      </c>
      <c r="D1246" s="13" t="s">
        <v>1385</v>
      </c>
      <c r="E1246" s="14">
        <v>3430</v>
      </c>
      <c r="F1246" s="15"/>
      <c r="G1246" s="16">
        <v>15000</v>
      </c>
      <c r="H1246" s="16">
        <v>0</v>
      </c>
      <c r="I1246" s="16">
        <v>0</v>
      </c>
      <c r="J1246" s="16">
        <v>0</v>
      </c>
      <c r="K1246" s="17">
        <v>0</v>
      </c>
    </row>
    <row r="1247" spans="1:11" x14ac:dyDescent="0.25">
      <c r="A1247" s="18">
        <v>46055</v>
      </c>
      <c r="B1247" s="12">
        <v>325</v>
      </c>
      <c r="C1247" s="19" t="s">
        <v>177</v>
      </c>
      <c r="D1247" s="20" t="s">
        <v>1385</v>
      </c>
      <c r="E1247" s="21">
        <v>1980</v>
      </c>
      <c r="F1247" s="22"/>
      <c r="G1247" s="23">
        <v>92800</v>
      </c>
      <c r="H1247" s="23">
        <v>0</v>
      </c>
      <c r="I1247" s="23">
        <v>92800</v>
      </c>
      <c r="J1247" s="23">
        <v>0</v>
      </c>
      <c r="K1247" s="24">
        <v>0</v>
      </c>
    </row>
    <row r="1248" spans="1:11" x14ac:dyDescent="0.25">
      <c r="A1248" s="11">
        <v>46055</v>
      </c>
      <c r="B1248" s="12">
        <v>325</v>
      </c>
      <c r="C1248" s="12" t="s">
        <v>177</v>
      </c>
      <c r="D1248" s="13" t="s">
        <v>1383</v>
      </c>
      <c r="E1248" s="14">
        <v>200</v>
      </c>
      <c r="F1248" s="15"/>
      <c r="G1248" s="16">
        <v>0</v>
      </c>
      <c r="H1248" s="16">
        <v>0</v>
      </c>
      <c r="I1248" s="16">
        <v>92800</v>
      </c>
      <c r="J1248" s="16">
        <v>0</v>
      </c>
      <c r="K1248" s="17">
        <v>92800</v>
      </c>
    </row>
    <row r="1249" spans="1:11" x14ac:dyDescent="0.25">
      <c r="A1249" s="18">
        <v>46055</v>
      </c>
      <c r="B1249" s="19">
        <v>1000326</v>
      </c>
      <c r="C1249" s="19" t="s">
        <v>141</v>
      </c>
      <c r="D1249" s="20" t="s">
        <v>1385</v>
      </c>
      <c r="E1249" s="21">
        <v>350</v>
      </c>
      <c r="F1249" s="22"/>
      <c r="G1249" s="23">
        <v>0</v>
      </c>
      <c r="H1249" s="23">
        <v>0</v>
      </c>
      <c r="I1249" s="23">
        <v>0</v>
      </c>
      <c r="J1249" s="23">
        <v>0</v>
      </c>
      <c r="K1249" s="24">
        <v>0</v>
      </c>
    </row>
    <row r="1250" spans="1:11" x14ac:dyDescent="0.25">
      <c r="A1250" s="11">
        <v>46056</v>
      </c>
      <c r="B1250" s="12">
        <v>1000327</v>
      </c>
      <c r="C1250" s="12" t="s">
        <v>27</v>
      </c>
      <c r="D1250" s="13" t="s">
        <v>1384</v>
      </c>
      <c r="E1250" s="14"/>
      <c r="F1250" s="15">
        <v>15000</v>
      </c>
      <c r="G1250" s="16"/>
      <c r="H1250" s="16">
        <v>15000</v>
      </c>
      <c r="I1250" s="16">
        <v>0</v>
      </c>
      <c r="J1250" s="16">
        <v>0</v>
      </c>
      <c r="K1250" s="17">
        <v>0</v>
      </c>
    </row>
    <row r="1251" spans="1:11" x14ac:dyDescent="0.25">
      <c r="A1251" s="18">
        <v>46057</v>
      </c>
      <c r="B1251" s="19">
        <v>1000327</v>
      </c>
      <c r="C1251" s="19" t="s">
        <v>27</v>
      </c>
      <c r="D1251" s="20" t="s">
        <v>1385</v>
      </c>
      <c r="E1251" s="21">
        <v>980</v>
      </c>
      <c r="F1251" s="22"/>
      <c r="G1251" s="23">
        <v>15000</v>
      </c>
      <c r="H1251" s="23">
        <v>0</v>
      </c>
      <c r="I1251" s="23">
        <v>0</v>
      </c>
      <c r="J1251" s="23">
        <v>0</v>
      </c>
      <c r="K1251" s="24">
        <v>0</v>
      </c>
    </row>
    <row r="1252" spans="1:11" x14ac:dyDescent="0.25">
      <c r="A1252" s="11">
        <v>46057</v>
      </c>
      <c r="B1252" s="12">
        <v>1000328</v>
      </c>
      <c r="C1252" s="12" t="s">
        <v>138</v>
      </c>
      <c r="D1252" s="13" t="s">
        <v>1384</v>
      </c>
      <c r="E1252" s="14"/>
      <c r="F1252" s="15">
        <v>15000</v>
      </c>
      <c r="G1252" s="16"/>
      <c r="H1252" s="16">
        <v>15000</v>
      </c>
      <c r="I1252" s="16">
        <v>0</v>
      </c>
      <c r="J1252" s="16">
        <v>0</v>
      </c>
      <c r="K1252" s="17">
        <v>0</v>
      </c>
    </row>
    <row r="1253" spans="1:11" x14ac:dyDescent="0.25">
      <c r="A1253" s="18">
        <v>46057</v>
      </c>
      <c r="B1253" s="19">
        <v>1000328</v>
      </c>
      <c r="C1253" s="19" t="s">
        <v>138</v>
      </c>
      <c r="D1253" s="20" t="s">
        <v>1385</v>
      </c>
      <c r="E1253" s="21">
        <v>1680</v>
      </c>
      <c r="F1253" s="22"/>
      <c r="G1253" s="23">
        <v>15000</v>
      </c>
      <c r="H1253" s="23">
        <v>0</v>
      </c>
      <c r="I1253" s="23">
        <v>0</v>
      </c>
      <c r="J1253" s="23">
        <v>0</v>
      </c>
      <c r="K1253" s="24">
        <v>0</v>
      </c>
    </row>
    <row r="1254" spans="1:11" x14ac:dyDescent="0.25">
      <c r="A1254" s="11">
        <v>46059</v>
      </c>
      <c r="B1254" s="12">
        <v>1000331</v>
      </c>
      <c r="C1254" s="12" t="s">
        <v>166</v>
      </c>
      <c r="D1254" s="13" t="s">
        <v>1385</v>
      </c>
      <c r="E1254" s="14">
        <v>795</v>
      </c>
      <c r="F1254" s="15"/>
      <c r="G1254" s="16">
        <v>54750</v>
      </c>
      <c r="H1254" s="16">
        <v>0</v>
      </c>
      <c r="I1254" s="16">
        <v>54750</v>
      </c>
      <c r="J1254" s="16">
        <v>0</v>
      </c>
      <c r="K1254" s="17">
        <v>54750</v>
      </c>
    </row>
    <row r="1255" spans="1:11" x14ac:dyDescent="0.25">
      <c r="A1255" s="18">
        <v>46059</v>
      </c>
      <c r="B1255" s="19">
        <v>1000332</v>
      </c>
      <c r="C1255" s="19" t="s">
        <v>135</v>
      </c>
      <c r="D1255" s="20" t="s">
        <v>1384</v>
      </c>
      <c r="E1255" s="21"/>
      <c r="F1255" s="22">
        <v>15000</v>
      </c>
      <c r="G1255" s="23"/>
      <c r="H1255" s="23">
        <v>15000</v>
      </c>
      <c r="I1255" s="23">
        <v>0</v>
      </c>
      <c r="J1255" s="23">
        <v>0</v>
      </c>
      <c r="K1255" s="24">
        <v>0</v>
      </c>
    </row>
    <row r="1256" spans="1:11" x14ac:dyDescent="0.25">
      <c r="A1256" s="11">
        <v>46059</v>
      </c>
      <c r="B1256" s="12">
        <v>1000332</v>
      </c>
      <c r="C1256" s="12" t="s">
        <v>135</v>
      </c>
      <c r="D1256" s="13" t="s">
        <v>1385</v>
      </c>
      <c r="E1256" s="14">
        <v>1960</v>
      </c>
      <c r="F1256" s="15"/>
      <c r="G1256" s="16">
        <v>15000</v>
      </c>
      <c r="H1256" s="16">
        <v>0</v>
      </c>
      <c r="I1256" s="16">
        <v>0</v>
      </c>
      <c r="J1256" s="16">
        <v>0</v>
      </c>
      <c r="K1256" s="17">
        <v>0</v>
      </c>
    </row>
    <row r="1257" spans="1:11" x14ac:dyDescent="0.25">
      <c r="A1257" s="18">
        <v>46062</v>
      </c>
      <c r="B1257" s="19">
        <v>1000333</v>
      </c>
      <c r="C1257" s="19" t="s">
        <v>132</v>
      </c>
      <c r="D1257" s="20" t="s">
        <v>1385</v>
      </c>
      <c r="E1257" s="21">
        <v>448</v>
      </c>
      <c r="F1257" s="22"/>
      <c r="G1257" s="23">
        <v>15000</v>
      </c>
      <c r="H1257" s="23">
        <v>0</v>
      </c>
      <c r="I1257" s="23">
        <v>15000</v>
      </c>
      <c r="J1257" s="23">
        <v>0</v>
      </c>
      <c r="K1257" s="24">
        <v>0</v>
      </c>
    </row>
    <row r="1258" spans="1:11" x14ac:dyDescent="0.25">
      <c r="A1258" s="11">
        <v>46062</v>
      </c>
      <c r="B1258" s="12">
        <v>1000333</v>
      </c>
      <c r="C1258" s="12" t="s">
        <v>132</v>
      </c>
      <c r="D1258" s="13" t="s">
        <v>1384</v>
      </c>
      <c r="E1258" s="14"/>
      <c r="F1258" s="15">
        <v>15000</v>
      </c>
      <c r="G1258" s="16"/>
      <c r="H1258" s="16">
        <v>0</v>
      </c>
      <c r="I1258" s="16">
        <v>0</v>
      </c>
      <c r="J1258" s="16">
        <v>0</v>
      </c>
      <c r="K1258" s="17">
        <v>0</v>
      </c>
    </row>
    <row r="1259" spans="1:11" x14ac:dyDescent="0.25">
      <c r="A1259" s="18">
        <v>46062</v>
      </c>
      <c r="B1259" s="19">
        <v>1000334</v>
      </c>
      <c r="C1259" s="19" t="s">
        <v>129</v>
      </c>
      <c r="D1259" s="20" t="s">
        <v>1384</v>
      </c>
      <c r="E1259" s="21"/>
      <c r="F1259" s="22">
        <v>20000</v>
      </c>
      <c r="G1259" s="23"/>
      <c r="H1259" s="23">
        <v>20000</v>
      </c>
      <c r="I1259" s="23">
        <v>0</v>
      </c>
      <c r="J1259" s="23">
        <v>0</v>
      </c>
      <c r="K1259" s="24">
        <v>0</v>
      </c>
    </row>
    <row r="1260" spans="1:11" x14ac:dyDescent="0.25">
      <c r="A1260" s="11">
        <v>46062</v>
      </c>
      <c r="B1260" s="12">
        <v>1000334</v>
      </c>
      <c r="C1260" s="12" t="s">
        <v>129</v>
      </c>
      <c r="D1260" s="13" t="s">
        <v>1385</v>
      </c>
      <c r="E1260" s="14">
        <v>882</v>
      </c>
      <c r="F1260" s="15"/>
      <c r="G1260" s="16">
        <v>20000</v>
      </c>
      <c r="H1260" s="16">
        <v>0</v>
      </c>
      <c r="I1260" s="16">
        <v>0</v>
      </c>
      <c r="J1260" s="16">
        <v>0</v>
      </c>
      <c r="K1260" s="17">
        <v>0</v>
      </c>
    </row>
    <row r="1261" spans="1:11" x14ac:dyDescent="0.25">
      <c r="A1261" s="18">
        <v>46062</v>
      </c>
      <c r="B1261" s="19">
        <v>1000335</v>
      </c>
      <c r="C1261" s="19" t="s">
        <v>126</v>
      </c>
      <c r="D1261" s="20" t="s">
        <v>1385</v>
      </c>
      <c r="E1261" s="21">
        <v>1260</v>
      </c>
      <c r="F1261" s="22"/>
      <c r="G1261" s="23">
        <v>15000</v>
      </c>
      <c r="H1261" s="23">
        <v>0</v>
      </c>
      <c r="I1261" s="23">
        <v>15000</v>
      </c>
      <c r="J1261" s="23">
        <v>0</v>
      </c>
      <c r="K1261" s="24">
        <v>0</v>
      </c>
    </row>
    <row r="1262" spans="1:11" x14ac:dyDescent="0.25">
      <c r="A1262" s="11">
        <v>46062</v>
      </c>
      <c r="B1262" s="12">
        <v>1000335</v>
      </c>
      <c r="C1262" s="12" t="s">
        <v>126</v>
      </c>
      <c r="D1262" s="13" t="s">
        <v>1384</v>
      </c>
      <c r="E1262" s="14"/>
      <c r="F1262" s="15">
        <v>15000</v>
      </c>
      <c r="G1262" s="16"/>
      <c r="H1262" s="16">
        <v>0</v>
      </c>
      <c r="I1262" s="16">
        <v>0</v>
      </c>
      <c r="J1262" s="16">
        <v>0</v>
      </c>
      <c r="K1262" s="17">
        <v>0</v>
      </c>
    </row>
    <row r="1263" spans="1:11" x14ac:dyDescent="0.25">
      <c r="A1263" s="18">
        <v>46064</v>
      </c>
      <c r="B1263" s="19">
        <v>1000338</v>
      </c>
      <c r="C1263" s="19" t="s">
        <v>123</v>
      </c>
      <c r="D1263" s="20" t="s">
        <v>1384</v>
      </c>
      <c r="E1263" s="21"/>
      <c r="F1263" s="22">
        <v>15000</v>
      </c>
      <c r="G1263" s="23"/>
      <c r="H1263" s="23">
        <v>15000</v>
      </c>
      <c r="I1263" s="23">
        <v>0</v>
      </c>
      <c r="J1263" s="23">
        <v>0</v>
      </c>
      <c r="K1263" s="24">
        <v>0</v>
      </c>
    </row>
    <row r="1264" spans="1:11" x14ac:dyDescent="0.25">
      <c r="A1264" s="11">
        <v>46064</v>
      </c>
      <c r="B1264" s="12">
        <v>1000338</v>
      </c>
      <c r="C1264" s="12" t="s">
        <v>123</v>
      </c>
      <c r="D1264" s="13" t="s">
        <v>1385</v>
      </c>
      <c r="E1264" s="14">
        <v>1680</v>
      </c>
      <c r="F1264" s="15"/>
      <c r="G1264" s="16">
        <v>15000</v>
      </c>
      <c r="H1264" s="16">
        <v>0</v>
      </c>
      <c r="I1264" s="16">
        <v>0</v>
      </c>
      <c r="J1264" s="16">
        <v>0</v>
      </c>
      <c r="K1264" s="17">
        <v>0</v>
      </c>
    </row>
    <row r="1265" spans="1:11" x14ac:dyDescent="0.25">
      <c r="A1265" s="18">
        <v>46063</v>
      </c>
      <c r="B1265" s="19">
        <v>1000339</v>
      </c>
      <c r="C1265" s="19" t="s">
        <v>120</v>
      </c>
      <c r="D1265" s="20" t="s">
        <v>1385</v>
      </c>
      <c r="E1265" s="21">
        <v>1302</v>
      </c>
      <c r="F1265" s="22"/>
      <c r="G1265" s="23">
        <v>15000</v>
      </c>
      <c r="H1265" s="23">
        <v>0</v>
      </c>
      <c r="I1265" s="23">
        <v>15000</v>
      </c>
      <c r="J1265" s="23">
        <v>0</v>
      </c>
      <c r="K1265" s="24">
        <v>0</v>
      </c>
    </row>
    <row r="1266" spans="1:11" x14ac:dyDescent="0.25">
      <c r="A1266" s="11">
        <v>46063</v>
      </c>
      <c r="B1266" s="12">
        <v>1000339</v>
      </c>
      <c r="C1266" s="12" t="s">
        <v>120</v>
      </c>
      <c r="D1266" s="13" t="s">
        <v>1390</v>
      </c>
      <c r="E1266" s="14"/>
      <c r="F1266" s="15">
        <v>15000</v>
      </c>
      <c r="G1266" s="16"/>
      <c r="H1266" s="16">
        <v>0</v>
      </c>
      <c r="I1266" s="16">
        <v>0</v>
      </c>
      <c r="J1266" s="16">
        <v>0</v>
      </c>
      <c r="K1266" s="17">
        <v>0</v>
      </c>
    </row>
    <row r="1267" spans="1:11" x14ac:dyDescent="0.25">
      <c r="A1267" s="18">
        <v>46063</v>
      </c>
      <c r="B1267" s="19">
        <v>1000340</v>
      </c>
      <c r="C1267" s="19" t="s">
        <v>117</v>
      </c>
      <c r="D1267" s="20" t="s">
        <v>1385</v>
      </c>
      <c r="E1267" s="21">
        <v>651</v>
      </c>
      <c r="F1267" s="22"/>
      <c r="G1267" s="23">
        <v>15000</v>
      </c>
      <c r="H1267" s="23">
        <v>0</v>
      </c>
      <c r="I1267" s="23">
        <v>15000</v>
      </c>
      <c r="J1267" s="23">
        <v>0</v>
      </c>
      <c r="K1267" s="24">
        <v>0</v>
      </c>
    </row>
    <row r="1268" spans="1:11" x14ac:dyDescent="0.25">
      <c r="A1268" s="11">
        <v>46063</v>
      </c>
      <c r="B1268" s="12">
        <v>1000340</v>
      </c>
      <c r="C1268" s="12" t="s">
        <v>117</v>
      </c>
      <c r="D1268" s="13" t="s">
        <v>1390</v>
      </c>
      <c r="E1268" s="14"/>
      <c r="F1268" s="15">
        <v>15000</v>
      </c>
      <c r="G1268" s="16"/>
      <c r="H1268" s="16">
        <v>0</v>
      </c>
      <c r="I1268" s="16">
        <v>0</v>
      </c>
      <c r="J1268" s="16">
        <v>0</v>
      </c>
      <c r="K1268" s="17">
        <v>0</v>
      </c>
    </row>
    <row r="1269" spans="1:11" x14ac:dyDescent="0.25">
      <c r="A1269" s="18">
        <v>46063</v>
      </c>
      <c r="B1269" s="19">
        <v>1000341</v>
      </c>
      <c r="C1269" s="19" t="s">
        <v>114</v>
      </c>
      <c r="D1269" s="20" t="s">
        <v>1390</v>
      </c>
      <c r="E1269" s="21"/>
      <c r="F1269" s="22">
        <v>20000</v>
      </c>
      <c r="G1269" s="23"/>
      <c r="H1269" s="23">
        <v>20000</v>
      </c>
      <c r="I1269" s="23">
        <v>0</v>
      </c>
      <c r="J1269" s="23">
        <v>0</v>
      </c>
      <c r="K1269" s="24">
        <v>0</v>
      </c>
    </row>
    <row r="1270" spans="1:11" x14ac:dyDescent="0.25">
      <c r="A1270" s="11">
        <v>46063</v>
      </c>
      <c r="B1270" s="12">
        <v>1000341</v>
      </c>
      <c r="C1270" s="12" t="s">
        <v>114</v>
      </c>
      <c r="D1270" s="13" t="s">
        <v>1385</v>
      </c>
      <c r="E1270" s="14">
        <v>2450</v>
      </c>
      <c r="F1270" s="15"/>
      <c r="G1270" s="16">
        <v>20000</v>
      </c>
      <c r="H1270" s="16">
        <v>0</v>
      </c>
      <c r="I1270" s="16">
        <v>0</v>
      </c>
      <c r="J1270" s="16">
        <v>0</v>
      </c>
      <c r="K1270" s="17">
        <v>0</v>
      </c>
    </row>
    <row r="1271" spans="1:11" x14ac:dyDescent="0.25">
      <c r="A1271" s="18">
        <v>46064</v>
      </c>
      <c r="B1271" s="19">
        <v>1000342</v>
      </c>
      <c r="C1271" s="19" t="s">
        <v>110</v>
      </c>
      <c r="D1271" s="20" t="s">
        <v>1385</v>
      </c>
      <c r="E1271" s="21">
        <v>1575</v>
      </c>
      <c r="F1271" s="22"/>
      <c r="G1271" s="23">
        <v>15000</v>
      </c>
      <c r="H1271" s="23">
        <v>0</v>
      </c>
      <c r="I1271" s="23">
        <v>15000</v>
      </c>
      <c r="J1271" s="23">
        <v>0</v>
      </c>
      <c r="K1271" s="24">
        <v>0</v>
      </c>
    </row>
    <row r="1272" spans="1:11" x14ac:dyDescent="0.25">
      <c r="A1272" s="11">
        <v>46064</v>
      </c>
      <c r="B1272" s="12">
        <v>1000342</v>
      </c>
      <c r="C1272" s="12" t="s">
        <v>110</v>
      </c>
      <c r="D1272" s="13" t="s">
        <v>1384</v>
      </c>
      <c r="E1272" s="14"/>
      <c r="F1272" s="15">
        <v>15000</v>
      </c>
      <c r="G1272" s="16"/>
      <c r="H1272" s="16">
        <v>0</v>
      </c>
      <c r="I1272" s="16">
        <v>0</v>
      </c>
      <c r="J1272" s="16">
        <v>0</v>
      </c>
      <c r="K1272" s="17">
        <v>0</v>
      </c>
    </row>
    <row r="1273" spans="1:11" x14ac:dyDescent="0.25">
      <c r="A1273" s="18">
        <v>46065</v>
      </c>
      <c r="B1273" s="19">
        <v>1000343</v>
      </c>
      <c r="C1273" s="19" t="s">
        <v>107</v>
      </c>
      <c r="D1273" s="20" t="s">
        <v>1390</v>
      </c>
      <c r="E1273" s="21"/>
      <c r="F1273" s="22">
        <v>15000</v>
      </c>
      <c r="G1273" s="23"/>
      <c r="H1273" s="23">
        <v>15000</v>
      </c>
      <c r="I1273" s="23">
        <v>0</v>
      </c>
      <c r="J1273" s="23">
        <v>0</v>
      </c>
      <c r="K1273" s="24">
        <v>0</v>
      </c>
    </row>
    <row r="1274" spans="1:11" x14ac:dyDescent="0.25">
      <c r="A1274" s="11">
        <v>46065</v>
      </c>
      <c r="B1274" s="12">
        <v>1000343</v>
      </c>
      <c r="C1274" s="12" t="s">
        <v>107</v>
      </c>
      <c r="D1274" s="13" t="s">
        <v>1385</v>
      </c>
      <c r="E1274" s="14">
        <v>420</v>
      </c>
      <c r="F1274" s="15"/>
      <c r="G1274" s="16">
        <v>15000</v>
      </c>
      <c r="H1274" s="16">
        <v>0</v>
      </c>
      <c r="I1274" s="16">
        <v>0</v>
      </c>
      <c r="J1274" s="16">
        <v>0</v>
      </c>
      <c r="K1274" s="17">
        <v>0</v>
      </c>
    </row>
    <row r="1275" spans="1:11" x14ac:dyDescent="0.25">
      <c r="A1275" s="18">
        <v>46064</v>
      </c>
      <c r="B1275" s="19">
        <v>1000344</v>
      </c>
      <c r="C1275" s="19" t="s">
        <v>1442</v>
      </c>
      <c r="D1275" s="20" t="s">
        <v>1385</v>
      </c>
      <c r="E1275" s="21">
        <v>3290</v>
      </c>
      <c r="F1275" s="22"/>
      <c r="G1275" s="23">
        <v>15000</v>
      </c>
      <c r="H1275" s="23">
        <v>0</v>
      </c>
      <c r="I1275" s="23">
        <v>15000</v>
      </c>
      <c r="J1275" s="23">
        <v>0</v>
      </c>
      <c r="K1275" s="24">
        <v>0</v>
      </c>
    </row>
    <row r="1276" spans="1:11" x14ac:dyDescent="0.25">
      <c r="A1276" s="11">
        <v>46064</v>
      </c>
      <c r="B1276" s="12">
        <v>1000344</v>
      </c>
      <c r="C1276" s="12" t="s">
        <v>104</v>
      </c>
      <c r="D1276" s="13" t="s">
        <v>1390</v>
      </c>
      <c r="E1276" s="14"/>
      <c r="F1276" s="15">
        <v>30000</v>
      </c>
      <c r="G1276" s="16"/>
      <c r="H1276" s="16">
        <v>15000</v>
      </c>
      <c r="I1276" s="16">
        <v>0</v>
      </c>
      <c r="J1276" s="16">
        <v>0</v>
      </c>
      <c r="K1276" s="17">
        <v>0</v>
      </c>
    </row>
    <row r="1277" spans="1:11" x14ac:dyDescent="0.25">
      <c r="A1277" s="18">
        <v>46064</v>
      </c>
      <c r="B1277" s="19">
        <v>1000344</v>
      </c>
      <c r="C1277" s="19" t="s">
        <v>104</v>
      </c>
      <c r="D1277" s="20" t="s">
        <v>1385</v>
      </c>
      <c r="E1277" s="21">
        <v>3780</v>
      </c>
      <c r="F1277" s="22"/>
      <c r="G1277" s="23">
        <v>15000</v>
      </c>
      <c r="H1277" s="23">
        <v>0</v>
      </c>
      <c r="I1277" s="23">
        <v>0</v>
      </c>
      <c r="J1277" s="23">
        <v>0</v>
      </c>
      <c r="K1277" s="24">
        <v>0</v>
      </c>
    </row>
    <row r="1278" spans="1:11" x14ac:dyDescent="0.25">
      <c r="A1278" s="11">
        <v>46065</v>
      </c>
      <c r="B1278" s="12">
        <v>1000346</v>
      </c>
      <c r="C1278" s="12" t="s">
        <v>98</v>
      </c>
      <c r="D1278" s="13" t="s">
        <v>1390</v>
      </c>
      <c r="E1278" s="14"/>
      <c r="F1278" s="15">
        <v>15000</v>
      </c>
      <c r="G1278" s="16"/>
      <c r="H1278" s="16">
        <v>15000</v>
      </c>
      <c r="I1278" s="16">
        <v>0</v>
      </c>
      <c r="J1278" s="16">
        <v>0</v>
      </c>
      <c r="K1278" s="17">
        <v>0</v>
      </c>
    </row>
    <row r="1279" spans="1:11" x14ac:dyDescent="0.25">
      <c r="A1279" s="18">
        <v>46065</v>
      </c>
      <c r="B1279" s="19">
        <v>1000346</v>
      </c>
      <c r="C1279" s="19" t="s">
        <v>98</v>
      </c>
      <c r="D1279" s="20" t="s">
        <v>1385</v>
      </c>
      <c r="E1279" s="21">
        <v>2450</v>
      </c>
      <c r="F1279" s="22"/>
      <c r="G1279" s="23">
        <v>15000</v>
      </c>
      <c r="H1279" s="23">
        <v>0</v>
      </c>
      <c r="I1279" s="23">
        <v>0</v>
      </c>
      <c r="J1279" s="23">
        <v>0</v>
      </c>
      <c r="K1279" s="24">
        <v>0</v>
      </c>
    </row>
    <row r="1280" spans="1:11" x14ac:dyDescent="0.25">
      <c r="A1280" s="11">
        <v>46066</v>
      </c>
      <c r="B1280" s="12">
        <v>1000347</v>
      </c>
      <c r="C1280" s="12" t="s">
        <v>94</v>
      </c>
      <c r="D1280" s="13" t="s">
        <v>1384</v>
      </c>
      <c r="E1280" s="14"/>
      <c r="F1280" s="15">
        <v>20000</v>
      </c>
      <c r="G1280" s="16"/>
      <c r="H1280" s="16">
        <v>20000</v>
      </c>
      <c r="I1280" s="16">
        <v>0</v>
      </c>
      <c r="J1280" s="16">
        <v>0</v>
      </c>
      <c r="K1280" s="17">
        <v>0</v>
      </c>
    </row>
    <row r="1281" spans="1:11" x14ac:dyDescent="0.25">
      <c r="A1281" s="18">
        <v>46066</v>
      </c>
      <c r="B1281" s="19">
        <v>1000347</v>
      </c>
      <c r="C1281" s="19" t="s">
        <v>94</v>
      </c>
      <c r="D1281" s="20" t="s">
        <v>1385</v>
      </c>
      <c r="E1281" s="21">
        <v>2884</v>
      </c>
      <c r="F1281" s="22"/>
      <c r="G1281" s="23">
        <v>20000</v>
      </c>
      <c r="H1281" s="23">
        <v>0</v>
      </c>
      <c r="I1281" s="23">
        <v>0</v>
      </c>
      <c r="J1281" s="23">
        <v>0</v>
      </c>
      <c r="K1281" s="24">
        <v>0</v>
      </c>
    </row>
    <row r="1282" spans="1:11" x14ac:dyDescent="0.25">
      <c r="A1282" s="11">
        <v>46065</v>
      </c>
      <c r="B1282" s="12">
        <v>1000348</v>
      </c>
      <c r="C1282" s="12" t="s">
        <v>91</v>
      </c>
      <c r="D1282" s="13" t="s">
        <v>1385</v>
      </c>
      <c r="E1282" s="14">
        <v>560</v>
      </c>
      <c r="F1282" s="15"/>
      <c r="G1282" s="16">
        <v>15000</v>
      </c>
      <c r="H1282" s="16">
        <v>0</v>
      </c>
      <c r="I1282" s="16">
        <v>15000</v>
      </c>
      <c r="J1282" s="16">
        <v>0</v>
      </c>
      <c r="K1282" s="17">
        <v>15000</v>
      </c>
    </row>
    <row r="1283" spans="1:11" x14ac:dyDescent="0.25">
      <c r="A1283" s="18">
        <v>46066</v>
      </c>
      <c r="B1283" s="19">
        <v>1000350</v>
      </c>
      <c r="C1283" s="19" t="s">
        <v>82</v>
      </c>
      <c r="D1283" s="20" t="s">
        <v>1384</v>
      </c>
      <c r="E1283" s="21"/>
      <c r="F1283" s="22">
        <v>15000</v>
      </c>
      <c r="G1283" s="23"/>
      <c r="H1283" s="23">
        <v>15000</v>
      </c>
      <c r="I1283" s="23">
        <v>0</v>
      </c>
      <c r="J1283" s="23">
        <v>0</v>
      </c>
      <c r="K1283" s="24">
        <v>0</v>
      </c>
    </row>
    <row r="1284" spans="1:11" x14ac:dyDescent="0.25">
      <c r="A1284" s="11">
        <v>46069</v>
      </c>
      <c r="B1284" s="12">
        <v>1000350</v>
      </c>
      <c r="C1284" s="12" t="s">
        <v>82</v>
      </c>
      <c r="D1284" s="13" t="s">
        <v>1385</v>
      </c>
      <c r="E1284" s="14">
        <v>602</v>
      </c>
      <c r="F1284" s="15"/>
      <c r="G1284" s="16">
        <v>15000</v>
      </c>
      <c r="H1284" s="16">
        <v>0</v>
      </c>
      <c r="I1284" s="16">
        <v>0</v>
      </c>
      <c r="J1284" s="16">
        <v>0</v>
      </c>
      <c r="K1284" s="17">
        <v>0</v>
      </c>
    </row>
    <row r="1285" spans="1:11" x14ac:dyDescent="0.25">
      <c r="A1285" s="18">
        <v>46071</v>
      </c>
      <c r="B1285" s="19">
        <v>1000352</v>
      </c>
      <c r="C1285" s="19" t="s">
        <v>76</v>
      </c>
      <c r="D1285" s="20" t="s">
        <v>1385</v>
      </c>
      <c r="E1285" s="21">
        <v>1435</v>
      </c>
      <c r="F1285" s="22"/>
      <c r="G1285" s="23">
        <v>15000</v>
      </c>
      <c r="H1285" s="23">
        <v>0</v>
      </c>
      <c r="I1285" s="23">
        <v>15000</v>
      </c>
      <c r="J1285" s="23">
        <v>0</v>
      </c>
      <c r="K1285" s="24">
        <v>15000</v>
      </c>
    </row>
    <row r="1286" spans="1:11" x14ac:dyDescent="0.25">
      <c r="A1286" s="11">
        <v>46070</v>
      </c>
      <c r="B1286" s="12">
        <v>1000353</v>
      </c>
      <c r="C1286" s="12" t="s">
        <v>73</v>
      </c>
      <c r="D1286" s="13" t="s">
        <v>1384</v>
      </c>
      <c r="E1286" s="14"/>
      <c r="F1286" s="15">
        <v>15000</v>
      </c>
      <c r="G1286" s="16"/>
      <c r="H1286" s="16">
        <v>15000</v>
      </c>
      <c r="I1286" s="16">
        <v>0</v>
      </c>
      <c r="J1286" s="16">
        <v>0</v>
      </c>
      <c r="K1286" s="17">
        <v>0</v>
      </c>
    </row>
    <row r="1287" spans="1:11" x14ac:dyDescent="0.25">
      <c r="A1287" s="18">
        <v>46071</v>
      </c>
      <c r="B1287" s="19">
        <v>1000353</v>
      </c>
      <c r="C1287" s="19" t="s">
        <v>73</v>
      </c>
      <c r="D1287" s="20" t="s">
        <v>1385</v>
      </c>
      <c r="E1287" s="21">
        <v>2800</v>
      </c>
      <c r="F1287" s="22"/>
      <c r="G1287" s="23">
        <v>15000</v>
      </c>
      <c r="H1287" s="23">
        <v>0</v>
      </c>
      <c r="I1287" s="23">
        <v>0</v>
      </c>
      <c r="J1287" s="23">
        <v>0</v>
      </c>
      <c r="K1287" s="24">
        <v>0</v>
      </c>
    </row>
    <row r="1288" spans="1:11" x14ac:dyDescent="0.25">
      <c r="A1288" s="11">
        <v>46070</v>
      </c>
      <c r="B1288" s="12">
        <v>1000354</v>
      </c>
      <c r="C1288" s="12" t="s">
        <v>70</v>
      </c>
      <c r="D1288" s="13" t="s">
        <v>1384</v>
      </c>
      <c r="E1288" s="14"/>
      <c r="F1288" s="15">
        <v>15000</v>
      </c>
      <c r="G1288" s="16"/>
      <c r="H1288" s="16">
        <v>15000</v>
      </c>
      <c r="I1288" s="16">
        <v>0</v>
      </c>
      <c r="J1288" s="16">
        <v>15000</v>
      </c>
      <c r="K1288" s="17">
        <v>0</v>
      </c>
    </row>
    <row r="1289" spans="1:11" x14ac:dyDescent="0.25">
      <c r="A1289" s="18">
        <v>46071</v>
      </c>
      <c r="B1289" s="19">
        <v>1000355</v>
      </c>
      <c r="C1289" s="19" t="s">
        <v>1443</v>
      </c>
      <c r="D1289" s="20" t="s">
        <v>1385</v>
      </c>
      <c r="E1289" s="21">
        <v>560</v>
      </c>
      <c r="F1289" s="22"/>
      <c r="G1289" s="23">
        <v>0</v>
      </c>
      <c r="H1289" s="23">
        <v>0</v>
      </c>
      <c r="I1289" s="23">
        <v>0</v>
      </c>
      <c r="J1289" s="23">
        <v>0</v>
      </c>
      <c r="K1289" s="24">
        <v>0</v>
      </c>
    </row>
    <row r="1290" spans="1:11" x14ac:dyDescent="0.25">
      <c r="A1290" s="11">
        <v>46071</v>
      </c>
      <c r="B1290" s="12">
        <v>1000355</v>
      </c>
      <c r="C1290" s="12" t="s">
        <v>67</v>
      </c>
      <c r="D1290" s="13" t="s">
        <v>1384</v>
      </c>
      <c r="E1290" s="14"/>
      <c r="F1290" s="15">
        <v>26000</v>
      </c>
      <c r="G1290" s="16"/>
      <c r="H1290" s="16">
        <v>26000</v>
      </c>
      <c r="I1290" s="16">
        <v>0</v>
      </c>
      <c r="J1290" s="16">
        <v>0</v>
      </c>
      <c r="K1290" s="17">
        <v>0</v>
      </c>
    </row>
    <row r="1291" spans="1:11" x14ac:dyDescent="0.25">
      <c r="A1291" s="18">
        <v>46071</v>
      </c>
      <c r="B1291" s="19">
        <v>1000355</v>
      </c>
      <c r="C1291" s="19" t="s">
        <v>67</v>
      </c>
      <c r="D1291" s="20" t="s">
        <v>1385</v>
      </c>
      <c r="E1291" s="21">
        <v>910</v>
      </c>
      <c r="F1291" s="22"/>
      <c r="G1291" s="23">
        <v>0</v>
      </c>
      <c r="H1291" s="23">
        <v>26000</v>
      </c>
      <c r="I1291" s="23">
        <v>0</v>
      </c>
      <c r="J1291" s="23">
        <v>26000</v>
      </c>
      <c r="K1291" s="24">
        <v>0</v>
      </c>
    </row>
    <row r="1292" spans="1:11" x14ac:dyDescent="0.25">
      <c r="A1292" s="11">
        <v>46039</v>
      </c>
      <c r="B1292" s="12"/>
      <c r="C1292" s="12" t="s">
        <v>207</v>
      </c>
      <c r="D1292" s="13"/>
      <c r="E1292" s="14"/>
      <c r="F1292" s="15">
        <v>0</v>
      </c>
      <c r="G1292" s="16"/>
      <c r="H1292" s="16">
        <v>0</v>
      </c>
      <c r="I1292" s="16">
        <v>0</v>
      </c>
      <c r="J1292" s="16">
        <v>0</v>
      </c>
      <c r="K1292" s="17">
        <v>0</v>
      </c>
    </row>
    <row r="1293" spans="1:11" x14ac:dyDescent="0.25">
      <c r="A1293" s="18">
        <v>46053</v>
      </c>
      <c r="B1293" s="19"/>
      <c r="C1293" s="19"/>
      <c r="D1293" s="20" t="s">
        <v>1390</v>
      </c>
      <c r="E1293" s="21"/>
      <c r="F1293" s="22">
        <v>127500</v>
      </c>
      <c r="G1293" s="23"/>
      <c r="H1293" s="23">
        <v>0</v>
      </c>
      <c r="I1293" s="23">
        <v>0</v>
      </c>
      <c r="J1293" s="23">
        <v>0</v>
      </c>
      <c r="K1293" s="24">
        <v>0</v>
      </c>
    </row>
    <row r="1294" spans="1:11" x14ac:dyDescent="0.25">
      <c r="A1294" s="11">
        <v>46053</v>
      </c>
      <c r="B1294" s="12"/>
      <c r="C1294" s="12"/>
      <c r="D1294" s="13" t="s">
        <v>1390</v>
      </c>
      <c r="E1294" s="14"/>
      <c r="F1294" s="15">
        <v>127500</v>
      </c>
      <c r="G1294" s="16"/>
      <c r="H1294" s="16">
        <v>0</v>
      </c>
      <c r="I1294" s="16">
        <v>0</v>
      </c>
      <c r="J1294" s="16">
        <v>0</v>
      </c>
      <c r="K1294" s="17">
        <v>0</v>
      </c>
    </row>
    <row r="1295" spans="1:11" x14ac:dyDescent="0.25">
      <c r="A1295" s="18">
        <v>46053</v>
      </c>
      <c r="B1295" s="19"/>
      <c r="C1295" s="19"/>
      <c r="D1295" s="20" t="s">
        <v>1384</v>
      </c>
      <c r="E1295" s="21"/>
      <c r="F1295" s="22">
        <v>0</v>
      </c>
      <c r="G1295" s="23"/>
      <c r="H1295" s="23">
        <v>0</v>
      </c>
      <c r="I1295" s="23">
        <v>0</v>
      </c>
      <c r="J1295" s="23">
        <v>0</v>
      </c>
      <c r="K1295" s="24">
        <v>0</v>
      </c>
    </row>
    <row r="1296" spans="1:11" x14ac:dyDescent="0.25">
      <c r="A1296" s="11">
        <v>46053</v>
      </c>
      <c r="B1296" s="12"/>
      <c r="C1296" s="12"/>
      <c r="D1296" s="13" t="s">
        <v>1384</v>
      </c>
      <c r="E1296" s="14"/>
      <c r="F1296" s="15">
        <v>0</v>
      </c>
      <c r="G1296" s="16"/>
      <c r="H1296" s="16">
        <v>0</v>
      </c>
      <c r="I1296" s="16">
        <v>0</v>
      </c>
      <c r="J1296" s="16">
        <v>0</v>
      </c>
      <c r="K1296" s="17">
        <v>0</v>
      </c>
    </row>
    <row r="1297" spans="1:11" x14ac:dyDescent="0.25">
      <c r="A1297" s="18">
        <v>46053</v>
      </c>
      <c r="B1297" s="19"/>
      <c r="C1297" s="19"/>
      <c r="D1297" s="20" t="s">
        <v>1390</v>
      </c>
      <c r="E1297" s="21"/>
      <c r="F1297" s="22">
        <v>127500</v>
      </c>
      <c r="G1297" s="23"/>
      <c r="H1297" s="23">
        <v>0</v>
      </c>
      <c r="I1297" s="23">
        <v>0</v>
      </c>
      <c r="J1297" s="23">
        <v>0</v>
      </c>
      <c r="K1297" s="24">
        <v>0</v>
      </c>
    </row>
    <row r="1298" spans="1:11" x14ac:dyDescent="0.25">
      <c r="A1298" s="11">
        <v>46053</v>
      </c>
      <c r="B1298" s="12"/>
      <c r="C1298" s="12"/>
      <c r="D1298" s="13" t="s">
        <v>1390</v>
      </c>
      <c r="E1298" s="14"/>
      <c r="F1298" s="15">
        <v>127500</v>
      </c>
      <c r="G1298" s="16"/>
      <c r="H1298" s="16">
        <v>0</v>
      </c>
      <c r="I1298" s="16">
        <v>0</v>
      </c>
      <c r="J1298" s="16">
        <v>0</v>
      </c>
      <c r="K1298" s="17">
        <v>0</v>
      </c>
    </row>
    <row r="1299" spans="1:11" x14ac:dyDescent="0.25">
      <c r="A1299" s="18">
        <v>46053</v>
      </c>
      <c r="B1299" s="19"/>
      <c r="C1299" s="19"/>
      <c r="D1299" s="20" t="s">
        <v>1384</v>
      </c>
      <c r="E1299" s="21"/>
      <c r="F1299" s="22">
        <v>0</v>
      </c>
      <c r="G1299" s="23"/>
      <c r="H1299" s="23">
        <v>0</v>
      </c>
      <c r="I1299" s="23">
        <v>0</v>
      </c>
      <c r="J1299" s="23">
        <v>0</v>
      </c>
      <c r="K1299" s="24">
        <v>0</v>
      </c>
    </row>
    <row r="1300" spans="1:11" x14ac:dyDescent="0.25">
      <c r="A1300" s="11">
        <v>46053</v>
      </c>
      <c r="B1300" s="12"/>
      <c r="C1300" s="12"/>
      <c r="D1300" s="13" t="s">
        <v>1384</v>
      </c>
      <c r="E1300" s="14"/>
      <c r="F1300" s="15">
        <v>0</v>
      </c>
      <c r="G1300" s="16"/>
      <c r="H1300" s="16">
        <v>0</v>
      </c>
      <c r="I1300" s="16">
        <v>0</v>
      </c>
      <c r="J1300" s="16">
        <v>0</v>
      </c>
      <c r="K1300" s="17">
        <v>0</v>
      </c>
    </row>
    <row r="1301" spans="1:11" x14ac:dyDescent="0.25">
      <c r="A1301" s="18">
        <v>46053</v>
      </c>
      <c r="B1301" s="19"/>
      <c r="C1301" s="19"/>
      <c r="D1301" s="20" t="s">
        <v>1390</v>
      </c>
      <c r="E1301" s="21"/>
      <c r="F1301" s="22">
        <v>127500</v>
      </c>
      <c r="G1301" s="23"/>
      <c r="H1301" s="23">
        <v>0</v>
      </c>
      <c r="I1301" s="23">
        <v>0</v>
      </c>
      <c r="J1301" s="23">
        <v>0</v>
      </c>
      <c r="K1301" s="24">
        <v>0</v>
      </c>
    </row>
    <row r="1302" spans="1:11" x14ac:dyDescent="0.25">
      <c r="A1302" s="11">
        <v>46053</v>
      </c>
      <c r="B1302" s="12"/>
      <c r="C1302" s="12"/>
      <c r="D1302" s="13" t="s">
        <v>1384</v>
      </c>
      <c r="E1302" s="14"/>
      <c r="F1302" s="15">
        <v>0</v>
      </c>
      <c r="G1302" s="16"/>
      <c r="H1302" s="16">
        <v>0</v>
      </c>
      <c r="I1302" s="16">
        <v>0</v>
      </c>
      <c r="J1302" s="16">
        <v>0</v>
      </c>
      <c r="K1302" s="17">
        <v>0</v>
      </c>
    </row>
    <row r="1303" spans="1:11" x14ac:dyDescent="0.25">
      <c r="A1303" s="18">
        <v>46053</v>
      </c>
      <c r="B1303" s="19"/>
      <c r="C1303" s="19"/>
      <c r="D1303" s="20" t="s">
        <v>1384</v>
      </c>
      <c r="E1303" s="21"/>
      <c r="F1303" s="22">
        <v>0</v>
      </c>
      <c r="G1303" s="23"/>
      <c r="H1303" s="23">
        <v>0</v>
      </c>
      <c r="I1303" s="23">
        <v>0</v>
      </c>
      <c r="J1303" s="23">
        <v>0</v>
      </c>
      <c r="K1303" s="24">
        <v>0</v>
      </c>
    </row>
    <row r="1304" spans="1:11" x14ac:dyDescent="0.25">
      <c r="A1304" s="11">
        <v>46053</v>
      </c>
      <c r="B1304" s="12"/>
      <c r="C1304" s="12"/>
      <c r="D1304" s="13" t="s">
        <v>1390</v>
      </c>
      <c r="E1304" s="14"/>
      <c r="F1304" s="15">
        <v>127500</v>
      </c>
      <c r="G1304" s="16"/>
      <c r="H1304" s="16">
        <v>0</v>
      </c>
      <c r="I1304" s="16">
        <v>0</v>
      </c>
      <c r="J1304" s="16">
        <v>0</v>
      </c>
      <c r="K1304" s="17">
        <v>0</v>
      </c>
    </row>
    <row r="1305" spans="1:11" x14ac:dyDescent="0.25">
      <c r="A1305" s="18">
        <v>46053</v>
      </c>
      <c r="B1305" s="19"/>
      <c r="C1305" s="19"/>
      <c r="D1305" s="20" t="s">
        <v>1384</v>
      </c>
      <c r="E1305" s="21"/>
      <c r="F1305" s="22">
        <v>0</v>
      </c>
      <c r="G1305" s="23"/>
      <c r="H1305" s="23">
        <v>0</v>
      </c>
      <c r="I1305" s="23">
        <v>0</v>
      </c>
      <c r="J1305" s="23">
        <v>0</v>
      </c>
      <c r="K1305" s="24">
        <v>0</v>
      </c>
    </row>
    <row r="1306" spans="1:11" x14ac:dyDescent="0.25">
      <c r="A1306" s="11">
        <v>46053</v>
      </c>
      <c r="B1306" s="12"/>
      <c r="C1306" s="12"/>
      <c r="D1306" s="13" t="s">
        <v>1390</v>
      </c>
      <c r="E1306" s="14"/>
      <c r="F1306" s="15">
        <v>127500</v>
      </c>
      <c r="G1306" s="16"/>
      <c r="H1306" s="16">
        <v>0</v>
      </c>
      <c r="I1306" s="16">
        <v>0</v>
      </c>
      <c r="J1306" s="16">
        <v>0</v>
      </c>
      <c r="K1306" s="17">
        <v>0</v>
      </c>
    </row>
    <row r="1307" spans="1:11" x14ac:dyDescent="0.25">
      <c r="A1307" s="18">
        <v>46055</v>
      </c>
      <c r="B1307" s="19"/>
      <c r="C1307" s="19" t="s">
        <v>1444</v>
      </c>
      <c r="D1307" s="20"/>
      <c r="E1307" s="21"/>
      <c r="F1307" s="22"/>
      <c r="G1307" s="23"/>
      <c r="H1307" s="23">
        <v>0</v>
      </c>
      <c r="I1307" s="23">
        <v>0</v>
      </c>
      <c r="J1307" s="23">
        <v>0</v>
      </c>
      <c r="K1307" s="24">
        <v>0</v>
      </c>
    </row>
    <row r="1308" spans="1:11" x14ac:dyDescent="0.25">
      <c r="A1308" s="11">
        <v>46070</v>
      </c>
      <c r="B1308" s="12"/>
      <c r="C1308" s="12" t="s">
        <v>1445</v>
      </c>
      <c r="D1308" s="13" t="s">
        <v>1446</v>
      </c>
      <c r="E1308" s="14">
        <v>0</v>
      </c>
      <c r="F1308" s="15"/>
      <c r="G1308" s="16"/>
      <c r="H1308" s="16">
        <v>0</v>
      </c>
      <c r="I1308" s="16">
        <v>0</v>
      </c>
      <c r="J1308" s="16">
        <v>0</v>
      </c>
      <c r="K1308" s="17">
        <v>0</v>
      </c>
    </row>
    <row r="1309" spans="1:11" ht="15.75" thickBot="1" x14ac:dyDescent="0.3">
      <c r="A1309" s="18">
        <v>46070</v>
      </c>
      <c r="B1309" s="19"/>
      <c r="C1309" s="19" t="s">
        <v>1447</v>
      </c>
      <c r="D1309" s="20" t="s">
        <v>1446</v>
      </c>
      <c r="E1309" s="21">
        <v>0</v>
      </c>
      <c r="F1309" s="22"/>
      <c r="G1309" s="23"/>
      <c r="H1309" s="23">
        <v>0</v>
      </c>
      <c r="I1309" s="23">
        <v>0</v>
      </c>
      <c r="J1309" s="23">
        <v>0</v>
      </c>
      <c r="K1309" s="24">
        <v>0</v>
      </c>
    </row>
    <row r="1310" spans="1:11" ht="15.75" thickTop="1" x14ac:dyDescent="0.25">
      <c r="A1310" s="4" t="s">
        <v>0</v>
      </c>
      <c r="B1310" s="5"/>
      <c r="C1310" s="5"/>
      <c r="D1310" s="5"/>
      <c r="E1310" s="5"/>
      <c r="F1310" s="25">
        <v>78794011</v>
      </c>
      <c r="G1310" s="25"/>
      <c r="H1310" s="25"/>
      <c r="I1310" s="25"/>
      <c r="J1310" s="25">
        <v>2555715</v>
      </c>
      <c r="K1310" s="26">
        <v>18155199</v>
      </c>
    </row>
  </sheetData>
  <autoFilter ref="A1:K1310" xr:uid="{FF9DBA51-6935-445F-A4D4-4E1ED2D7E29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10C52-56F1-43E4-8575-96F530EE20DB}">
  <dimension ref="A3:F274"/>
  <sheetViews>
    <sheetView topLeftCell="A239" workbookViewId="0">
      <selection activeCell="K1310" sqref="K1310"/>
    </sheetView>
  </sheetViews>
  <sheetFormatPr baseColWidth="10" defaultRowHeight="15" x14ac:dyDescent="0.25"/>
  <cols>
    <col min="1" max="1" width="17.85546875" bestFit="1" customWidth="1"/>
    <col min="2" max="2" width="22.7109375" bestFit="1" customWidth="1"/>
    <col min="4" max="4" width="17.85546875" bestFit="1" customWidth="1"/>
    <col min="5" max="5" width="23" bestFit="1" customWidth="1"/>
  </cols>
  <sheetData>
    <row r="3" spans="1:6" x14ac:dyDescent="0.25">
      <c r="A3" s="27" t="s">
        <v>1448</v>
      </c>
      <c r="B3" t="s">
        <v>1451</v>
      </c>
      <c r="D3" s="27" t="s">
        <v>1448</v>
      </c>
      <c r="E3" t="s">
        <v>1450</v>
      </c>
    </row>
    <row r="4" spans="1:6" x14ac:dyDescent="0.25">
      <c r="A4" s="28">
        <v>320</v>
      </c>
      <c r="B4" s="3">
        <v>314800</v>
      </c>
      <c r="D4" s="28">
        <v>36</v>
      </c>
      <c r="E4" s="3">
        <v>2741575</v>
      </c>
      <c r="F4">
        <f>VLOOKUP(D4,'Clientes activos'!$C:$C,1,FALSE)</f>
        <v>36</v>
      </c>
    </row>
    <row r="5" spans="1:6" x14ac:dyDescent="0.25">
      <c r="A5" s="28">
        <v>226</v>
      </c>
      <c r="B5" s="3">
        <v>305000</v>
      </c>
      <c r="D5" s="28">
        <v>69</v>
      </c>
      <c r="E5" s="3">
        <v>799000</v>
      </c>
      <c r="F5">
        <f>VLOOKUP(D5,'Clientes activos'!$C:$C,1,FALSE)</f>
        <v>69</v>
      </c>
    </row>
    <row r="6" spans="1:6" x14ac:dyDescent="0.25">
      <c r="A6" s="28">
        <v>241</v>
      </c>
      <c r="B6" s="3">
        <v>252000</v>
      </c>
      <c r="D6" s="28">
        <v>75</v>
      </c>
      <c r="E6" s="3">
        <v>678200</v>
      </c>
      <c r="F6">
        <f>VLOOKUP(D6,'Clientes activos'!$C:$C,1,FALSE)</f>
        <v>75</v>
      </c>
    </row>
    <row r="7" spans="1:6" x14ac:dyDescent="0.25">
      <c r="A7" s="28">
        <v>297</v>
      </c>
      <c r="B7" s="3">
        <v>206000</v>
      </c>
      <c r="D7" s="28">
        <v>250</v>
      </c>
      <c r="E7" s="3">
        <v>640000</v>
      </c>
      <c r="F7">
        <f>VLOOKUP(D7,'Clientes activos'!$C:$C,1,FALSE)</f>
        <v>250</v>
      </c>
    </row>
    <row r="8" spans="1:6" x14ac:dyDescent="0.25">
      <c r="A8" s="28">
        <v>118</v>
      </c>
      <c r="B8" s="3">
        <v>199900</v>
      </c>
      <c r="D8" s="28">
        <v>278</v>
      </c>
      <c r="E8" s="3">
        <v>544000</v>
      </c>
      <c r="F8">
        <f>VLOOKUP(D8,'Clientes activos'!$C:$C,1,FALSE)</f>
        <v>278</v>
      </c>
    </row>
    <row r="9" spans="1:6" x14ac:dyDescent="0.25">
      <c r="A9" s="28">
        <v>222</v>
      </c>
      <c r="B9" s="3">
        <v>152100</v>
      </c>
      <c r="D9" s="28">
        <v>87</v>
      </c>
      <c r="E9" s="3">
        <v>469986</v>
      </c>
      <c r="F9">
        <f>VLOOKUP(D9,'Clientes activos'!$C:$C,1,FALSE)</f>
        <v>87</v>
      </c>
    </row>
    <row r="10" spans="1:6" x14ac:dyDescent="0.25">
      <c r="A10" s="28">
        <v>71</v>
      </c>
      <c r="B10" s="3">
        <v>131800</v>
      </c>
      <c r="D10" s="28">
        <v>214</v>
      </c>
      <c r="E10" s="3">
        <v>425000</v>
      </c>
      <c r="F10">
        <f>VLOOKUP(D10,'Clientes activos'!$C:$C,1,FALSE)</f>
        <v>214</v>
      </c>
    </row>
    <row r="11" spans="1:6" x14ac:dyDescent="0.25">
      <c r="A11" s="28">
        <v>179</v>
      </c>
      <c r="B11" s="3">
        <v>108000</v>
      </c>
      <c r="D11" s="28">
        <v>126</v>
      </c>
      <c r="E11" s="3">
        <v>421200</v>
      </c>
      <c r="F11">
        <f>VLOOKUP(D11,'Clientes activos'!$C:$C,1,FALSE)</f>
        <v>126</v>
      </c>
    </row>
    <row r="12" spans="1:6" x14ac:dyDescent="0.25">
      <c r="A12" s="28">
        <v>175</v>
      </c>
      <c r="B12" s="3">
        <v>107600</v>
      </c>
      <c r="D12" s="28">
        <v>63</v>
      </c>
      <c r="E12" s="3">
        <v>375200</v>
      </c>
      <c r="F12">
        <f>VLOOKUP(D12,'Clientes activos'!$C:$C,1,FALSE)</f>
        <v>63</v>
      </c>
    </row>
    <row r="13" spans="1:6" x14ac:dyDescent="0.25">
      <c r="A13" s="28">
        <v>72</v>
      </c>
      <c r="B13" s="3">
        <v>107400</v>
      </c>
      <c r="D13" s="28">
        <v>194</v>
      </c>
      <c r="E13" s="3">
        <v>347983</v>
      </c>
      <c r="F13">
        <f>VLOOKUP(D13,'Clientes activos'!$C:$C,1,FALSE)</f>
        <v>194</v>
      </c>
    </row>
    <row r="14" spans="1:6" x14ac:dyDescent="0.25">
      <c r="A14" s="28">
        <v>207</v>
      </c>
      <c r="B14" s="3">
        <v>105000</v>
      </c>
      <c r="D14" s="28">
        <v>158</v>
      </c>
      <c r="E14" s="3">
        <v>345000</v>
      </c>
      <c r="F14">
        <f>VLOOKUP(D14,'Clientes activos'!$C:$C,1,FALSE)</f>
        <v>158</v>
      </c>
    </row>
    <row r="15" spans="1:6" x14ac:dyDescent="0.25">
      <c r="A15" s="28">
        <v>269</v>
      </c>
      <c r="B15" s="3">
        <v>75000</v>
      </c>
      <c r="D15" s="28">
        <v>150</v>
      </c>
      <c r="E15" s="3">
        <v>342750</v>
      </c>
      <c r="F15">
        <f>VLOOKUP(D15,'Clientes activos'!$C:$C,1,FALSE)</f>
        <v>150</v>
      </c>
    </row>
    <row r="16" spans="1:6" x14ac:dyDescent="0.25">
      <c r="A16" s="28">
        <v>154</v>
      </c>
      <c r="B16" s="3">
        <v>75000</v>
      </c>
      <c r="D16" s="28">
        <v>18</v>
      </c>
      <c r="E16" s="3">
        <v>324000</v>
      </c>
      <c r="F16">
        <f>VLOOKUP(D16,'Clientes activos'!$C:$C,1,FALSE)</f>
        <v>18</v>
      </c>
    </row>
    <row r="17" spans="1:6" x14ac:dyDescent="0.25">
      <c r="A17" s="28">
        <v>107</v>
      </c>
      <c r="B17" s="3">
        <v>71080</v>
      </c>
      <c r="D17" s="28">
        <v>15</v>
      </c>
      <c r="E17" s="3">
        <v>304200</v>
      </c>
      <c r="F17">
        <f>VLOOKUP(D17,'Clientes activos'!$C:$C,1,FALSE)</f>
        <v>15</v>
      </c>
    </row>
    <row r="18" spans="1:6" x14ac:dyDescent="0.25">
      <c r="A18" s="28">
        <v>114</v>
      </c>
      <c r="B18" s="3">
        <v>55400</v>
      </c>
      <c r="D18" s="28">
        <v>186</v>
      </c>
      <c r="E18" s="3">
        <v>282000</v>
      </c>
      <c r="F18">
        <f>VLOOKUP(D18,'Clientes activos'!$C:$C,1,FALSE)</f>
        <v>186</v>
      </c>
    </row>
    <row r="19" spans="1:6" x14ac:dyDescent="0.25">
      <c r="A19" s="28">
        <v>331</v>
      </c>
      <c r="B19" s="3">
        <v>54750</v>
      </c>
      <c r="D19" s="28">
        <v>288</v>
      </c>
      <c r="E19" s="3">
        <v>270000</v>
      </c>
      <c r="F19">
        <f>VLOOKUP(D19,'Clientes activos'!$C:$C,1,FALSE)</f>
        <v>288</v>
      </c>
    </row>
    <row r="20" spans="1:6" x14ac:dyDescent="0.25">
      <c r="A20" s="28">
        <v>77</v>
      </c>
      <c r="B20" s="3">
        <v>47000</v>
      </c>
      <c r="D20" s="28">
        <v>198</v>
      </c>
      <c r="E20" s="3">
        <v>263034</v>
      </c>
      <c r="F20">
        <f>VLOOKUP(D20,'Clientes activos'!$C:$C,1,FALSE)</f>
        <v>198</v>
      </c>
    </row>
    <row r="21" spans="1:6" x14ac:dyDescent="0.25">
      <c r="A21" s="28">
        <v>22</v>
      </c>
      <c r="B21" s="3">
        <v>30001</v>
      </c>
      <c r="D21" s="28">
        <v>5</v>
      </c>
      <c r="E21" s="3">
        <v>258950</v>
      </c>
      <c r="F21">
        <f>VLOOKUP(D21,'Clientes activos'!$C:$C,1,FALSE)</f>
        <v>5</v>
      </c>
    </row>
    <row r="22" spans="1:6" x14ac:dyDescent="0.25">
      <c r="A22" s="28">
        <v>1000355</v>
      </c>
      <c r="B22" s="3">
        <v>26000</v>
      </c>
      <c r="D22" s="28">
        <v>43</v>
      </c>
      <c r="E22" s="3">
        <v>256500</v>
      </c>
      <c r="F22">
        <f>VLOOKUP(D22,'Clientes activos'!$C:$C,1,FALSE)</f>
        <v>43</v>
      </c>
    </row>
    <row r="23" spans="1:6" x14ac:dyDescent="0.25">
      <c r="A23" s="28">
        <v>35</v>
      </c>
      <c r="B23" s="3">
        <v>21000</v>
      </c>
      <c r="D23" s="28">
        <v>31</v>
      </c>
      <c r="E23" s="3">
        <v>250000</v>
      </c>
      <c r="F23">
        <f>VLOOKUP(D23,'Clientes activos'!$C:$C,1,FALSE)</f>
        <v>31</v>
      </c>
    </row>
    <row r="24" spans="1:6" x14ac:dyDescent="0.25">
      <c r="A24" s="28">
        <v>313</v>
      </c>
      <c r="B24" s="3">
        <v>20000</v>
      </c>
      <c r="D24" s="28">
        <v>73</v>
      </c>
      <c r="E24" s="3">
        <v>238800</v>
      </c>
      <c r="F24">
        <f>VLOOKUP(D24,'Clientes activos'!$C:$C,1,FALSE)</f>
        <v>73</v>
      </c>
    </row>
    <row r="25" spans="1:6" x14ac:dyDescent="0.25">
      <c r="A25" s="28">
        <v>317</v>
      </c>
      <c r="B25" s="3">
        <v>20000</v>
      </c>
      <c r="D25" s="28">
        <v>284</v>
      </c>
      <c r="E25" s="3">
        <v>223200</v>
      </c>
      <c r="F25">
        <f>VLOOKUP(D25,'Clientes activos'!$C:$C,1,FALSE)</f>
        <v>284</v>
      </c>
    </row>
    <row r="26" spans="1:6" x14ac:dyDescent="0.25">
      <c r="A26" s="28">
        <v>84</v>
      </c>
      <c r="B26" s="3">
        <v>17162</v>
      </c>
      <c r="D26" s="28">
        <v>320</v>
      </c>
      <c r="E26" s="3">
        <v>221702</v>
      </c>
      <c r="F26">
        <f>VLOOKUP(D26,'Clientes activos'!$C:$C,1,FALSE)</f>
        <v>320</v>
      </c>
    </row>
    <row r="27" spans="1:6" x14ac:dyDescent="0.25">
      <c r="A27" s="28">
        <v>1000354</v>
      </c>
      <c r="B27" s="3">
        <v>15000</v>
      </c>
      <c r="D27" s="28">
        <v>256</v>
      </c>
      <c r="E27" s="3">
        <v>218700</v>
      </c>
      <c r="F27">
        <f>VLOOKUP(D27,'Clientes activos'!$C:$C,1,FALSE)</f>
        <v>256</v>
      </c>
    </row>
    <row r="28" spans="1:6" x14ac:dyDescent="0.25">
      <c r="A28" s="28">
        <v>24</v>
      </c>
      <c r="B28" s="3">
        <v>12000</v>
      </c>
      <c r="D28" s="28">
        <v>182</v>
      </c>
      <c r="E28" s="3">
        <v>217000</v>
      </c>
      <c r="F28">
        <f>VLOOKUP(D28,'Clientes activos'!$C:$C,1,FALSE)</f>
        <v>182</v>
      </c>
    </row>
    <row r="29" spans="1:6" x14ac:dyDescent="0.25">
      <c r="A29" s="28">
        <v>127</v>
      </c>
      <c r="B29" s="3">
        <v>6750</v>
      </c>
      <c r="D29" s="28">
        <v>83</v>
      </c>
      <c r="E29" s="3">
        <v>216000</v>
      </c>
      <c r="F29">
        <f>VLOOKUP(D29,'Clientes activos'!$C:$C,1,FALSE)</f>
        <v>83</v>
      </c>
    </row>
    <row r="30" spans="1:6" x14ac:dyDescent="0.25">
      <c r="A30" s="28">
        <v>211</v>
      </c>
      <c r="B30" s="3">
        <v>6500</v>
      </c>
      <c r="D30" s="28">
        <v>116</v>
      </c>
      <c r="E30" s="3">
        <v>216000</v>
      </c>
      <c r="F30">
        <f>VLOOKUP(D30,'Clientes activos'!$C:$C,1,FALSE)</f>
        <v>116</v>
      </c>
    </row>
    <row r="31" spans="1:6" x14ac:dyDescent="0.25">
      <c r="A31" s="28">
        <v>199</v>
      </c>
      <c r="B31" s="3">
        <v>6200</v>
      </c>
      <c r="D31" s="28">
        <v>61</v>
      </c>
      <c r="E31" s="3">
        <v>210600</v>
      </c>
      <c r="F31">
        <f>VLOOKUP(D31,'Clientes activos'!$C:$C,1,FALSE)</f>
        <v>61</v>
      </c>
    </row>
    <row r="32" spans="1:6" x14ac:dyDescent="0.25">
      <c r="A32" s="28">
        <v>103</v>
      </c>
      <c r="B32" s="3">
        <v>3260</v>
      </c>
      <c r="D32" s="28">
        <v>279</v>
      </c>
      <c r="E32" s="3">
        <v>195000</v>
      </c>
      <c r="F32">
        <f>VLOOKUP(D32,'Clientes activos'!$C:$C,1,FALSE)</f>
        <v>279</v>
      </c>
    </row>
    <row r="33" spans="1:6" x14ac:dyDescent="0.25">
      <c r="A33" s="28">
        <v>213</v>
      </c>
      <c r="B33" s="3">
        <v>1600</v>
      </c>
      <c r="D33" s="28">
        <v>275</v>
      </c>
      <c r="E33" s="3">
        <v>192780</v>
      </c>
      <c r="F33">
        <f>VLOOKUP(D33,'Clientes activos'!$C:$C,1,FALSE)</f>
        <v>275</v>
      </c>
    </row>
    <row r="34" spans="1:6" x14ac:dyDescent="0.25">
      <c r="A34" s="28">
        <v>263</v>
      </c>
      <c r="B34" s="3">
        <v>900</v>
      </c>
      <c r="D34" s="28">
        <v>21</v>
      </c>
      <c r="E34" s="3">
        <v>192000</v>
      </c>
      <c r="F34">
        <f>VLOOKUP(D34,'Clientes activos'!$C:$C,1,FALSE)</f>
        <v>21</v>
      </c>
    </row>
    <row r="35" spans="1:6" x14ac:dyDescent="0.25">
      <c r="A35" s="28">
        <v>113</v>
      </c>
      <c r="B35" s="3">
        <v>800</v>
      </c>
      <c r="D35" s="28">
        <v>316</v>
      </c>
      <c r="E35" s="3">
        <v>187200</v>
      </c>
      <c r="F35">
        <f>VLOOKUP(D35,'Clientes activos'!$C:$C,1,FALSE)</f>
        <v>316</v>
      </c>
    </row>
    <row r="36" spans="1:6" x14ac:dyDescent="0.25">
      <c r="A36" s="28">
        <v>67</v>
      </c>
      <c r="B36" s="3">
        <v>400</v>
      </c>
      <c r="D36" s="28">
        <v>132</v>
      </c>
      <c r="E36" s="3">
        <v>180000</v>
      </c>
      <c r="F36">
        <f>VLOOKUP(D36,'Clientes activos'!$C:$C,1,FALSE)</f>
        <v>132</v>
      </c>
    </row>
    <row r="37" spans="1:6" x14ac:dyDescent="0.25">
      <c r="A37" s="28">
        <v>17</v>
      </c>
      <c r="B37" s="3">
        <v>150</v>
      </c>
      <c r="D37" s="28">
        <v>27</v>
      </c>
      <c r="E37" s="3">
        <v>175500</v>
      </c>
      <c r="F37">
        <f>VLOOKUP(D37,'Clientes activos'!$C:$C,1,FALSE)</f>
        <v>27</v>
      </c>
    </row>
    <row r="38" spans="1:6" x14ac:dyDescent="0.25">
      <c r="A38" s="28">
        <v>330</v>
      </c>
      <c r="B38" s="3">
        <v>100</v>
      </c>
      <c r="D38" s="28">
        <v>56</v>
      </c>
      <c r="E38" s="3">
        <v>174000</v>
      </c>
      <c r="F38">
        <f>VLOOKUP(D38,'Clientes activos'!$C:$C,1,FALSE)</f>
        <v>56</v>
      </c>
    </row>
    <row r="39" spans="1:6" x14ac:dyDescent="0.25">
      <c r="A39" s="28">
        <v>78</v>
      </c>
      <c r="B39" s="3">
        <v>40</v>
      </c>
      <c r="D39" s="28">
        <v>299</v>
      </c>
      <c r="E39" s="3">
        <v>166000</v>
      </c>
      <c r="F39">
        <f>VLOOKUP(D39,'Clientes activos'!$C:$C,1,FALSE)</f>
        <v>299</v>
      </c>
    </row>
    <row r="40" spans="1:6" x14ac:dyDescent="0.25">
      <c r="A40" s="28">
        <v>85</v>
      </c>
      <c r="B40" s="3">
        <v>20</v>
      </c>
      <c r="D40" s="28">
        <v>44</v>
      </c>
      <c r="E40" s="3">
        <v>162000</v>
      </c>
      <c r="F40">
        <f>VLOOKUP(D40,'Clientes activos'!$C:$C,1,FALSE)</f>
        <v>44</v>
      </c>
    </row>
    <row r="41" spans="1:6" x14ac:dyDescent="0.25">
      <c r="A41" s="28">
        <v>204</v>
      </c>
      <c r="B41" s="3">
        <v>2</v>
      </c>
      <c r="D41" s="28">
        <v>8</v>
      </c>
      <c r="E41" s="3">
        <v>162000</v>
      </c>
      <c r="F41">
        <f>VLOOKUP(D41,'Clientes activos'!$C:$C,1,FALSE)</f>
        <v>8</v>
      </c>
    </row>
    <row r="42" spans="1:6" x14ac:dyDescent="0.25">
      <c r="A42" s="28">
        <v>234</v>
      </c>
      <c r="B42" s="3">
        <v>0</v>
      </c>
      <c r="D42" s="28">
        <v>251</v>
      </c>
      <c r="E42" s="3">
        <v>161880</v>
      </c>
      <c r="F42">
        <f>VLOOKUP(D42,'Clientes activos'!$C:$C,1,FALSE)</f>
        <v>251</v>
      </c>
    </row>
    <row r="43" spans="1:6" x14ac:dyDescent="0.25">
      <c r="A43" s="28">
        <v>336</v>
      </c>
      <c r="B43" s="3">
        <v>0</v>
      </c>
      <c r="D43" s="28">
        <v>337</v>
      </c>
      <c r="E43" s="3">
        <v>144000</v>
      </c>
      <c r="F43">
        <f>VLOOKUP(D43,'Clientes activos'!$C:$C,1,FALSE)</f>
        <v>337</v>
      </c>
    </row>
    <row r="44" spans="1:6" x14ac:dyDescent="0.25">
      <c r="A44" s="28">
        <v>285</v>
      </c>
      <c r="B44" s="3">
        <v>0</v>
      </c>
      <c r="D44" s="28">
        <v>234</v>
      </c>
      <c r="E44" s="3">
        <v>144000</v>
      </c>
      <c r="F44">
        <f>VLOOKUP(D44,'Clientes activos'!$C:$C,1,FALSE)</f>
        <v>234</v>
      </c>
    </row>
    <row r="45" spans="1:6" x14ac:dyDescent="0.25">
      <c r="A45" s="28">
        <v>63</v>
      </c>
      <c r="B45" s="3">
        <v>0</v>
      </c>
      <c r="D45" s="28">
        <v>349</v>
      </c>
      <c r="E45" s="3">
        <v>143300</v>
      </c>
      <c r="F45">
        <f>VLOOKUP(D45,'Clientes activos'!$C:$C,1,FALSE)</f>
        <v>349</v>
      </c>
    </row>
    <row r="46" spans="1:6" x14ac:dyDescent="0.25">
      <c r="A46" s="28">
        <v>212</v>
      </c>
      <c r="B46" s="3">
        <v>0</v>
      </c>
      <c r="D46" s="28">
        <v>178</v>
      </c>
      <c r="E46" s="3">
        <v>141000</v>
      </c>
      <c r="F46">
        <f>VLOOKUP(D46,'Clientes activos'!$C:$C,1,FALSE)</f>
        <v>178</v>
      </c>
    </row>
    <row r="47" spans="1:6" x14ac:dyDescent="0.25">
      <c r="A47" s="28">
        <v>64</v>
      </c>
      <c r="B47" s="3">
        <v>0</v>
      </c>
      <c r="D47" s="28">
        <v>268</v>
      </c>
      <c r="E47" s="3">
        <v>134300</v>
      </c>
      <c r="F47">
        <f>VLOOKUP(D47,'Clientes activos'!$C:$C,1,FALSE)</f>
        <v>268</v>
      </c>
    </row>
    <row r="48" spans="1:6" x14ac:dyDescent="0.25">
      <c r="A48" s="28">
        <v>251</v>
      </c>
      <c r="B48" s="3">
        <v>0</v>
      </c>
      <c r="D48" s="28">
        <v>217</v>
      </c>
      <c r="E48" s="3">
        <v>127500</v>
      </c>
      <c r="F48">
        <f>VLOOKUP(D48,'Clientes activos'!$C:$C,1,FALSE)</f>
        <v>217</v>
      </c>
    </row>
    <row r="49" spans="1:6" x14ac:dyDescent="0.25">
      <c r="A49" s="28">
        <v>66</v>
      </c>
      <c r="B49" s="3">
        <v>0</v>
      </c>
      <c r="D49" s="28">
        <v>162</v>
      </c>
      <c r="E49" s="3">
        <v>127500</v>
      </c>
      <c r="F49">
        <f>VLOOKUP(D49,'Clientes activos'!$C:$C,1,FALSE)</f>
        <v>162</v>
      </c>
    </row>
    <row r="50" spans="1:6" x14ac:dyDescent="0.25">
      <c r="A50" s="28">
        <v>307</v>
      </c>
      <c r="B50" s="3">
        <v>0</v>
      </c>
      <c r="D50" s="28">
        <v>208</v>
      </c>
      <c r="E50" s="3">
        <v>126500</v>
      </c>
      <c r="F50">
        <f>VLOOKUP(D50,'Clientes activos'!$C:$C,1,FALSE)</f>
        <v>208</v>
      </c>
    </row>
    <row r="51" spans="1:6" x14ac:dyDescent="0.25">
      <c r="A51" s="28">
        <v>47</v>
      </c>
      <c r="B51" s="3">
        <v>0</v>
      </c>
      <c r="D51" s="28">
        <v>29</v>
      </c>
      <c r="E51" s="3">
        <v>126000</v>
      </c>
      <c r="F51">
        <f>VLOOKUP(D51,'Clientes activos'!$C:$C,1,FALSE)</f>
        <v>29</v>
      </c>
    </row>
    <row r="52" spans="1:6" x14ac:dyDescent="0.25">
      <c r="A52" s="28">
        <v>1000338</v>
      </c>
      <c r="B52" s="3">
        <v>0</v>
      </c>
      <c r="D52" s="28">
        <v>238</v>
      </c>
      <c r="E52" s="3">
        <v>125100</v>
      </c>
      <c r="F52">
        <f>VLOOKUP(D52,'Clientes activos'!$C:$C,1,FALSE)</f>
        <v>238</v>
      </c>
    </row>
    <row r="53" spans="1:6" x14ac:dyDescent="0.25">
      <c r="A53" s="28">
        <v>68</v>
      </c>
      <c r="B53" s="3">
        <v>0</v>
      </c>
      <c r="D53" s="28">
        <v>141</v>
      </c>
      <c r="E53" s="3">
        <v>125000</v>
      </c>
      <c r="F53">
        <f>VLOOKUP(D53,'Clientes activos'!$C:$C,1,FALSE)</f>
        <v>141</v>
      </c>
    </row>
    <row r="54" spans="1:6" x14ac:dyDescent="0.25">
      <c r="A54" s="28">
        <v>41</v>
      </c>
      <c r="B54" s="3">
        <v>0</v>
      </c>
      <c r="D54" s="28">
        <v>143</v>
      </c>
      <c r="E54" s="3">
        <v>124200</v>
      </c>
      <c r="F54">
        <f>VLOOKUP(D54,'Clientes activos'!$C:$C,1,FALSE)</f>
        <v>143</v>
      </c>
    </row>
    <row r="55" spans="1:6" x14ac:dyDescent="0.25">
      <c r="A55" s="28">
        <v>69</v>
      </c>
      <c r="B55" s="3">
        <v>0</v>
      </c>
      <c r="D55" s="28">
        <v>120</v>
      </c>
      <c r="E55" s="3">
        <v>120000</v>
      </c>
      <c r="F55">
        <f>VLOOKUP(D55,'Clientes activos'!$C:$C,1,FALSE)</f>
        <v>120</v>
      </c>
    </row>
    <row r="56" spans="1:6" x14ac:dyDescent="0.25">
      <c r="A56" s="28">
        <v>242</v>
      </c>
      <c r="B56" s="3">
        <v>0</v>
      </c>
      <c r="D56" s="28">
        <v>10</v>
      </c>
      <c r="E56" s="3">
        <v>115199</v>
      </c>
      <c r="F56">
        <f>VLOOKUP(D56,'Clientes activos'!$C:$C,1,FALSE)</f>
        <v>10</v>
      </c>
    </row>
    <row r="57" spans="1:6" x14ac:dyDescent="0.25">
      <c r="A57" s="28">
        <v>7</v>
      </c>
      <c r="B57" s="3">
        <v>0</v>
      </c>
      <c r="D57" s="28">
        <v>188</v>
      </c>
      <c r="E57" s="3">
        <v>109200</v>
      </c>
      <c r="F57">
        <f>VLOOKUP(D57,'Clientes activos'!$C:$C,1,FALSE)</f>
        <v>188</v>
      </c>
    </row>
    <row r="58" spans="1:6" x14ac:dyDescent="0.25">
      <c r="A58" s="28">
        <v>273</v>
      </c>
      <c r="B58" s="3">
        <v>0</v>
      </c>
      <c r="D58" s="28">
        <v>142</v>
      </c>
      <c r="E58" s="3">
        <v>108900</v>
      </c>
      <c r="F58">
        <f>VLOOKUP(D58,'Clientes activos'!$C:$C,1,FALSE)</f>
        <v>142</v>
      </c>
    </row>
    <row r="59" spans="1:6" x14ac:dyDescent="0.25">
      <c r="A59" s="28">
        <v>8</v>
      </c>
      <c r="B59" s="3">
        <v>0</v>
      </c>
      <c r="D59" s="28">
        <v>189</v>
      </c>
      <c r="E59" s="3">
        <v>108000</v>
      </c>
      <c r="F59">
        <f>VLOOKUP(D59,'Clientes activos'!$C:$C,1,FALSE)</f>
        <v>189</v>
      </c>
    </row>
    <row r="60" spans="1:6" x14ac:dyDescent="0.25">
      <c r="A60" s="28">
        <v>296</v>
      </c>
      <c r="B60" s="3">
        <v>0</v>
      </c>
      <c r="D60" s="28">
        <v>81</v>
      </c>
      <c r="E60" s="3">
        <v>107429</v>
      </c>
      <c r="F60">
        <f>VLOOKUP(D60,'Clientes activos'!$C:$C,1,FALSE)</f>
        <v>81</v>
      </c>
    </row>
    <row r="61" spans="1:6" x14ac:dyDescent="0.25">
      <c r="A61" s="28">
        <v>73</v>
      </c>
      <c r="B61" s="3">
        <v>0</v>
      </c>
      <c r="D61" s="28">
        <v>264</v>
      </c>
      <c r="E61" s="3">
        <v>107100</v>
      </c>
      <c r="F61">
        <f>VLOOKUP(D61,'Clientes activos'!$C:$C,1,FALSE)</f>
        <v>264</v>
      </c>
    </row>
    <row r="62" spans="1:6" x14ac:dyDescent="0.25">
      <c r="A62" s="28">
        <v>31</v>
      </c>
      <c r="B62" s="3">
        <v>0</v>
      </c>
      <c r="D62" s="28">
        <v>42</v>
      </c>
      <c r="E62" s="3">
        <v>103500</v>
      </c>
      <c r="F62">
        <f>VLOOKUP(D62,'Clientes activos'!$C:$C,1,FALSE)</f>
        <v>42</v>
      </c>
    </row>
    <row r="63" spans="1:6" x14ac:dyDescent="0.25">
      <c r="A63" s="28">
        <v>74</v>
      </c>
      <c r="B63" s="3">
        <v>0</v>
      </c>
      <c r="D63" s="28">
        <v>26</v>
      </c>
      <c r="E63" s="3">
        <v>93600</v>
      </c>
      <c r="F63">
        <f>VLOOKUP(D63,'Clientes activos'!$C:$C,1,FALSE)</f>
        <v>26</v>
      </c>
    </row>
    <row r="64" spans="1:6" x14ac:dyDescent="0.25">
      <c r="A64" s="28">
        <v>1000326</v>
      </c>
      <c r="B64" s="3">
        <v>0</v>
      </c>
      <c r="D64" s="28">
        <v>325</v>
      </c>
      <c r="E64" s="3">
        <v>92800</v>
      </c>
      <c r="F64">
        <f>VLOOKUP(D64,'Clientes activos'!$C:$C,1,FALSE)</f>
        <v>325</v>
      </c>
    </row>
    <row r="65" spans="1:6" x14ac:dyDescent="0.25">
      <c r="A65" s="28">
        <v>75</v>
      </c>
      <c r="B65" s="3">
        <v>0</v>
      </c>
      <c r="D65" s="28">
        <v>135</v>
      </c>
      <c r="E65" s="3">
        <v>91500</v>
      </c>
      <c r="F65">
        <f>VLOOKUP(D65,'Clientes activos'!$C:$C,1,FALSE)</f>
        <v>135</v>
      </c>
    </row>
    <row r="66" spans="1:6" x14ac:dyDescent="0.25">
      <c r="A66" s="28">
        <v>1000347</v>
      </c>
      <c r="B66" s="3">
        <v>0</v>
      </c>
      <c r="D66" s="28">
        <v>163</v>
      </c>
      <c r="E66" s="3">
        <v>90500</v>
      </c>
      <c r="F66">
        <f>VLOOKUP(D66,'Clientes activos'!$C:$C,1,FALSE)</f>
        <v>163</v>
      </c>
    </row>
    <row r="67" spans="1:6" x14ac:dyDescent="0.25">
      <c r="A67" s="28">
        <v>10</v>
      </c>
      <c r="B67" s="3">
        <v>0</v>
      </c>
      <c r="D67" s="28">
        <v>290</v>
      </c>
      <c r="E67" s="3">
        <v>82600</v>
      </c>
      <c r="F67">
        <f>VLOOKUP(D67,'Clientes activos'!$C:$C,1,FALSE)</f>
        <v>290</v>
      </c>
    </row>
    <row r="68" spans="1:6" x14ac:dyDescent="0.25">
      <c r="A68" s="28">
        <v>217</v>
      </c>
      <c r="B68" s="3">
        <v>0</v>
      </c>
      <c r="D68" s="28">
        <v>80</v>
      </c>
      <c r="E68" s="3">
        <v>82000</v>
      </c>
      <c r="F68">
        <f>VLOOKUP(D68,'Clientes activos'!$C:$C,1,FALSE)</f>
        <v>80</v>
      </c>
    </row>
    <row r="69" spans="1:6" x14ac:dyDescent="0.25">
      <c r="A69" s="28">
        <v>49</v>
      </c>
      <c r="B69" s="3">
        <v>0</v>
      </c>
      <c r="D69" s="28">
        <v>168</v>
      </c>
      <c r="E69" s="3">
        <v>78600</v>
      </c>
      <c r="F69">
        <f>VLOOKUP(D69,'Clientes activos'!$C:$C,1,FALSE)</f>
        <v>168</v>
      </c>
    </row>
    <row r="70" spans="1:6" x14ac:dyDescent="0.25">
      <c r="A70" s="28">
        <v>227</v>
      </c>
      <c r="B70" s="3">
        <v>0</v>
      </c>
      <c r="D70" s="28">
        <v>200</v>
      </c>
      <c r="E70" s="3">
        <v>77400</v>
      </c>
      <c r="F70">
        <f>VLOOKUP(D70,'Clientes activos'!$C:$C,1,FALSE)</f>
        <v>200</v>
      </c>
    </row>
    <row r="71" spans="1:6" x14ac:dyDescent="0.25">
      <c r="A71" s="28">
        <v>80</v>
      </c>
      <c r="B71" s="3">
        <v>0</v>
      </c>
      <c r="D71" s="28">
        <v>93</v>
      </c>
      <c r="E71" s="3">
        <v>76500</v>
      </c>
      <c r="F71">
        <f>VLOOKUP(D71,'Clientes activos'!$C:$C,1,FALSE)</f>
        <v>93</v>
      </c>
    </row>
    <row r="72" spans="1:6" x14ac:dyDescent="0.25">
      <c r="A72" s="28">
        <v>238</v>
      </c>
      <c r="B72" s="3">
        <v>0</v>
      </c>
      <c r="D72" s="28">
        <v>245</v>
      </c>
      <c r="E72" s="3">
        <v>72000</v>
      </c>
      <c r="F72">
        <f>VLOOKUP(D72,'Clientes activos'!$C:$C,1,FALSE)</f>
        <v>245</v>
      </c>
    </row>
    <row r="73" spans="1:6" x14ac:dyDescent="0.25">
      <c r="A73" s="28">
        <v>81</v>
      </c>
      <c r="B73" s="3">
        <v>0</v>
      </c>
      <c r="D73" s="28">
        <v>12</v>
      </c>
      <c r="E73" s="3">
        <v>71750</v>
      </c>
      <c r="F73">
        <f>VLOOKUP(D73,'Clientes activos'!$C:$C,1,FALSE)</f>
        <v>12</v>
      </c>
    </row>
    <row r="74" spans="1:6" x14ac:dyDescent="0.25">
      <c r="A74" s="28">
        <v>246</v>
      </c>
      <c r="B74" s="3">
        <v>0</v>
      </c>
      <c r="D74" s="28">
        <v>133</v>
      </c>
      <c r="E74" s="3">
        <v>70500</v>
      </c>
      <c r="F74">
        <f>VLOOKUP(D74,'Clientes activos'!$C:$C,1,FALSE)</f>
        <v>133</v>
      </c>
    </row>
    <row r="75" spans="1:6" x14ac:dyDescent="0.25">
      <c r="A75" s="28">
        <v>82</v>
      </c>
      <c r="B75" s="3">
        <v>0</v>
      </c>
      <c r="D75" s="28">
        <v>273</v>
      </c>
      <c r="E75" s="3">
        <v>70380</v>
      </c>
      <c r="F75">
        <f>VLOOKUP(D75,'Clientes activos'!$C:$C,1,FALSE)</f>
        <v>273</v>
      </c>
    </row>
    <row r="76" spans="1:6" x14ac:dyDescent="0.25">
      <c r="A76" s="28">
        <v>261</v>
      </c>
      <c r="B76" s="3">
        <v>0</v>
      </c>
      <c r="D76" s="28">
        <v>95</v>
      </c>
      <c r="E76" s="3">
        <v>63000</v>
      </c>
      <c r="F76">
        <f>VLOOKUP(D76,'Clientes activos'!$C:$C,1,FALSE)</f>
        <v>95</v>
      </c>
    </row>
    <row r="77" spans="1:6" x14ac:dyDescent="0.25">
      <c r="A77" s="28">
        <v>83</v>
      </c>
      <c r="B77" s="3">
        <v>0</v>
      </c>
      <c r="D77" s="28">
        <v>1000331</v>
      </c>
      <c r="E77" s="3">
        <v>54750</v>
      </c>
      <c r="F77">
        <f>VLOOKUP(D77,'Clientes activos'!$C:$C,1,FALSE)</f>
        <v>1000331</v>
      </c>
    </row>
    <row r="78" spans="1:6" x14ac:dyDescent="0.25">
      <c r="A78" s="28">
        <v>279</v>
      </c>
      <c r="B78" s="3">
        <v>0</v>
      </c>
      <c r="D78" s="28">
        <v>239</v>
      </c>
      <c r="E78" s="3">
        <v>45000</v>
      </c>
      <c r="F78">
        <f>VLOOKUP(D78,'Clientes activos'!$C:$C,1,FALSE)</f>
        <v>239</v>
      </c>
    </row>
    <row r="79" spans="1:6" x14ac:dyDescent="0.25">
      <c r="A79" s="28">
        <v>12</v>
      </c>
      <c r="B79" s="3">
        <v>0</v>
      </c>
      <c r="D79" s="28">
        <v>249</v>
      </c>
      <c r="E79" s="3">
        <v>40200</v>
      </c>
      <c r="F79">
        <f>VLOOKUP(D79,'Clientes activos'!$C:$C,1,FALSE)</f>
        <v>249</v>
      </c>
    </row>
    <row r="80" spans="1:6" x14ac:dyDescent="0.25">
      <c r="A80" s="28">
        <v>290</v>
      </c>
      <c r="B80" s="3">
        <v>0</v>
      </c>
      <c r="D80" s="28">
        <v>185</v>
      </c>
      <c r="E80" s="3">
        <v>38700</v>
      </c>
      <c r="F80">
        <f>VLOOKUP(D80,'Clientes activos'!$C:$C,1,FALSE)</f>
        <v>185</v>
      </c>
    </row>
    <row r="81" spans="1:6" x14ac:dyDescent="0.25">
      <c r="A81" s="28">
        <v>51</v>
      </c>
      <c r="B81" s="3">
        <v>0</v>
      </c>
      <c r="D81" s="28">
        <v>147</v>
      </c>
      <c r="E81" s="3">
        <v>36000</v>
      </c>
      <c r="F81">
        <f>VLOOKUP(D81,'Clientes activos'!$C:$C,1,FALSE)</f>
        <v>147</v>
      </c>
    </row>
    <row r="82" spans="1:6" x14ac:dyDescent="0.25">
      <c r="A82" s="28">
        <v>301</v>
      </c>
      <c r="B82" s="3">
        <v>0</v>
      </c>
      <c r="D82" s="28">
        <v>149</v>
      </c>
      <c r="E82" s="3">
        <v>29000</v>
      </c>
      <c r="F82">
        <f>VLOOKUP(D82,'Clientes activos'!$C:$C,1,FALSE)</f>
        <v>149</v>
      </c>
    </row>
    <row r="83" spans="1:6" x14ac:dyDescent="0.25">
      <c r="A83" s="28">
        <v>87</v>
      </c>
      <c r="B83" s="3">
        <v>0</v>
      </c>
      <c r="D83" s="28">
        <v>212</v>
      </c>
      <c r="E83" s="3">
        <v>29000</v>
      </c>
      <c r="F83">
        <f>VLOOKUP(D83,'Clientes activos'!$C:$C,1,FALSE)</f>
        <v>212</v>
      </c>
    </row>
    <row r="84" spans="1:6" x14ac:dyDescent="0.25">
      <c r="A84" s="28">
        <v>30</v>
      </c>
      <c r="B84" s="3">
        <v>0</v>
      </c>
      <c r="D84" s="28">
        <v>28</v>
      </c>
      <c r="E84" s="3">
        <v>26000</v>
      </c>
      <c r="F84">
        <f>VLOOKUP(D84,'Clientes activos'!$C:$C,1,FALSE)</f>
        <v>28</v>
      </c>
    </row>
    <row r="85" spans="1:6" x14ac:dyDescent="0.25">
      <c r="A85" s="28">
        <v>88</v>
      </c>
      <c r="B85" s="3">
        <v>0</v>
      </c>
      <c r="D85" s="28">
        <v>82</v>
      </c>
      <c r="E85" s="3">
        <v>21302</v>
      </c>
      <c r="F85">
        <f>VLOOKUP(D85,'Clientes activos'!$C:$C,1,FALSE)</f>
        <v>82</v>
      </c>
    </row>
    <row r="86" spans="1:6" x14ac:dyDescent="0.25">
      <c r="A86" s="28">
        <v>325</v>
      </c>
      <c r="B86" s="3">
        <v>0</v>
      </c>
      <c r="D86" s="28">
        <v>169</v>
      </c>
      <c r="E86" s="3">
        <v>21000</v>
      </c>
      <c r="F86">
        <f>VLOOKUP(D86,'Clientes activos'!$C:$C,1,FALSE)</f>
        <v>169</v>
      </c>
    </row>
    <row r="87" spans="1:6" x14ac:dyDescent="0.25">
      <c r="A87" s="28">
        <v>89</v>
      </c>
      <c r="B87" s="3">
        <v>0</v>
      </c>
      <c r="D87" s="28">
        <v>313</v>
      </c>
      <c r="E87" s="3">
        <v>20000</v>
      </c>
      <c r="F87">
        <f>VLOOKUP(D87,'Clientes activos'!$C:$C,1,FALSE)</f>
        <v>313</v>
      </c>
    </row>
    <row r="88" spans="1:6" x14ac:dyDescent="0.25">
      <c r="A88" s="28">
        <v>1000319</v>
      </c>
      <c r="B88" s="3">
        <v>0</v>
      </c>
      <c r="D88" s="28">
        <v>317</v>
      </c>
      <c r="E88" s="3">
        <v>20000</v>
      </c>
      <c r="F88">
        <f>VLOOKUP(D88,'Clientes activos'!$C:$C,1,FALSE)</f>
        <v>317</v>
      </c>
    </row>
    <row r="89" spans="1:6" x14ac:dyDescent="0.25">
      <c r="A89" s="28">
        <v>90</v>
      </c>
      <c r="B89" s="3">
        <v>0</v>
      </c>
      <c r="D89" s="28">
        <v>203</v>
      </c>
      <c r="E89" s="3">
        <v>19100</v>
      </c>
      <c r="F89">
        <f>VLOOKUP(D89,'Clientes activos'!$C:$C,1,FALSE)</f>
        <v>203</v>
      </c>
    </row>
    <row r="90" spans="1:6" x14ac:dyDescent="0.25">
      <c r="A90" s="28">
        <v>1000332</v>
      </c>
      <c r="B90" s="3">
        <v>0</v>
      </c>
      <c r="D90" s="28">
        <v>90</v>
      </c>
      <c r="E90" s="3">
        <v>19000</v>
      </c>
      <c r="F90">
        <f>VLOOKUP(D90,'Clientes activos'!$C:$C,1,FALSE)</f>
        <v>90</v>
      </c>
    </row>
    <row r="91" spans="1:6" x14ac:dyDescent="0.25">
      <c r="A91" s="28">
        <v>91</v>
      </c>
      <c r="B91" s="3">
        <v>0</v>
      </c>
      <c r="D91" s="28">
        <v>45</v>
      </c>
      <c r="E91" s="3">
        <v>19000</v>
      </c>
      <c r="F91">
        <f>VLOOKUP(D91,'Clientes activos'!$C:$C,1,FALSE)</f>
        <v>45</v>
      </c>
    </row>
    <row r="92" spans="1:6" x14ac:dyDescent="0.25">
      <c r="A92" s="28">
        <v>1000342</v>
      </c>
      <c r="B92" s="3">
        <v>0</v>
      </c>
      <c r="D92" s="28">
        <v>1000352</v>
      </c>
      <c r="E92" s="3">
        <v>15000</v>
      </c>
      <c r="F92">
        <f>VLOOKUP(D92,'Clientes activos'!$C:$C,1,FALSE)</f>
        <v>1000352</v>
      </c>
    </row>
    <row r="93" spans="1:6" x14ac:dyDescent="0.25">
      <c r="A93" s="28">
        <v>92</v>
      </c>
      <c r="B93" s="3">
        <v>0</v>
      </c>
      <c r="D93" s="28">
        <v>1000348</v>
      </c>
      <c r="E93" s="3">
        <v>15000</v>
      </c>
      <c r="F93">
        <f>VLOOKUP(D93,'Clientes activos'!$C:$C,1,FALSE)</f>
        <v>1000348</v>
      </c>
    </row>
    <row r="94" spans="1:6" x14ac:dyDescent="0.25">
      <c r="A94" s="28">
        <v>42</v>
      </c>
      <c r="B94" s="3">
        <v>0</v>
      </c>
      <c r="D94" s="28">
        <v>152</v>
      </c>
      <c r="E94" s="3">
        <v>13300</v>
      </c>
      <c r="F94">
        <f>VLOOKUP(D94,'Clientes activos'!$C:$C,1,FALSE)</f>
        <v>152</v>
      </c>
    </row>
    <row r="95" spans="1:6" x14ac:dyDescent="0.25">
      <c r="A95" s="28">
        <v>93</v>
      </c>
      <c r="B95" s="3">
        <v>0</v>
      </c>
      <c r="D95" s="28">
        <v>310</v>
      </c>
      <c r="E95" s="3">
        <v>10000</v>
      </c>
      <c r="F95">
        <f>VLOOKUP(D95,'Clientes activos'!$C:$C,1,FALSE)</f>
        <v>310</v>
      </c>
    </row>
    <row r="96" spans="1:6" x14ac:dyDescent="0.25">
      <c r="A96" s="28">
        <v>214</v>
      </c>
      <c r="B96" s="3">
        <v>0</v>
      </c>
      <c r="D96" s="28">
        <v>305</v>
      </c>
      <c r="E96" s="3">
        <v>7850</v>
      </c>
      <c r="F96">
        <f>VLOOKUP(D96,'Clientes activos'!$C:$C,1,FALSE)</f>
        <v>305</v>
      </c>
    </row>
    <row r="97" spans="1:6" x14ac:dyDescent="0.25">
      <c r="A97" s="28">
        <v>94</v>
      </c>
      <c r="B97" s="3">
        <v>0</v>
      </c>
      <c r="D97" s="28">
        <v>314</v>
      </c>
      <c r="E97" s="3">
        <v>7733</v>
      </c>
      <c r="F97">
        <f>VLOOKUP(D97,'Clientes activos'!$C:$C,1,FALSE)</f>
        <v>314</v>
      </c>
    </row>
    <row r="98" spans="1:6" x14ac:dyDescent="0.25">
      <c r="A98" s="28">
        <v>219</v>
      </c>
      <c r="B98" s="3">
        <v>0</v>
      </c>
      <c r="D98" s="28">
        <v>53</v>
      </c>
      <c r="E98" s="3">
        <v>6500</v>
      </c>
      <c r="F98">
        <f>VLOOKUP(D98,'Clientes activos'!$C:$C,1,FALSE)</f>
        <v>53</v>
      </c>
    </row>
    <row r="99" spans="1:6" x14ac:dyDescent="0.25">
      <c r="A99" s="28">
        <v>95</v>
      </c>
      <c r="B99" s="3">
        <v>0</v>
      </c>
      <c r="D99" s="28">
        <v>302</v>
      </c>
      <c r="E99" s="3">
        <v>3000</v>
      </c>
      <c r="F99">
        <f>VLOOKUP(D99,'Clientes activos'!$C:$C,1,FALSE)</f>
        <v>302</v>
      </c>
    </row>
    <row r="100" spans="1:6" x14ac:dyDescent="0.25">
      <c r="A100" s="28">
        <v>225</v>
      </c>
      <c r="B100" s="3">
        <v>0</v>
      </c>
      <c r="D100" s="28">
        <v>240</v>
      </c>
      <c r="E100" s="3">
        <v>2400</v>
      </c>
      <c r="F100">
        <f>VLOOKUP(D100,'Clientes activos'!$C:$C,1,FALSE)</f>
        <v>240</v>
      </c>
    </row>
    <row r="101" spans="1:6" x14ac:dyDescent="0.25">
      <c r="A101" s="28">
        <v>96</v>
      </c>
      <c r="B101" s="3">
        <v>0</v>
      </c>
      <c r="D101" s="28">
        <v>244</v>
      </c>
      <c r="E101" s="3">
        <v>2000</v>
      </c>
      <c r="F101">
        <f>VLOOKUP(D101,'Clientes activos'!$C:$C,1,FALSE)</f>
        <v>244</v>
      </c>
    </row>
    <row r="102" spans="1:6" x14ac:dyDescent="0.25">
      <c r="A102" s="28">
        <v>229</v>
      </c>
      <c r="B102" s="3">
        <v>0</v>
      </c>
      <c r="D102" s="28">
        <v>309</v>
      </c>
      <c r="E102" s="3">
        <v>1268</v>
      </c>
      <c r="F102">
        <f>VLOOKUP(D102,'Clientes activos'!$C:$C,1,FALSE)</f>
        <v>309</v>
      </c>
    </row>
    <row r="103" spans="1:6" x14ac:dyDescent="0.25">
      <c r="A103" s="28">
        <v>97</v>
      </c>
      <c r="B103" s="3">
        <v>0</v>
      </c>
      <c r="D103" s="28">
        <v>1000319</v>
      </c>
      <c r="E103" s="3">
        <v>800</v>
      </c>
      <c r="F103">
        <f>VLOOKUP(D103,'Clientes activos'!$C:$C,1,FALSE)</f>
        <v>1000319</v>
      </c>
    </row>
    <row r="104" spans="1:6" x14ac:dyDescent="0.25">
      <c r="A104" s="28">
        <v>236</v>
      </c>
      <c r="B104" s="3">
        <v>0</v>
      </c>
      <c r="D104" s="28">
        <v>329</v>
      </c>
      <c r="E104" s="3">
        <v>770</v>
      </c>
      <c r="F104">
        <f>VLOOKUP(D104,'Clientes activos'!$C:$C,1,FALSE)</f>
        <v>329</v>
      </c>
    </row>
    <row r="105" spans="1:6" x14ac:dyDescent="0.25">
      <c r="A105" s="28">
        <v>98</v>
      </c>
      <c r="B105" s="3">
        <v>0</v>
      </c>
      <c r="D105" s="28">
        <v>315</v>
      </c>
      <c r="E105" s="3">
        <v>720</v>
      </c>
      <c r="F105">
        <f>VLOOKUP(D105,'Clientes activos'!$C:$C,1,FALSE)</f>
        <v>315</v>
      </c>
    </row>
    <row r="106" spans="1:6" x14ac:dyDescent="0.25">
      <c r="A106" s="28">
        <v>240</v>
      </c>
      <c r="B106" s="3">
        <v>0</v>
      </c>
      <c r="D106" s="28">
        <v>30</v>
      </c>
      <c r="E106" s="3">
        <v>700</v>
      </c>
      <c r="F106">
        <f>VLOOKUP(D106,'Clientes activos'!$C:$C,1,FALSE)</f>
        <v>30</v>
      </c>
    </row>
    <row r="107" spans="1:6" x14ac:dyDescent="0.25">
      <c r="A107" s="28">
        <v>99</v>
      </c>
      <c r="B107" s="3">
        <v>0</v>
      </c>
      <c r="D107" s="28">
        <v>160</v>
      </c>
      <c r="E107" s="3">
        <v>200</v>
      </c>
      <c r="F107">
        <f>VLOOKUP(D107,'Clientes activos'!$C:$C,1,FALSE)</f>
        <v>160</v>
      </c>
    </row>
    <row r="108" spans="1:6" x14ac:dyDescent="0.25">
      <c r="A108" s="28">
        <v>244</v>
      </c>
      <c r="B108" s="3">
        <v>0</v>
      </c>
      <c r="D108" s="28">
        <v>161</v>
      </c>
      <c r="E108" s="3">
        <v>100</v>
      </c>
      <c r="F108">
        <f>VLOOKUP(D108,'Clientes activos'!$C:$C,1,FALSE)</f>
        <v>161</v>
      </c>
    </row>
    <row r="109" spans="1:6" x14ac:dyDescent="0.25">
      <c r="A109" s="28">
        <v>100</v>
      </c>
      <c r="B109" s="3">
        <v>0</v>
      </c>
      <c r="D109" s="28">
        <v>14</v>
      </c>
      <c r="E109" s="3">
        <v>8</v>
      </c>
      <c r="F109">
        <f>VLOOKUP(D109,'Clientes activos'!$C:$C,1,FALSE)</f>
        <v>14</v>
      </c>
    </row>
    <row r="110" spans="1:6" x14ac:dyDescent="0.25">
      <c r="A110" s="28">
        <v>249</v>
      </c>
      <c r="B110" s="3">
        <v>0</v>
      </c>
      <c r="D110" s="28">
        <v>1000328</v>
      </c>
      <c r="E110" s="3">
        <v>0</v>
      </c>
      <c r="F110">
        <f>VLOOKUP(D110,'Clientes activos'!$C:$C,1,FALSE)</f>
        <v>1000328</v>
      </c>
    </row>
    <row r="111" spans="1:6" x14ac:dyDescent="0.25">
      <c r="A111" s="28">
        <v>101</v>
      </c>
      <c r="B111" s="3">
        <v>0</v>
      </c>
      <c r="D111" s="28">
        <v>276</v>
      </c>
      <c r="E111" s="3">
        <v>0</v>
      </c>
      <c r="F111">
        <f>VLOOKUP(D111,'Clientes activos'!$C:$C,1,FALSE)</f>
        <v>276</v>
      </c>
    </row>
    <row r="112" spans="1:6" x14ac:dyDescent="0.25">
      <c r="A112" s="28">
        <v>257</v>
      </c>
      <c r="B112" s="3">
        <v>0</v>
      </c>
      <c r="D112" s="28">
        <v>247</v>
      </c>
      <c r="E112" s="3">
        <v>0</v>
      </c>
      <c r="F112">
        <f>VLOOKUP(D112,'Clientes activos'!$C:$C,1,FALSE)</f>
        <v>247</v>
      </c>
    </row>
    <row r="113" spans="1:6" x14ac:dyDescent="0.25">
      <c r="A113" s="28">
        <v>43</v>
      </c>
      <c r="B113" s="3">
        <v>0</v>
      </c>
      <c r="D113" s="28">
        <v>22</v>
      </c>
      <c r="E113" s="3">
        <v>0</v>
      </c>
      <c r="F113">
        <f>VLOOKUP(D113,'Clientes activos'!$C:$C,1,FALSE)</f>
        <v>22</v>
      </c>
    </row>
    <row r="114" spans="1:6" x14ac:dyDescent="0.25">
      <c r="A114" s="28">
        <v>28</v>
      </c>
      <c r="B114" s="3">
        <v>0</v>
      </c>
      <c r="D114" s="28">
        <v>91</v>
      </c>
      <c r="E114" s="3">
        <v>0</v>
      </c>
      <c r="F114">
        <f>VLOOKUP(D114,'Clientes activos'!$C:$C,1,FALSE)</f>
        <v>91</v>
      </c>
    </row>
    <row r="115" spans="1:6" x14ac:dyDescent="0.25">
      <c r="A115" s="28">
        <v>105</v>
      </c>
      <c r="B115" s="3">
        <v>0</v>
      </c>
      <c r="D115" s="28">
        <v>127</v>
      </c>
      <c r="E115" s="3">
        <v>0</v>
      </c>
      <c r="F115">
        <f>VLOOKUP(D115,'Clientes activos'!$C:$C,1,FALSE)</f>
        <v>127</v>
      </c>
    </row>
    <row r="116" spans="1:6" x14ac:dyDescent="0.25">
      <c r="A116" s="28">
        <v>276</v>
      </c>
      <c r="B116" s="3">
        <v>0</v>
      </c>
      <c r="D116" s="28">
        <v>105</v>
      </c>
      <c r="E116" s="3">
        <v>0</v>
      </c>
      <c r="F116">
        <f>VLOOKUP(D116,'Clientes activos'!$C:$C,1,FALSE)</f>
        <v>105</v>
      </c>
    </row>
    <row r="117" spans="1:6" x14ac:dyDescent="0.25">
      <c r="A117" s="28">
        <v>14</v>
      </c>
      <c r="B117" s="3">
        <v>0</v>
      </c>
      <c r="D117" s="28">
        <v>153</v>
      </c>
      <c r="E117" s="3">
        <v>0</v>
      </c>
      <c r="F117">
        <f>VLOOKUP(D117,'Clientes activos'!$C:$C,1,FALSE)</f>
        <v>153</v>
      </c>
    </row>
    <row r="118" spans="1:6" x14ac:dyDescent="0.25">
      <c r="A118" s="28">
        <v>283</v>
      </c>
      <c r="B118" s="3">
        <v>0</v>
      </c>
      <c r="D118" s="28">
        <v>262</v>
      </c>
      <c r="E118" s="3">
        <v>0</v>
      </c>
      <c r="F118">
        <f>VLOOKUP(D118,'Clientes activos'!$C:$C,1,FALSE)</f>
        <v>262</v>
      </c>
    </row>
    <row r="119" spans="1:6" x14ac:dyDescent="0.25">
      <c r="A119" s="28">
        <v>108</v>
      </c>
      <c r="B119" s="3">
        <v>0</v>
      </c>
      <c r="D119" s="28">
        <v>154</v>
      </c>
      <c r="E119" s="3">
        <v>0</v>
      </c>
      <c r="F119">
        <f>VLOOKUP(D119,'Clientes activos'!$C:$C,1,FALSE)</f>
        <v>154</v>
      </c>
    </row>
    <row r="120" spans="1:6" x14ac:dyDescent="0.25">
      <c r="A120" s="28">
        <v>288</v>
      </c>
      <c r="B120" s="3">
        <v>0</v>
      </c>
      <c r="D120" s="28">
        <v>34</v>
      </c>
      <c r="E120" s="3">
        <v>0</v>
      </c>
      <c r="F120">
        <f>VLOOKUP(D120,'Clientes activos'!$C:$C,1,FALSE)</f>
        <v>34</v>
      </c>
    </row>
    <row r="121" spans="1:6" x14ac:dyDescent="0.25">
      <c r="A121" s="28">
        <v>109</v>
      </c>
      <c r="B121" s="3">
        <v>0</v>
      </c>
      <c r="D121" s="28">
        <v>155</v>
      </c>
      <c r="E121" s="3">
        <v>0</v>
      </c>
      <c r="F121">
        <f>VLOOKUP(D121,'Clientes activos'!$C:$C,1,FALSE)</f>
        <v>155</v>
      </c>
    </row>
    <row r="122" spans="1:6" x14ac:dyDescent="0.25">
      <c r="A122" s="28">
        <v>292</v>
      </c>
      <c r="B122" s="3">
        <v>0</v>
      </c>
      <c r="D122" s="28">
        <v>137</v>
      </c>
      <c r="E122" s="3">
        <v>0</v>
      </c>
      <c r="F122">
        <f>VLOOKUP(D122,'Clientes activos'!$C:$C,1,FALSE)</f>
        <v>137</v>
      </c>
    </row>
    <row r="123" spans="1:6" x14ac:dyDescent="0.25">
      <c r="A123" s="28">
        <v>110</v>
      </c>
      <c r="B123" s="3">
        <v>0</v>
      </c>
      <c r="D123" s="28">
        <v>156</v>
      </c>
      <c r="E123" s="3">
        <v>0</v>
      </c>
      <c r="F123">
        <f>VLOOKUP(D123,'Clientes activos'!$C:$C,1,FALSE)</f>
        <v>156</v>
      </c>
    </row>
    <row r="124" spans="1:6" x14ac:dyDescent="0.25">
      <c r="A124" s="28">
        <v>299</v>
      </c>
      <c r="B124" s="3">
        <v>0</v>
      </c>
      <c r="D124" s="28">
        <v>235</v>
      </c>
      <c r="E124" s="3">
        <v>0</v>
      </c>
      <c r="F124">
        <f>VLOOKUP(D124,'Clientes activos'!$C:$C,1,FALSE)</f>
        <v>235</v>
      </c>
    </row>
    <row r="125" spans="1:6" x14ac:dyDescent="0.25">
      <c r="A125" s="28">
        <v>111</v>
      </c>
      <c r="B125" s="3">
        <v>0</v>
      </c>
      <c r="D125" s="28">
        <v>157</v>
      </c>
      <c r="E125" s="3">
        <v>0</v>
      </c>
      <c r="F125">
        <f>VLOOKUP(D125,'Clientes activos'!$C:$C,1,FALSE)</f>
        <v>157</v>
      </c>
    </row>
    <row r="126" spans="1:6" x14ac:dyDescent="0.25">
      <c r="A126" s="28">
        <v>305</v>
      </c>
      <c r="B126" s="3">
        <v>0</v>
      </c>
      <c r="D126" s="28">
        <v>243</v>
      </c>
      <c r="E126" s="3">
        <v>0</v>
      </c>
      <c r="F126">
        <f>VLOOKUP(D126,'Clientes activos'!$C:$C,1,FALSE)</f>
        <v>243</v>
      </c>
    </row>
    <row r="127" spans="1:6" x14ac:dyDescent="0.25">
      <c r="A127" s="28">
        <v>112</v>
      </c>
      <c r="B127" s="3">
        <v>0</v>
      </c>
      <c r="D127" s="28">
        <v>23</v>
      </c>
      <c r="E127" s="3">
        <v>0</v>
      </c>
      <c r="F127">
        <f>VLOOKUP(D127,'Clientes activos'!$C:$C,1,FALSE)</f>
        <v>23</v>
      </c>
    </row>
    <row r="128" spans="1:6" x14ac:dyDescent="0.25">
      <c r="A128" s="28">
        <v>310</v>
      </c>
      <c r="B128" s="3">
        <v>0</v>
      </c>
      <c r="D128" s="28">
        <v>148</v>
      </c>
      <c r="E128" s="3">
        <v>0</v>
      </c>
      <c r="F128">
        <f>VLOOKUP(D128,'Clientes activos'!$C:$C,1,FALSE)</f>
        <v>148</v>
      </c>
    </row>
    <row r="129" spans="1:6" x14ac:dyDescent="0.25">
      <c r="A129" s="28">
        <v>53</v>
      </c>
      <c r="B129" s="3">
        <v>0</v>
      </c>
      <c r="D129" s="28">
        <v>159</v>
      </c>
      <c r="E129" s="3">
        <v>0</v>
      </c>
      <c r="F129">
        <f>VLOOKUP(D129,'Clientes activos'!$C:$C,1,FALSE)</f>
        <v>159</v>
      </c>
    </row>
    <row r="130" spans="1:6" x14ac:dyDescent="0.25">
      <c r="A130" s="28">
        <v>315</v>
      </c>
      <c r="B130" s="3">
        <v>0</v>
      </c>
      <c r="D130" s="28">
        <v>269</v>
      </c>
      <c r="E130" s="3">
        <v>0</v>
      </c>
      <c r="F130">
        <f>VLOOKUP(D130,'Clientes activos'!$C:$C,1,FALSE)</f>
        <v>269</v>
      </c>
    </row>
    <row r="131" spans="1:6" x14ac:dyDescent="0.25">
      <c r="A131" s="28">
        <v>15</v>
      </c>
      <c r="B131" s="3">
        <v>0</v>
      </c>
      <c r="D131" s="28">
        <v>64</v>
      </c>
      <c r="E131" s="3">
        <v>0</v>
      </c>
      <c r="F131">
        <f>VLOOKUP(D131,'Clientes activos'!$C:$C,1,FALSE)</f>
        <v>64</v>
      </c>
    </row>
    <row r="132" spans="1:6" x14ac:dyDescent="0.25">
      <c r="A132" s="28">
        <v>32</v>
      </c>
      <c r="B132" s="3">
        <v>0</v>
      </c>
      <c r="D132" s="28">
        <v>283</v>
      </c>
      <c r="E132" s="3">
        <v>0</v>
      </c>
      <c r="F132">
        <f>VLOOKUP(D132,'Clientes activos'!$C:$C,1,FALSE)</f>
        <v>283</v>
      </c>
    </row>
    <row r="133" spans="1:6" x14ac:dyDescent="0.25">
      <c r="A133" s="28">
        <v>115</v>
      </c>
      <c r="B133" s="3">
        <v>0</v>
      </c>
      <c r="D133" s="28">
        <v>99</v>
      </c>
      <c r="E133" s="3">
        <v>0</v>
      </c>
      <c r="F133">
        <f>VLOOKUP(D133,'Clientes activos'!$C:$C,1,FALSE)</f>
        <v>99</v>
      </c>
    </row>
    <row r="134" spans="1:6" x14ac:dyDescent="0.25">
      <c r="A134" s="28">
        <v>56</v>
      </c>
      <c r="B134" s="3">
        <v>0</v>
      </c>
      <c r="D134" s="28">
        <v>292</v>
      </c>
      <c r="E134" s="3">
        <v>0</v>
      </c>
      <c r="F134">
        <f>VLOOKUP(D134,'Clientes activos'!$C:$C,1,FALSE)</f>
        <v>292</v>
      </c>
    </row>
    <row r="135" spans="1:6" x14ac:dyDescent="0.25">
      <c r="A135" s="28">
        <v>116</v>
      </c>
      <c r="B135" s="3">
        <v>0</v>
      </c>
      <c r="D135" s="28">
        <v>66</v>
      </c>
      <c r="E135" s="3">
        <v>0</v>
      </c>
      <c r="F135">
        <f>VLOOKUP(D135,'Clientes activos'!$C:$C,1,FALSE)</f>
        <v>66</v>
      </c>
    </row>
    <row r="136" spans="1:6" x14ac:dyDescent="0.25">
      <c r="A136" s="28">
        <v>345</v>
      </c>
      <c r="B136" s="3">
        <v>0</v>
      </c>
      <c r="D136" s="28">
        <v>39</v>
      </c>
      <c r="E136" s="3">
        <v>0</v>
      </c>
      <c r="F136">
        <f>VLOOKUP(D136,'Clientes activos'!$C:$C,1,FALSE)</f>
        <v>39</v>
      </c>
    </row>
    <row r="137" spans="1:6" x14ac:dyDescent="0.25">
      <c r="A137" s="28">
        <v>54</v>
      </c>
      <c r="B137" s="3">
        <v>0</v>
      </c>
      <c r="D137" s="28">
        <v>67</v>
      </c>
      <c r="E137" s="3">
        <v>0</v>
      </c>
      <c r="F137">
        <f>VLOOKUP(D137,'Clientes activos'!$C:$C,1,FALSE)</f>
        <v>67</v>
      </c>
    </row>
    <row r="138" spans="1:6" x14ac:dyDescent="0.25">
      <c r="A138" s="28">
        <v>1000323</v>
      </c>
      <c r="B138" s="3">
        <v>0</v>
      </c>
      <c r="D138" s="28">
        <v>321</v>
      </c>
      <c r="E138" s="3">
        <v>0</v>
      </c>
      <c r="F138">
        <f>VLOOKUP(D138,'Clientes activos'!$C:$C,1,FALSE)</f>
        <v>321</v>
      </c>
    </row>
    <row r="139" spans="1:6" x14ac:dyDescent="0.25">
      <c r="A139" s="28">
        <v>119</v>
      </c>
      <c r="B139" s="3">
        <v>0</v>
      </c>
      <c r="D139" s="28">
        <v>164</v>
      </c>
      <c r="E139" s="3">
        <v>0</v>
      </c>
      <c r="F139">
        <f>VLOOKUP(D139,'Clientes activos'!$C:$C,1,FALSE)</f>
        <v>164</v>
      </c>
    </row>
    <row r="140" spans="1:6" x14ac:dyDescent="0.25">
      <c r="A140" s="28">
        <v>1000328</v>
      </c>
      <c r="B140" s="3">
        <v>0</v>
      </c>
      <c r="D140" s="28">
        <v>231</v>
      </c>
      <c r="E140" s="3">
        <v>0</v>
      </c>
      <c r="F140">
        <f>VLOOKUP(D140,'Clientes activos'!$C:$C,1,FALSE)</f>
        <v>231</v>
      </c>
    </row>
    <row r="141" spans="1:6" x14ac:dyDescent="0.25">
      <c r="A141" s="28">
        <v>120</v>
      </c>
      <c r="B141" s="3">
        <v>0</v>
      </c>
      <c r="D141" s="28">
        <v>165</v>
      </c>
      <c r="E141" s="3">
        <v>0</v>
      </c>
      <c r="F141">
        <f>VLOOKUP(D141,'Clientes activos'!$C:$C,1,FALSE)</f>
        <v>165</v>
      </c>
    </row>
    <row r="142" spans="1:6" x14ac:dyDescent="0.25">
      <c r="A142" s="28">
        <v>1000334</v>
      </c>
      <c r="B142" s="3">
        <v>0</v>
      </c>
      <c r="D142" s="28">
        <v>237</v>
      </c>
      <c r="E142" s="3">
        <v>0</v>
      </c>
      <c r="F142">
        <f>VLOOKUP(D142,'Clientes activos'!$C:$C,1,FALSE)</f>
        <v>237</v>
      </c>
    </row>
    <row r="143" spans="1:6" x14ac:dyDescent="0.25">
      <c r="A143" s="28">
        <v>121</v>
      </c>
      <c r="B143" s="3">
        <v>0</v>
      </c>
      <c r="D143" s="28">
        <v>167</v>
      </c>
      <c r="E143" s="3">
        <v>0</v>
      </c>
      <c r="F143">
        <f>VLOOKUP(D143,'Clientes activos'!$C:$C,1,FALSE)</f>
        <v>167</v>
      </c>
    </row>
    <row r="144" spans="1:6" x14ac:dyDescent="0.25">
      <c r="A144" s="28">
        <v>1000340</v>
      </c>
      <c r="B144" s="3">
        <v>0</v>
      </c>
      <c r="D144" s="28">
        <v>241</v>
      </c>
      <c r="E144" s="3">
        <v>0</v>
      </c>
      <c r="F144">
        <f>VLOOKUP(D144,'Clientes activos'!$C:$C,1,FALSE)</f>
        <v>241</v>
      </c>
    </row>
    <row r="145" spans="1:6" x14ac:dyDescent="0.25">
      <c r="A145" s="28">
        <v>203</v>
      </c>
      <c r="B145" s="3">
        <v>0</v>
      </c>
      <c r="D145" s="28">
        <v>68</v>
      </c>
      <c r="E145" s="3">
        <v>0</v>
      </c>
      <c r="F145">
        <f>VLOOKUP(D145,'Clientes activos'!$C:$C,1,FALSE)</f>
        <v>68</v>
      </c>
    </row>
    <row r="146" spans="1:6" x14ac:dyDescent="0.25">
      <c r="A146" s="28">
        <v>1000344</v>
      </c>
      <c r="B146" s="3">
        <v>0</v>
      </c>
      <c r="D146" s="28">
        <v>107</v>
      </c>
      <c r="E146" s="3">
        <v>0</v>
      </c>
      <c r="F146">
        <f>VLOOKUP(D146,'Clientes activos'!$C:$C,1,FALSE)</f>
        <v>107</v>
      </c>
    </row>
    <row r="147" spans="1:6" x14ac:dyDescent="0.25">
      <c r="A147" s="28">
        <v>205</v>
      </c>
      <c r="B147" s="3">
        <v>0</v>
      </c>
      <c r="D147" s="28">
        <v>114</v>
      </c>
      <c r="E147" s="3">
        <v>0</v>
      </c>
      <c r="F147">
        <f>VLOOKUP(D147,'Clientes activos'!$C:$C,1,FALSE)</f>
        <v>114</v>
      </c>
    </row>
    <row r="148" spans="1:6" x14ac:dyDescent="0.25">
      <c r="A148" s="28">
        <v>1000350</v>
      </c>
      <c r="B148" s="3">
        <v>0</v>
      </c>
      <c r="D148" s="28">
        <v>119</v>
      </c>
      <c r="E148" s="3">
        <v>0</v>
      </c>
      <c r="F148">
        <f>VLOOKUP(D148,'Clientes activos'!$C:$C,1,FALSE)</f>
        <v>119</v>
      </c>
    </row>
    <row r="149" spans="1:6" x14ac:dyDescent="0.25">
      <c r="A149" s="28">
        <v>208</v>
      </c>
      <c r="B149" s="3">
        <v>0</v>
      </c>
      <c r="D149" s="28">
        <v>171</v>
      </c>
      <c r="E149" s="3">
        <v>0</v>
      </c>
      <c r="F149">
        <f>VLOOKUP(D149,'Clientes activos'!$C:$C,1,FALSE)</f>
        <v>171</v>
      </c>
    </row>
    <row r="150" spans="1:6" x14ac:dyDescent="0.25">
      <c r="A150" s="28">
        <v>61</v>
      </c>
      <c r="B150" s="3">
        <v>0</v>
      </c>
      <c r="D150" s="28">
        <v>260</v>
      </c>
      <c r="E150" s="3">
        <v>0</v>
      </c>
      <c r="F150">
        <f>VLOOKUP(D150,'Clientes activos'!$C:$C,1,FALSE)</f>
        <v>260</v>
      </c>
    </row>
    <row r="151" spans="1:6" x14ac:dyDescent="0.25">
      <c r="A151" s="28">
        <v>210</v>
      </c>
      <c r="B151" s="3">
        <v>0</v>
      </c>
      <c r="D151" s="28">
        <v>174</v>
      </c>
      <c r="E151" s="3">
        <v>0</v>
      </c>
      <c r="F151">
        <f>VLOOKUP(D151,'Clientes activos'!$C:$C,1,FALSE)</f>
        <v>174</v>
      </c>
    </row>
    <row r="152" spans="1:6" x14ac:dyDescent="0.25">
      <c r="A152" s="28">
        <v>122</v>
      </c>
      <c r="B152" s="3">
        <v>0</v>
      </c>
      <c r="D152" s="28">
        <v>84</v>
      </c>
      <c r="E152" s="3">
        <v>0</v>
      </c>
      <c r="F152">
        <f>VLOOKUP(D152,'Clientes activos'!$C:$C,1,FALSE)</f>
        <v>84</v>
      </c>
    </row>
    <row r="153" spans="1:6" x14ac:dyDescent="0.25">
      <c r="A153" s="28">
        <v>23</v>
      </c>
      <c r="B153" s="3">
        <v>0</v>
      </c>
      <c r="D153" s="28">
        <v>175</v>
      </c>
      <c r="E153" s="3">
        <v>0</v>
      </c>
      <c r="F153">
        <f>VLOOKUP(D153,'Clientes activos'!$C:$C,1,FALSE)</f>
        <v>175</v>
      </c>
    </row>
    <row r="154" spans="1:6" x14ac:dyDescent="0.25">
      <c r="A154" s="28">
        <v>126</v>
      </c>
      <c r="B154" s="3">
        <v>0</v>
      </c>
      <c r="D154" s="28">
        <v>109</v>
      </c>
      <c r="E154" s="3">
        <v>0</v>
      </c>
      <c r="F154">
        <f>VLOOKUP(D154,'Clientes activos'!$C:$C,1,FALSE)</f>
        <v>109</v>
      </c>
    </row>
    <row r="155" spans="1:6" x14ac:dyDescent="0.25">
      <c r="A155" s="28">
        <v>209</v>
      </c>
      <c r="B155" s="3">
        <v>0</v>
      </c>
      <c r="D155" s="28">
        <v>176</v>
      </c>
      <c r="E155" s="3">
        <v>0</v>
      </c>
      <c r="F155">
        <f>VLOOKUP(D155,'Clientes activos'!$C:$C,1,FALSE)</f>
        <v>176</v>
      </c>
    </row>
    <row r="156" spans="1:6" x14ac:dyDescent="0.25">
      <c r="A156" s="28">
        <v>36</v>
      </c>
      <c r="B156" s="3">
        <v>0</v>
      </c>
      <c r="D156" s="28">
        <v>89</v>
      </c>
      <c r="E156" s="3">
        <v>0</v>
      </c>
      <c r="F156">
        <f>VLOOKUP(D156,'Clientes activos'!$C:$C,1,FALSE)</f>
        <v>89</v>
      </c>
    </row>
    <row r="157" spans="1:6" x14ac:dyDescent="0.25">
      <c r="A157" s="28">
        <v>39</v>
      </c>
      <c r="B157" s="3">
        <v>0</v>
      </c>
      <c r="D157" s="28">
        <v>177</v>
      </c>
      <c r="E157" s="3">
        <v>0</v>
      </c>
      <c r="F157">
        <f>VLOOKUP(D157,'Clientes activos'!$C:$C,1,FALSE)</f>
        <v>177</v>
      </c>
    </row>
    <row r="158" spans="1:6" x14ac:dyDescent="0.25">
      <c r="A158" s="28">
        <v>129</v>
      </c>
      <c r="B158" s="3">
        <v>0</v>
      </c>
      <c r="D158" s="28">
        <v>285</v>
      </c>
      <c r="E158" s="3">
        <v>0</v>
      </c>
      <c r="F158">
        <f>VLOOKUP(D158,'Clientes activos'!$C:$C,1,FALSE)</f>
        <v>285</v>
      </c>
    </row>
    <row r="159" spans="1:6" x14ac:dyDescent="0.25">
      <c r="A159" s="28">
        <v>44</v>
      </c>
      <c r="B159" s="3">
        <v>0</v>
      </c>
      <c r="D159" s="28">
        <v>4</v>
      </c>
      <c r="E159" s="3">
        <v>0</v>
      </c>
      <c r="F159">
        <f>VLOOKUP(D159,'Clientes activos'!$C:$C,1,FALSE)</f>
        <v>4</v>
      </c>
    </row>
    <row r="160" spans="1:6" x14ac:dyDescent="0.25">
      <c r="A160" s="28">
        <v>131</v>
      </c>
      <c r="B160" s="3">
        <v>0</v>
      </c>
      <c r="D160" s="28">
        <v>51</v>
      </c>
      <c r="E160" s="3">
        <v>0</v>
      </c>
      <c r="F160">
        <f>VLOOKUP(D160,'Clientes activos'!$C:$C,1,FALSE)</f>
        <v>51</v>
      </c>
    </row>
    <row r="161" spans="1:6" x14ac:dyDescent="0.25">
      <c r="A161" s="28">
        <v>215</v>
      </c>
      <c r="B161" s="3">
        <v>0</v>
      </c>
      <c r="D161" s="28">
        <v>179</v>
      </c>
      <c r="E161" s="3">
        <v>0</v>
      </c>
      <c r="F161">
        <f>VLOOKUP(D161,'Clientes activos'!$C:$C,1,FALSE)</f>
        <v>179</v>
      </c>
    </row>
    <row r="162" spans="1:6" x14ac:dyDescent="0.25">
      <c r="A162" s="28">
        <v>132</v>
      </c>
      <c r="B162" s="3">
        <v>0</v>
      </c>
      <c r="D162" s="28">
        <v>296</v>
      </c>
      <c r="E162" s="3">
        <v>0</v>
      </c>
      <c r="F162">
        <f>VLOOKUP(D162,'Clientes activos'!$C:$C,1,FALSE)</f>
        <v>296</v>
      </c>
    </row>
    <row r="163" spans="1:6" x14ac:dyDescent="0.25">
      <c r="A163" s="28">
        <v>218</v>
      </c>
      <c r="B163" s="3">
        <v>0</v>
      </c>
      <c r="D163" s="28">
        <v>180</v>
      </c>
      <c r="E163" s="3">
        <v>0</v>
      </c>
      <c r="F163">
        <f>VLOOKUP(D163,'Clientes activos'!$C:$C,1,FALSE)</f>
        <v>180</v>
      </c>
    </row>
    <row r="164" spans="1:6" x14ac:dyDescent="0.25">
      <c r="A164" s="28">
        <v>133</v>
      </c>
      <c r="B164" s="3">
        <v>0</v>
      </c>
      <c r="D164" s="28">
        <v>301</v>
      </c>
      <c r="E164" s="3">
        <v>0</v>
      </c>
      <c r="F164">
        <f>VLOOKUP(D164,'Clientes activos'!$C:$C,1,FALSE)</f>
        <v>301</v>
      </c>
    </row>
    <row r="165" spans="1:6" x14ac:dyDescent="0.25">
      <c r="A165" s="28">
        <v>221</v>
      </c>
      <c r="B165" s="3">
        <v>0</v>
      </c>
      <c r="D165" s="28">
        <v>181</v>
      </c>
      <c r="E165" s="3">
        <v>0</v>
      </c>
      <c r="F165">
        <f>VLOOKUP(D165,'Clientes activos'!$C:$C,1,FALSE)</f>
        <v>181</v>
      </c>
    </row>
    <row r="166" spans="1:6" x14ac:dyDescent="0.25">
      <c r="A166" s="28">
        <v>134</v>
      </c>
      <c r="B166" s="3">
        <v>0</v>
      </c>
      <c r="D166" s="28">
        <v>307</v>
      </c>
      <c r="E166" s="3">
        <v>0</v>
      </c>
      <c r="F166">
        <f>VLOOKUP(D166,'Clientes activos'!$C:$C,1,FALSE)</f>
        <v>307</v>
      </c>
    </row>
    <row r="167" spans="1:6" x14ac:dyDescent="0.25">
      <c r="A167" s="28">
        <v>223</v>
      </c>
      <c r="B167" s="3">
        <v>0</v>
      </c>
      <c r="D167" s="28">
        <v>2</v>
      </c>
      <c r="E167" s="3">
        <v>0</v>
      </c>
      <c r="F167">
        <f>VLOOKUP(D167,'Clientes activos'!$C:$C,1,FALSE)</f>
        <v>2</v>
      </c>
    </row>
    <row r="168" spans="1:6" x14ac:dyDescent="0.25">
      <c r="A168" s="28">
        <v>135</v>
      </c>
      <c r="B168" s="3">
        <v>0</v>
      </c>
      <c r="D168" s="28">
        <v>100</v>
      </c>
      <c r="E168" s="3">
        <v>0</v>
      </c>
      <c r="F168">
        <f>VLOOKUP(D168,'Clientes activos'!$C:$C,1,FALSE)</f>
        <v>100</v>
      </c>
    </row>
    <row r="169" spans="1:6" x14ac:dyDescent="0.25">
      <c r="A169" s="28">
        <v>26</v>
      </c>
      <c r="B169" s="3">
        <v>0</v>
      </c>
      <c r="D169" s="28">
        <v>183</v>
      </c>
      <c r="E169" s="3">
        <v>0</v>
      </c>
      <c r="F169">
        <f>VLOOKUP(D169,'Clientes activos'!$C:$C,1,FALSE)</f>
        <v>183</v>
      </c>
    </row>
    <row r="170" spans="1:6" x14ac:dyDescent="0.25">
      <c r="A170" s="28">
        <v>136</v>
      </c>
      <c r="B170" s="3">
        <v>0</v>
      </c>
      <c r="D170" s="28">
        <v>1000326</v>
      </c>
      <c r="E170" s="3">
        <v>0</v>
      </c>
      <c r="F170">
        <f>VLOOKUP(D170,'Clientes activos'!$C:$C,1,FALSE)</f>
        <v>1000326</v>
      </c>
    </row>
    <row r="171" spans="1:6" x14ac:dyDescent="0.25">
      <c r="A171" s="28">
        <v>228</v>
      </c>
      <c r="B171" s="3">
        <v>0</v>
      </c>
      <c r="D171" s="28">
        <v>101</v>
      </c>
      <c r="E171" s="3">
        <v>0</v>
      </c>
      <c r="F171">
        <f>VLOOKUP(D171,'Clientes activos'!$C:$C,1,FALSE)</f>
        <v>101</v>
      </c>
    </row>
    <row r="172" spans="1:6" x14ac:dyDescent="0.25">
      <c r="A172" s="28">
        <v>137</v>
      </c>
      <c r="B172" s="3">
        <v>0</v>
      </c>
      <c r="D172" s="28">
        <v>131</v>
      </c>
      <c r="E172" s="3">
        <v>0</v>
      </c>
      <c r="F172">
        <f>VLOOKUP(D172,'Clientes activos'!$C:$C,1,FALSE)</f>
        <v>131</v>
      </c>
    </row>
    <row r="173" spans="1:6" x14ac:dyDescent="0.25">
      <c r="A173" s="28">
        <v>231</v>
      </c>
      <c r="B173" s="3">
        <v>0</v>
      </c>
      <c r="D173" s="28">
        <v>24</v>
      </c>
      <c r="E173" s="3">
        <v>0</v>
      </c>
      <c r="F173">
        <f>VLOOKUP(D173,'Clientes activos'!$C:$C,1,FALSE)</f>
        <v>24</v>
      </c>
    </row>
    <row r="174" spans="1:6" x14ac:dyDescent="0.25">
      <c r="A174" s="28">
        <v>140</v>
      </c>
      <c r="B174" s="3">
        <v>0</v>
      </c>
      <c r="D174" s="28">
        <v>41</v>
      </c>
      <c r="E174" s="3">
        <v>0</v>
      </c>
      <c r="F174">
        <f>VLOOKUP(D174,'Clientes activos'!$C:$C,1,FALSE)</f>
        <v>41</v>
      </c>
    </row>
    <row r="175" spans="1:6" x14ac:dyDescent="0.25">
      <c r="A175" s="28">
        <v>235</v>
      </c>
      <c r="B175" s="3">
        <v>0</v>
      </c>
      <c r="D175" s="28">
        <v>71</v>
      </c>
      <c r="E175" s="3">
        <v>0</v>
      </c>
      <c r="F175">
        <f>VLOOKUP(D175,'Clientes activos'!$C:$C,1,FALSE)</f>
        <v>71</v>
      </c>
    </row>
    <row r="176" spans="1:6" x14ac:dyDescent="0.25">
      <c r="A176" s="28">
        <v>141</v>
      </c>
      <c r="B176" s="3">
        <v>0</v>
      </c>
      <c r="D176" s="28">
        <v>236</v>
      </c>
      <c r="E176" s="3">
        <v>0</v>
      </c>
      <c r="F176">
        <f>VLOOKUP(D176,'Clientes activos'!$C:$C,1,FALSE)</f>
        <v>236</v>
      </c>
    </row>
    <row r="177" spans="1:6" x14ac:dyDescent="0.25">
      <c r="A177" s="28">
        <v>237</v>
      </c>
      <c r="B177" s="3">
        <v>0</v>
      </c>
      <c r="D177" s="28">
        <v>72</v>
      </c>
      <c r="E177" s="3">
        <v>0</v>
      </c>
      <c r="F177">
        <f>VLOOKUP(D177,'Clientes activos'!$C:$C,1,FALSE)</f>
        <v>72</v>
      </c>
    </row>
    <row r="178" spans="1:6" x14ac:dyDescent="0.25">
      <c r="A178" s="28">
        <v>142</v>
      </c>
      <c r="B178" s="3">
        <v>0</v>
      </c>
      <c r="D178" s="28">
        <v>118</v>
      </c>
      <c r="E178" s="3">
        <v>0</v>
      </c>
      <c r="F178">
        <f>VLOOKUP(D178,'Clientes activos'!$C:$C,1,FALSE)</f>
        <v>118</v>
      </c>
    </row>
    <row r="179" spans="1:6" x14ac:dyDescent="0.25">
      <c r="A179" s="28">
        <v>239</v>
      </c>
      <c r="B179" s="3">
        <v>0</v>
      </c>
      <c r="D179" s="28">
        <v>192</v>
      </c>
      <c r="E179" s="3">
        <v>0</v>
      </c>
      <c r="F179">
        <f>VLOOKUP(D179,'Clientes activos'!$C:$C,1,FALSE)</f>
        <v>192</v>
      </c>
    </row>
    <row r="180" spans="1:6" x14ac:dyDescent="0.25">
      <c r="A180" s="28">
        <v>143</v>
      </c>
      <c r="B180" s="3">
        <v>0</v>
      </c>
      <c r="D180" s="28">
        <v>54</v>
      </c>
      <c r="E180" s="3">
        <v>0</v>
      </c>
      <c r="F180">
        <f>VLOOKUP(D180,'Clientes activos'!$C:$C,1,FALSE)</f>
        <v>54</v>
      </c>
    </row>
    <row r="181" spans="1:6" x14ac:dyDescent="0.25">
      <c r="A181" s="28">
        <v>27</v>
      </c>
      <c r="B181" s="3">
        <v>0</v>
      </c>
      <c r="D181" s="28">
        <v>193</v>
      </c>
      <c r="E181" s="3">
        <v>0</v>
      </c>
      <c r="F181">
        <f>VLOOKUP(D181,'Clientes activos'!$C:$C,1,FALSE)</f>
        <v>193</v>
      </c>
    </row>
    <row r="182" spans="1:6" x14ac:dyDescent="0.25">
      <c r="A182" s="28">
        <v>147</v>
      </c>
      <c r="B182" s="3">
        <v>0</v>
      </c>
      <c r="D182" s="28">
        <v>242</v>
      </c>
      <c r="E182" s="3">
        <v>0</v>
      </c>
      <c r="F182">
        <f>VLOOKUP(D182,'Clientes activos'!$C:$C,1,FALSE)</f>
        <v>242</v>
      </c>
    </row>
    <row r="183" spans="1:6" x14ac:dyDescent="0.25">
      <c r="A183" s="28">
        <v>243</v>
      </c>
      <c r="B183" s="3">
        <v>0</v>
      </c>
      <c r="D183" s="28">
        <v>17</v>
      </c>
      <c r="E183" s="3">
        <v>0</v>
      </c>
      <c r="F183">
        <f>VLOOKUP(D183,'Clientes activos'!$C:$C,1,FALSE)</f>
        <v>17</v>
      </c>
    </row>
    <row r="184" spans="1:6" x14ac:dyDescent="0.25">
      <c r="A184" s="28">
        <v>148</v>
      </c>
      <c r="B184" s="3">
        <v>0</v>
      </c>
      <c r="D184" s="28">
        <v>97</v>
      </c>
      <c r="E184" s="3">
        <v>0</v>
      </c>
      <c r="F184">
        <f>VLOOKUP(D184,'Clientes activos'!$C:$C,1,FALSE)</f>
        <v>97</v>
      </c>
    </row>
    <row r="185" spans="1:6" x14ac:dyDescent="0.25">
      <c r="A185" s="28">
        <v>245</v>
      </c>
      <c r="B185" s="3">
        <v>0</v>
      </c>
      <c r="D185" s="28">
        <v>195</v>
      </c>
      <c r="E185" s="3">
        <v>0</v>
      </c>
      <c r="F185">
        <f>VLOOKUP(D185,'Clientes activos'!$C:$C,1,FALSE)</f>
        <v>195</v>
      </c>
    </row>
    <row r="186" spans="1:6" x14ac:dyDescent="0.25">
      <c r="A186" s="28">
        <v>149</v>
      </c>
      <c r="B186" s="3">
        <v>0</v>
      </c>
      <c r="D186" s="28">
        <v>246</v>
      </c>
      <c r="E186" s="3">
        <v>0</v>
      </c>
      <c r="F186">
        <f>VLOOKUP(D186,'Clientes activos'!$C:$C,1,FALSE)</f>
        <v>246</v>
      </c>
    </row>
    <row r="187" spans="1:6" x14ac:dyDescent="0.25">
      <c r="A187" s="28">
        <v>247</v>
      </c>
      <c r="B187" s="3">
        <v>0</v>
      </c>
      <c r="D187" s="28">
        <v>74</v>
      </c>
      <c r="E187" s="3">
        <v>0</v>
      </c>
      <c r="F187">
        <f>VLOOKUP(D187,'Clientes activos'!$C:$C,1,FALSE)</f>
        <v>74</v>
      </c>
    </row>
    <row r="188" spans="1:6" x14ac:dyDescent="0.25">
      <c r="A188" s="28">
        <v>150</v>
      </c>
      <c r="B188" s="3">
        <v>0</v>
      </c>
      <c r="D188" s="28">
        <v>108</v>
      </c>
      <c r="E188" s="3">
        <v>0</v>
      </c>
      <c r="F188">
        <f>VLOOKUP(D188,'Clientes activos'!$C:$C,1,FALSE)</f>
        <v>108</v>
      </c>
    </row>
    <row r="189" spans="1:6" x14ac:dyDescent="0.25">
      <c r="A189" s="28">
        <v>250</v>
      </c>
      <c r="B189" s="3">
        <v>0</v>
      </c>
      <c r="D189" s="28">
        <v>199</v>
      </c>
      <c r="E189" s="3">
        <v>0</v>
      </c>
      <c r="F189">
        <f>VLOOKUP(D189,'Clientes activos'!$C:$C,1,FALSE)</f>
        <v>199</v>
      </c>
    </row>
    <row r="190" spans="1:6" x14ac:dyDescent="0.25">
      <c r="A190" s="28">
        <v>152</v>
      </c>
      <c r="B190" s="3">
        <v>0</v>
      </c>
      <c r="D190" s="28">
        <v>47</v>
      </c>
      <c r="E190" s="3">
        <v>0</v>
      </c>
      <c r="F190">
        <f>VLOOKUP(D190,'Clientes activos'!$C:$C,1,FALSE)</f>
        <v>47</v>
      </c>
    </row>
    <row r="191" spans="1:6" x14ac:dyDescent="0.25">
      <c r="A191" s="28">
        <v>256</v>
      </c>
      <c r="B191" s="3">
        <v>0</v>
      </c>
      <c r="D191" s="28">
        <v>1000355</v>
      </c>
      <c r="E191" s="3">
        <v>0</v>
      </c>
      <c r="F191">
        <f>VLOOKUP(D191,'Clientes activos'!$C:$C,1,FALSE)</f>
        <v>1000355</v>
      </c>
    </row>
    <row r="192" spans="1:6" x14ac:dyDescent="0.25">
      <c r="A192" s="28">
        <v>153</v>
      </c>
      <c r="B192" s="3">
        <v>0</v>
      </c>
      <c r="D192" s="28">
        <v>257</v>
      </c>
      <c r="E192" s="3">
        <v>0</v>
      </c>
      <c r="F192">
        <f>VLOOKUP(D192,'Clientes activos'!$C:$C,1,FALSE)</f>
        <v>257</v>
      </c>
    </row>
    <row r="193" spans="1:6" x14ac:dyDescent="0.25">
      <c r="A193" s="28">
        <v>260</v>
      </c>
      <c r="B193" s="3">
        <v>0</v>
      </c>
      <c r="D193" s="28">
        <v>7</v>
      </c>
      <c r="E193" s="3">
        <v>0</v>
      </c>
      <c r="F193">
        <f>VLOOKUP(D193,'Clientes activos'!$C:$C,1,FALSE)</f>
        <v>7</v>
      </c>
    </row>
    <row r="194" spans="1:6" x14ac:dyDescent="0.25">
      <c r="A194" s="28">
        <v>262</v>
      </c>
      <c r="B194" s="3">
        <v>0</v>
      </c>
      <c r="D194" s="28">
        <v>261</v>
      </c>
      <c r="E194" s="3">
        <v>0</v>
      </c>
      <c r="F194">
        <f>VLOOKUP(D194,'Clientes activos'!$C:$C,1,FALSE)</f>
        <v>261</v>
      </c>
    </row>
    <row r="195" spans="1:6" x14ac:dyDescent="0.25">
      <c r="A195" s="28">
        <v>45</v>
      </c>
      <c r="B195" s="3">
        <v>0</v>
      </c>
      <c r="D195" s="28">
        <v>115</v>
      </c>
      <c r="E195" s="3">
        <v>0</v>
      </c>
      <c r="F195">
        <f>VLOOKUP(D195,'Clientes activos'!$C:$C,1,FALSE)</f>
        <v>115</v>
      </c>
    </row>
    <row r="196" spans="1:6" x14ac:dyDescent="0.25">
      <c r="A196" s="28">
        <v>264</v>
      </c>
      <c r="B196" s="3">
        <v>0</v>
      </c>
      <c r="D196" s="28">
        <v>263</v>
      </c>
      <c r="E196" s="3">
        <v>0</v>
      </c>
      <c r="F196">
        <f>VLOOKUP(D196,'Clientes activos'!$C:$C,1,FALSE)</f>
        <v>263</v>
      </c>
    </row>
    <row r="197" spans="1:6" x14ac:dyDescent="0.25">
      <c r="A197" s="28">
        <v>18</v>
      </c>
      <c r="B197" s="3">
        <v>0</v>
      </c>
      <c r="D197" s="28">
        <v>204</v>
      </c>
      <c r="E197" s="3">
        <v>0</v>
      </c>
      <c r="F197">
        <f>VLOOKUP(D197,'Clientes activos'!$C:$C,1,FALSE)</f>
        <v>204</v>
      </c>
    </row>
    <row r="198" spans="1:6" x14ac:dyDescent="0.25">
      <c r="A198" s="28">
        <v>268</v>
      </c>
      <c r="B198" s="3">
        <v>0</v>
      </c>
      <c r="D198" s="28">
        <v>85</v>
      </c>
      <c r="E198" s="3">
        <v>0</v>
      </c>
      <c r="F198">
        <f>VLOOKUP(D198,'Clientes activos'!$C:$C,1,FALSE)</f>
        <v>85</v>
      </c>
    </row>
    <row r="199" spans="1:6" x14ac:dyDescent="0.25">
      <c r="A199" s="28">
        <v>155</v>
      </c>
      <c r="B199" s="3">
        <v>0</v>
      </c>
      <c r="D199" s="28">
        <v>205</v>
      </c>
      <c r="E199" s="3">
        <v>0</v>
      </c>
      <c r="F199">
        <f>VLOOKUP(D199,'Clientes activos'!$C:$C,1,FALSE)</f>
        <v>205</v>
      </c>
    </row>
    <row r="200" spans="1:6" x14ac:dyDescent="0.25">
      <c r="A200" s="28">
        <v>271</v>
      </c>
      <c r="B200" s="3">
        <v>0</v>
      </c>
      <c r="D200" s="28">
        <v>271</v>
      </c>
      <c r="E200" s="3">
        <v>0</v>
      </c>
      <c r="F200">
        <f>VLOOKUP(D200,'Clientes activos'!$C:$C,1,FALSE)</f>
        <v>271</v>
      </c>
    </row>
    <row r="201" spans="1:6" x14ac:dyDescent="0.25">
      <c r="A201" s="28">
        <v>156</v>
      </c>
      <c r="B201" s="3">
        <v>0</v>
      </c>
      <c r="D201" s="28">
        <v>207</v>
      </c>
      <c r="E201" s="3">
        <v>0</v>
      </c>
      <c r="F201">
        <f>VLOOKUP(D201,'Clientes activos'!$C:$C,1,FALSE)</f>
        <v>207</v>
      </c>
    </row>
    <row r="202" spans="1:6" x14ac:dyDescent="0.25">
      <c r="A202" s="28">
        <v>275</v>
      </c>
      <c r="B202" s="3">
        <v>0</v>
      </c>
      <c r="D202" s="28">
        <v>19</v>
      </c>
      <c r="E202" s="3">
        <v>0</v>
      </c>
      <c r="F202">
        <f>VLOOKUP(D202,'Clientes activos'!$C:$C,1,FALSE)</f>
        <v>19</v>
      </c>
    </row>
    <row r="203" spans="1:6" x14ac:dyDescent="0.25">
      <c r="A203" s="28">
        <v>157</v>
      </c>
      <c r="B203" s="3">
        <v>0</v>
      </c>
      <c r="D203" s="28">
        <v>77</v>
      </c>
      <c r="E203" s="3">
        <v>0</v>
      </c>
      <c r="F203">
        <f>VLOOKUP(D203,'Clientes activos'!$C:$C,1,FALSE)</f>
        <v>77</v>
      </c>
    </row>
    <row r="204" spans="1:6" x14ac:dyDescent="0.25">
      <c r="A204" s="28">
        <v>278</v>
      </c>
      <c r="B204" s="3">
        <v>0</v>
      </c>
      <c r="D204" s="28">
        <v>88</v>
      </c>
      <c r="E204" s="3">
        <v>0</v>
      </c>
      <c r="F204">
        <f>VLOOKUP(D204,'Clientes activos'!$C:$C,1,FALSE)</f>
        <v>88</v>
      </c>
    </row>
    <row r="205" spans="1:6" x14ac:dyDescent="0.25">
      <c r="A205" s="28">
        <v>158</v>
      </c>
      <c r="B205" s="3">
        <v>0</v>
      </c>
      <c r="D205" s="28">
        <v>209</v>
      </c>
      <c r="E205" s="3">
        <v>0</v>
      </c>
      <c r="F205">
        <f>VLOOKUP(D205,'Clientes activos'!$C:$C,1,FALSE)</f>
        <v>209</v>
      </c>
    </row>
    <row r="206" spans="1:6" x14ac:dyDescent="0.25">
      <c r="A206" s="28">
        <v>282</v>
      </c>
      <c r="B206" s="3">
        <v>0</v>
      </c>
      <c r="D206" s="28">
        <v>282</v>
      </c>
      <c r="E206" s="3">
        <v>0</v>
      </c>
      <c r="F206">
        <f>VLOOKUP(D206,'Clientes activos'!$C:$C,1,FALSE)</f>
        <v>282</v>
      </c>
    </row>
    <row r="207" spans="1:6" x14ac:dyDescent="0.25">
      <c r="A207" s="28">
        <v>159</v>
      </c>
      <c r="B207" s="3">
        <v>0</v>
      </c>
      <c r="D207" s="28">
        <v>210</v>
      </c>
      <c r="E207" s="3">
        <v>0</v>
      </c>
      <c r="F207">
        <f>VLOOKUP(D207,'Clientes activos'!$C:$C,1,FALSE)</f>
        <v>210</v>
      </c>
    </row>
    <row r="208" spans="1:6" x14ac:dyDescent="0.25">
      <c r="A208" s="28">
        <v>284</v>
      </c>
      <c r="B208" s="3">
        <v>0</v>
      </c>
      <c r="D208" s="28">
        <v>32</v>
      </c>
      <c r="E208" s="3">
        <v>0</v>
      </c>
      <c r="F208">
        <f>VLOOKUP(D208,'Clientes activos'!$C:$C,1,FALSE)</f>
        <v>32</v>
      </c>
    </row>
    <row r="209" spans="1:6" x14ac:dyDescent="0.25">
      <c r="A209" s="28">
        <v>160</v>
      </c>
      <c r="B209" s="3">
        <v>0</v>
      </c>
      <c r="D209" s="28">
        <v>211</v>
      </c>
      <c r="E209" s="3">
        <v>0</v>
      </c>
      <c r="F209">
        <f>VLOOKUP(D209,'Clientes activos'!$C:$C,1,FALSE)</f>
        <v>211</v>
      </c>
    </row>
    <row r="210" spans="1:6" x14ac:dyDescent="0.25">
      <c r="A210" s="28">
        <v>287</v>
      </c>
      <c r="B210" s="3">
        <v>0</v>
      </c>
      <c r="D210" s="28">
        <v>287</v>
      </c>
      <c r="E210" s="3">
        <v>0</v>
      </c>
      <c r="F210">
        <f>VLOOKUP(D210,'Clientes activos'!$C:$C,1,FALSE)</f>
        <v>287</v>
      </c>
    </row>
    <row r="211" spans="1:6" x14ac:dyDescent="0.25">
      <c r="A211" s="28">
        <v>161</v>
      </c>
      <c r="B211" s="3">
        <v>0</v>
      </c>
      <c r="D211" s="28">
        <v>103</v>
      </c>
      <c r="E211" s="3">
        <v>0</v>
      </c>
      <c r="F211">
        <f>VLOOKUP(D211,'Clientes activos'!$C:$C,1,FALSE)</f>
        <v>103</v>
      </c>
    </row>
    <row r="212" spans="1:6" x14ac:dyDescent="0.25">
      <c r="A212" s="28">
        <v>289</v>
      </c>
      <c r="B212" s="3">
        <v>0</v>
      </c>
      <c r="D212" s="28">
        <v>289</v>
      </c>
      <c r="E212" s="3">
        <v>0</v>
      </c>
      <c r="F212">
        <f>VLOOKUP(D212,'Clientes activos'!$C:$C,1,FALSE)</f>
        <v>289</v>
      </c>
    </row>
    <row r="213" spans="1:6" x14ac:dyDescent="0.25">
      <c r="A213" s="28">
        <v>162</v>
      </c>
      <c r="B213" s="3">
        <v>0</v>
      </c>
      <c r="D213" s="28">
        <v>213</v>
      </c>
      <c r="E213" s="3">
        <v>0</v>
      </c>
      <c r="F213">
        <f>VLOOKUP(D213,'Clientes activos'!$C:$C,1,FALSE)</f>
        <v>213</v>
      </c>
    </row>
    <row r="214" spans="1:6" x14ac:dyDescent="0.25">
      <c r="A214" s="28">
        <v>291</v>
      </c>
      <c r="B214" s="3">
        <v>0</v>
      </c>
      <c r="D214" s="28">
        <v>291</v>
      </c>
      <c r="E214" s="3">
        <v>0</v>
      </c>
      <c r="F214">
        <f>VLOOKUP(D214,'Clientes activos'!$C:$C,1,FALSE)</f>
        <v>291</v>
      </c>
    </row>
    <row r="215" spans="1:6" x14ac:dyDescent="0.25">
      <c r="A215" s="28">
        <v>163</v>
      </c>
      <c r="B215" s="3">
        <v>0</v>
      </c>
      <c r="D215" s="28">
        <v>1000332</v>
      </c>
      <c r="E215" s="3">
        <v>0</v>
      </c>
      <c r="F215">
        <f>VLOOKUP(D215,'Clientes activos'!$C:$C,1,FALSE)</f>
        <v>1000332</v>
      </c>
    </row>
    <row r="216" spans="1:6" x14ac:dyDescent="0.25">
      <c r="A216" s="28">
        <v>294</v>
      </c>
      <c r="B216" s="3">
        <v>0</v>
      </c>
      <c r="D216" s="28">
        <v>294</v>
      </c>
      <c r="E216" s="3">
        <v>0</v>
      </c>
      <c r="F216">
        <f>VLOOKUP(D216,'Clientes activos'!$C:$C,1,FALSE)</f>
        <v>294</v>
      </c>
    </row>
    <row r="217" spans="1:6" x14ac:dyDescent="0.25">
      <c r="A217" s="28">
        <v>164</v>
      </c>
      <c r="B217" s="3">
        <v>0</v>
      </c>
      <c r="D217" s="28">
        <v>1000333</v>
      </c>
      <c r="E217" s="3">
        <v>0</v>
      </c>
      <c r="F217">
        <f>VLOOKUP(D217,'Clientes activos'!$C:$C,1,FALSE)</f>
        <v>1000333</v>
      </c>
    </row>
    <row r="218" spans="1:6" x14ac:dyDescent="0.25">
      <c r="A218" s="28">
        <v>29</v>
      </c>
      <c r="B218" s="3">
        <v>0</v>
      </c>
      <c r="D218" s="28">
        <v>297</v>
      </c>
      <c r="E218" s="3">
        <v>0</v>
      </c>
      <c r="F218">
        <f>VLOOKUP(D218,'Clientes activos'!$C:$C,1,FALSE)</f>
        <v>297</v>
      </c>
    </row>
    <row r="219" spans="1:6" x14ac:dyDescent="0.25">
      <c r="A219" s="28">
        <v>165</v>
      </c>
      <c r="B219" s="3">
        <v>0</v>
      </c>
      <c r="D219" s="28">
        <v>1000335</v>
      </c>
      <c r="E219" s="3">
        <v>0</v>
      </c>
      <c r="F219">
        <f>VLOOKUP(D219,'Clientes activos'!$C:$C,1,FALSE)</f>
        <v>1000335</v>
      </c>
    </row>
    <row r="220" spans="1:6" x14ac:dyDescent="0.25">
      <c r="A220" s="28">
        <v>300</v>
      </c>
      <c r="B220" s="3">
        <v>0</v>
      </c>
      <c r="D220" s="28">
        <v>300</v>
      </c>
      <c r="E220" s="3">
        <v>0</v>
      </c>
      <c r="F220">
        <f>VLOOKUP(D220,'Clientes activos'!$C:$C,1,FALSE)</f>
        <v>300</v>
      </c>
    </row>
    <row r="221" spans="1:6" x14ac:dyDescent="0.25">
      <c r="A221" s="28">
        <v>167</v>
      </c>
      <c r="B221" s="3">
        <v>0</v>
      </c>
      <c r="D221" s="28">
        <v>1000339</v>
      </c>
      <c r="E221" s="3">
        <v>0</v>
      </c>
      <c r="F221">
        <f>VLOOKUP(D221,'Clientes activos'!$C:$C,1,FALSE)</f>
        <v>1000339</v>
      </c>
    </row>
    <row r="222" spans="1:6" x14ac:dyDescent="0.25">
      <c r="A222" s="28">
        <v>302</v>
      </c>
      <c r="B222" s="3">
        <v>0</v>
      </c>
      <c r="D222" s="28">
        <v>134</v>
      </c>
      <c r="E222" s="3">
        <v>0</v>
      </c>
      <c r="F222">
        <f>VLOOKUP(D222,'Clientes activos'!$C:$C,1,FALSE)</f>
        <v>134</v>
      </c>
    </row>
    <row r="223" spans="1:6" x14ac:dyDescent="0.25">
      <c r="A223" s="28">
        <v>168</v>
      </c>
      <c r="B223" s="3">
        <v>0</v>
      </c>
      <c r="D223" s="28">
        <v>110</v>
      </c>
      <c r="E223" s="3">
        <v>0</v>
      </c>
      <c r="F223">
        <f>VLOOKUP(D223,'Clientes activos'!$C:$C,1,FALSE)</f>
        <v>110</v>
      </c>
    </row>
    <row r="224" spans="1:6" x14ac:dyDescent="0.25">
      <c r="A224" s="28">
        <v>306</v>
      </c>
      <c r="B224" s="3">
        <v>0</v>
      </c>
      <c r="D224" s="28">
        <v>306</v>
      </c>
      <c r="E224" s="3">
        <v>0</v>
      </c>
      <c r="F224">
        <f>VLOOKUP(D224,'Clientes activos'!$C:$C,1,FALSE)</f>
        <v>306</v>
      </c>
    </row>
    <row r="225" spans="1:6" x14ac:dyDescent="0.25">
      <c r="A225" s="28">
        <v>169</v>
      </c>
      <c r="B225" s="3">
        <v>0</v>
      </c>
      <c r="D225" s="28">
        <v>330</v>
      </c>
      <c r="E225" s="3">
        <v>0</v>
      </c>
      <c r="F225">
        <f>VLOOKUP(D225,'Clientes activos'!$C:$C,1,FALSE)</f>
        <v>330</v>
      </c>
    </row>
    <row r="226" spans="1:6" x14ac:dyDescent="0.25">
      <c r="A226" s="28">
        <v>309</v>
      </c>
      <c r="B226" s="3">
        <v>0</v>
      </c>
      <c r="D226" s="28">
        <v>136</v>
      </c>
      <c r="E226" s="3">
        <v>0</v>
      </c>
      <c r="F226">
        <f>VLOOKUP(D226,'Clientes activos'!$C:$C,1,FALSE)</f>
        <v>136</v>
      </c>
    </row>
    <row r="227" spans="1:6" x14ac:dyDescent="0.25">
      <c r="A227" s="28">
        <v>171</v>
      </c>
      <c r="B227" s="3">
        <v>0</v>
      </c>
      <c r="D227" s="28">
        <v>121</v>
      </c>
      <c r="E227" s="3">
        <v>0</v>
      </c>
      <c r="F227">
        <f>VLOOKUP(D227,'Clientes activos'!$C:$C,1,FALSE)</f>
        <v>121</v>
      </c>
    </row>
    <row r="228" spans="1:6" x14ac:dyDescent="0.25">
      <c r="A228" s="28">
        <v>312</v>
      </c>
      <c r="B228" s="3">
        <v>0</v>
      </c>
      <c r="D228" s="28">
        <v>312</v>
      </c>
      <c r="E228" s="3">
        <v>0</v>
      </c>
      <c r="F228">
        <f>VLOOKUP(D228,'Clientes activos'!$C:$C,1,FALSE)</f>
        <v>312</v>
      </c>
    </row>
    <row r="229" spans="1:6" x14ac:dyDescent="0.25">
      <c r="A229" s="28">
        <v>174</v>
      </c>
      <c r="B229" s="3">
        <v>0</v>
      </c>
      <c r="D229" s="28">
        <v>92</v>
      </c>
      <c r="E229" s="3">
        <v>0</v>
      </c>
      <c r="F229">
        <f>VLOOKUP(D229,'Clientes activos'!$C:$C,1,FALSE)</f>
        <v>92</v>
      </c>
    </row>
    <row r="230" spans="1:6" x14ac:dyDescent="0.25">
      <c r="A230" s="28">
        <v>314</v>
      </c>
      <c r="B230" s="3">
        <v>0</v>
      </c>
      <c r="D230" s="28">
        <v>318</v>
      </c>
      <c r="E230" s="3">
        <v>0</v>
      </c>
      <c r="F230">
        <f>VLOOKUP(D230,'Clientes activos'!$C:$C,1,FALSE)</f>
        <v>318</v>
      </c>
    </row>
    <row r="231" spans="1:6" x14ac:dyDescent="0.25">
      <c r="A231" s="28">
        <v>19</v>
      </c>
      <c r="B231" s="3">
        <v>0</v>
      </c>
      <c r="D231" s="28">
        <v>140</v>
      </c>
      <c r="E231" s="3">
        <v>0</v>
      </c>
      <c r="F231">
        <f>VLOOKUP(D231,'Clientes activos'!$C:$C,1,FALSE)</f>
        <v>140</v>
      </c>
    </row>
    <row r="232" spans="1:6" x14ac:dyDescent="0.25">
      <c r="A232" s="28">
        <v>316</v>
      </c>
      <c r="B232" s="3">
        <v>0</v>
      </c>
      <c r="D232" s="28">
        <v>336</v>
      </c>
      <c r="E232" s="3">
        <v>0</v>
      </c>
      <c r="F232">
        <f>VLOOKUP(D232,'Clientes activos'!$C:$C,1,FALSE)</f>
        <v>336</v>
      </c>
    </row>
    <row r="233" spans="1:6" x14ac:dyDescent="0.25">
      <c r="A233" s="28">
        <v>176</v>
      </c>
      <c r="B233" s="3">
        <v>0</v>
      </c>
      <c r="D233" s="28">
        <v>122</v>
      </c>
      <c r="E233" s="3">
        <v>0</v>
      </c>
      <c r="F233">
        <f>VLOOKUP(D233,'Clientes activos'!$C:$C,1,FALSE)</f>
        <v>122</v>
      </c>
    </row>
    <row r="234" spans="1:6" x14ac:dyDescent="0.25">
      <c r="A234" s="28">
        <v>318</v>
      </c>
      <c r="B234" s="3">
        <v>0</v>
      </c>
      <c r="D234" s="28">
        <v>345</v>
      </c>
      <c r="E234" s="3">
        <v>0</v>
      </c>
      <c r="F234">
        <f>VLOOKUP(D234,'Clientes activos'!$C:$C,1,FALSE)</f>
        <v>345</v>
      </c>
    </row>
    <row r="235" spans="1:6" x14ac:dyDescent="0.25">
      <c r="A235" s="28">
        <v>177</v>
      </c>
      <c r="B235" s="3">
        <v>0</v>
      </c>
      <c r="D235" s="28">
        <v>35</v>
      </c>
      <c r="E235" s="3">
        <v>0</v>
      </c>
      <c r="F235">
        <f>VLOOKUP(D235,'Clientes activos'!$C:$C,1,FALSE)</f>
        <v>35</v>
      </c>
    </row>
    <row r="236" spans="1:6" x14ac:dyDescent="0.25">
      <c r="A236" s="28">
        <v>321</v>
      </c>
      <c r="B236" s="3">
        <v>0</v>
      </c>
      <c r="D236" s="28">
        <v>129</v>
      </c>
      <c r="E236" s="3">
        <v>0</v>
      </c>
      <c r="F236">
        <f>VLOOKUP(D236,'Clientes activos'!$C:$C,1,FALSE)</f>
        <v>129</v>
      </c>
    </row>
    <row r="237" spans="1:6" x14ac:dyDescent="0.25">
      <c r="A237" s="28">
        <v>178</v>
      </c>
      <c r="B237" s="3">
        <v>0</v>
      </c>
      <c r="D237" s="28">
        <v>98</v>
      </c>
      <c r="E237" s="3">
        <v>0</v>
      </c>
      <c r="F237">
        <f>VLOOKUP(D237,'Clientes activos'!$C:$C,1,FALSE)</f>
        <v>98</v>
      </c>
    </row>
    <row r="238" spans="1:6" x14ac:dyDescent="0.25">
      <c r="A238" s="28">
        <v>329</v>
      </c>
      <c r="B238" s="3">
        <v>0</v>
      </c>
      <c r="D238" s="28">
        <v>1000323</v>
      </c>
      <c r="E238" s="3">
        <v>0</v>
      </c>
      <c r="F238">
        <f>VLOOKUP(D238,'Clientes activos'!$C:$C,1,FALSE)</f>
        <v>1000323</v>
      </c>
    </row>
    <row r="239" spans="1:6" x14ac:dyDescent="0.25">
      <c r="A239" s="28">
        <v>21</v>
      </c>
      <c r="B239" s="3">
        <v>0</v>
      </c>
      <c r="D239" s="28">
        <v>1000341</v>
      </c>
      <c r="E239" s="3">
        <v>0</v>
      </c>
      <c r="F239">
        <f>VLOOKUP(D239,'Clientes activos'!$C:$C,1,FALSE)</f>
        <v>1000341</v>
      </c>
    </row>
    <row r="240" spans="1:6" x14ac:dyDescent="0.25">
      <c r="A240" s="28">
        <v>34</v>
      </c>
      <c r="B240" s="3">
        <v>0</v>
      </c>
      <c r="D240" s="28">
        <v>331</v>
      </c>
      <c r="E240" s="3">
        <v>0</v>
      </c>
      <c r="F240">
        <f>VLOOKUP(D240,'Clientes activos'!$C:$C,1,FALSE)</f>
        <v>331</v>
      </c>
    </row>
    <row r="241" spans="1:6" x14ac:dyDescent="0.25">
      <c r="A241" s="28">
        <v>180</v>
      </c>
      <c r="B241" s="3">
        <v>0</v>
      </c>
      <c r="D241" s="28">
        <v>1000343</v>
      </c>
      <c r="E241" s="3">
        <v>0</v>
      </c>
      <c r="F241">
        <f>VLOOKUP(D241,'Clientes activos'!$C:$C,1,FALSE)</f>
        <v>1000343</v>
      </c>
    </row>
    <row r="242" spans="1:6" x14ac:dyDescent="0.25">
      <c r="A242" s="28">
        <v>337</v>
      </c>
      <c r="B242" s="3">
        <v>0</v>
      </c>
      <c r="D242" s="28">
        <v>94</v>
      </c>
      <c r="E242" s="3">
        <v>0</v>
      </c>
      <c r="F242">
        <f>VLOOKUP(D242,'Clientes activos'!$C:$C,1,FALSE)</f>
        <v>94</v>
      </c>
    </row>
    <row r="243" spans="1:6" x14ac:dyDescent="0.25">
      <c r="A243" s="28">
        <v>1000353</v>
      </c>
      <c r="B243" s="3">
        <v>0</v>
      </c>
      <c r="D243" s="28">
        <v>1000346</v>
      </c>
      <c r="E243" s="3">
        <v>0</v>
      </c>
      <c r="F243">
        <f>VLOOKUP(D243,'Clientes activos'!$C:$C,1,FALSE)</f>
        <v>1000346</v>
      </c>
    </row>
    <row r="244" spans="1:6" x14ac:dyDescent="0.25">
      <c r="A244" s="28">
        <v>349</v>
      </c>
      <c r="B244" s="3">
        <v>0</v>
      </c>
      <c r="D244" s="28">
        <v>111</v>
      </c>
      <c r="E244" s="3">
        <v>0</v>
      </c>
      <c r="F244">
        <f>VLOOKUP(D244,'Clientes activos'!$C:$C,1,FALSE)</f>
        <v>111</v>
      </c>
    </row>
    <row r="245" spans="1:6" x14ac:dyDescent="0.25">
      <c r="A245" s="28">
        <v>4</v>
      </c>
      <c r="B245" s="3">
        <v>0</v>
      </c>
      <c r="D245" s="28">
        <v>113</v>
      </c>
      <c r="E245" s="3">
        <v>0</v>
      </c>
      <c r="F245">
        <f>VLOOKUP(D245,'Clientes activos'!$C:$C,1,FALSE)</f>
        <v>113</v>
      </c>
    </row>
    <row r="246" spans="1:6" x14ac:dyDescent="0.25">
      <c r="A246" s="28">
        <v>1000322</v>
      </c>
      <c r="B246" s="3">
        <v>0</v>
      </c>
      <c r="D246" s="28">
        <v>1000322</v>
      </c>
      <c r="E246" s="3">
        <v>0</v>
      </c>
      <c r="F246">
        <f>VLOOKUP(D246,'Clientes activos'!$C:$C,1,FALSE)</f>
        <v>1000322</v>
      </c>
    </row>
    <row r="247" spans="1:6" x14ac:dyDescent="0.25">
      <c r="A247" s="28">
        <v>183</v>
      </c>
      <c r="B247" s="3">
        <v>0</v>
      </c>
      <c r="D247" s="28">
        <v>49</v>
      </c>
      <c r="E247" s="3">
        <v>0</v>
      </c>
      <c r="F247">
        <f>VLOOKUP(D247,'Clientes activos'!$C:$C,1,FALSE)</f>
        <v>49</v>
      </c>
    </row>
    <row r="248" spans="1:6" x14ac:dyDescent="0.25">
      <c r="A248" s="28">
        <v>1000324</v>
      </c>
      <c r="B248" s="3">
        <v>0</v>
      </c>
      <c r="D248" s="28">
        <v>1000324</v>
      </c>
      <c r="E248" s="3">
        <v>0</v>
      </c>
      <c r="F248">
        <f>VLOOKUP(D248,'Clientes activos'!$C:$C,1,FALSE)</f>
        <v>1000324</v>
      </c>
    </row>
    <row r="249" spans="1:6" x14ac:dyDescent="0.25">
      <c r="A249" s="28">
        <v>185</v>
      </c>
      <c r="B249" s="3">
        <v>0</v>
      </c>
      <c r="D249" s="28">
        <v>1000354</v>
      </c>
      <c r="E249" s="3">
        <v>0</v>
      </c>
      <c r="F249">
        <f>VLOOKUP(D249,'Clientes activos'!$C:$C,1,FALSE)</f>
        <v>1000354</v>
      </c>
    </row>
    <row r="250" spans="1:6" x14ac:dyDescent="0.25">
      <c r="A250" s="28">
        <v>1000327</v>
      </c>
      <c r="B250" s="3">
        <v>0</v>
      </c>
      <c r="D250" s="28">
        <v>1000327</v>
      </c>
      <c r="E250" s="3">
        <v>0</v>
      </c>
      <c r="F250">
        <f>VLOOKUP(D250,'Clientes activos'!$C:$C,1,FALSE)</f>
        <v>1000327</v>
      </c>
    </row>
    <row r="251" spans="1:6" x14ac:dyDescent="0.25">
      <c r="A251" s="28">
        <v>186</v>
      </c>
      <c r="B251" s="3">
        <v>0</v>
      </c>
      <c r="D251" s="28">
        <v>227</v>
      </c>
      <c r="E251" s="3">
        <v>0</v>
      </c>
      <c r="F251">
        <f>VLOOKUP(D251,'Clientes activos'!$C:$C,1,FALSE)</f>
        <v>227</v>
      </c>
    </row>
    <row r="252" spans="1:6" x14ac:dyDescent="0.25">
      <c r="A252" s="28">
        <v>1000331</v>
      </c>
      <c r="B252" s="3">
        <v>0</v>
      </c>
      <c r="D252" s="28">
        <v>112</v>
      </c>
      <c r="E252" s="3">
        <v>0</v>
      </c>
      <c r="F252">
        <f>VLOOKUP(D252,'Clientes activos'!$C:$C,1,FALSE)</f>
        <v>112</v>
      </c>
    </row>
    <row r="253" spans="1:6" x14ac:dyDescent="0.25">
      <c r="A253" s="28">
        <v>188</v>
      </c>
      <c r="B253" s="3">
        <v>0</v>
      </c>
      <c r="D253" s="28">
        <v>228</v>
      </c>
      <c r="E253" s="3">
        <v>0</v>
      </c>
      <c r="F253">
        <f>VLOOKUP(D253,'Clientes activos'!$C:$C,1,FALSE)</f>
        <v>228</v>
      </c>
    </row>
    <row r="254" spans="1:6" x14ac:dyDescent="0.25">
      <c r="A254" s="28">
        <v>1000333</v>
      </c>
      <c r="B254" s="3">
        <v>0</v>
      </c>
      <c r="D254" s="28">
        <v>229</v>
      </c>
      <c r="E254" s="3">
        <v>0</v>
      </c>
      <c r="F254">
        <f>VLOOKUP(D254,'Clientes activos'!$C:$C,1,FALSE)</f>
        <v>229</v>
      </c>
    </row>
    <row r="255" spans="1:6" x14ac:dyDescent="0.25">
      <c r="A255" s="28">
        <v>189</v>
      </c>
      <c r="B255" s="3">
        <v>0</v>
      </c>
      <c r="D255" s="28">
        <v>1000334</v>
      </c>
      <c r="E255" s="3">
        <v>0</v>
      </c>
      <c r="F255">
        <f>VLOOKUP(D255,'Clientes activos'!$C:$C,1,FALSE)</f>
        <v>1000334</v>
      </c>
    </row>
    <row r="256" spans="1:6" x14ac:dyDescent="0.25">
      <c r="A256" s="28">
        <v>1000335</v>
      </c>
      <c r="B256" s="3">
        <v>0</v>
      </c>
      <c r="D256" s="28">
        <v>215</v>
      </c>
      <c r="E256" s="3">
        <v>0</v>
      </c>
      <c r="F256">
        <f>VLOOKUP(D256,'Clientes activos'!$C:$C,1,FALSE)</f>
        <v>215</v>
      </c>
    </row>
    <row r="257" spans="1:6" x14ac:dyDescent="0.25">
      <c r="A257" s="28">
        <v>192</v>
      </c>
      <c r="B257" s="3">
        <v>0</v>
      </c>
      <c r="D257" s="28">
        <v>1000338</v>
      </c>
      <c r="E257" s="3">
        <v>0</v>
      </c>
      <c r="F257">
        <f>VLOOKUP(D257,'Clientes activos'!$C:$C,1,FALSE)</f>
        <v>1000338</v>
      </c>
    </row>
    <row r="258" spans="1:6" x14ac:dyDescent="0.25">
      <c r="A258" s="28">
        <v>1000339</v>
      </c>
      <c r="B258" s="3">
        <v>0</v>
      </c>
      <c r="D258" s="28">
        <v>78</v>
      </c>
      <c r="E258" s="3">
        <v>0</v>
      </c>
      <c r="F258">
        <f>VLOOKUP(D258,'Clientes activos'!$C:$C,1,FALSE)</f>
        <v>78</v>
      </c>
    </row>
    <row r="259" spans="1:6" x14ac:dyDescent="0.25">
      <c r="A259" s="28">
        <v>193</v>
      </c>
      <c r="B259" s="3">
        <v>0</v>
      </c>
      <c r="D259" s="28">
        <v>1000340</v>
      </c>
      <c r="E259" s="3">
        <v>0</v>
      </c>
      <c r="F259">
        <f>VLOOKUP(D259,'Clientes activos'!$C:$C,1,FALSE)</f>
        <v>1000340</v>
      </c>
    </row>
    <row r="260" spans="1:6" x14ac:dyDescent="0.25">
      <c r="A260" s="28">
        <v>1000341</v>
      </c>
      <c r="B260" s="3">
        <v>0</v>
      </c>
      <c r="D260" s="28">
        <v>218</v>
      </c>
      <c r="E260" s="3">
        <v>0</v>
      </c>
      <c r="F260">
        <f>VLOOKUP(D260,'Clientes activos'!$C:$C,1,FALSE)</f>
        <v>218</v>
      </c>
    </row>
    <row r="261" spans="1:6" x14ac:dyDescent="0.25">
      <c r="A261" s="28">
        <v>194</v>
      </c>
      <c r="B261" s="3">
        <v>0</v>
      </c>
      <c r="D261" s="28">
        <v>1000342</v>
      </c>
      <c r="E261" s="3">
        <v>0</v>
      </c>
      <c r="F261">
        <f>VLOOKUP(D261,'Clientes activos'!$C:$C,1,FALSE)</f>
        <v>1000342</v>
      </c>
    </row>
    <row r="262" spans="1:6" x14ac:dyDescent="0.25">
      <c r="A262" s="28">
        <v>1000343</v>
      </c>
      <c r="B262" s="3">
        <v>0</v>
      </c>
      <c r="D262" s="28">
        <v>219</v>
      </c>
      <c r="E262" s="3">
        <v>0</v>
      </c>
      <c r="F262">
        <f>VLOOKUP(D262,'Clientes activos'!$C:$C,1,FALSE)</f>
        <v>219</v>
      </c>
    </row>
    <row r="263" spans="1:6" x14ac:dyDescent="0.25">
      <c r="A263" s="28">
        <v>195</v>
      </c>
      <c r="B263" s="3">
        <v>0</v>
      </c>
      <c r="D263" s="28">
        <v>1000344</v>
      </c>
      <c r="E263" s="3">
        <v>0</v>
      </c>
      <c r="F263">
        <f>VLOOKUP(D263,'Clientes activos'!$C:$C,1,FALSE)</f>
        <v>1000344</v>
      </c>
    </row>
    <row r="264" spans="1:6" x14ac:dyDescent="0.25">
      <c r="A264" s="28">
        <v>1000346</v>
      </c>
      <c r="B264" s="3">
        <v>0</v>
      </c>
      <c r="D264" s="28">
        <v>221</v>
      </c>
      <c r="E264" s="3">
        <v>0</v>
      </c>
      <c r="F264">
        <f>VLOOKUP(D264,'Clientes activos'!$C:$C,1,FALSE)</f>
        <v>221</v>
      </c>
    </row>
    <row r="265" spans="1:6" x14ac:dyDescent="0.25">
      <c r="A265" s="28">
        <v>198</v>
      </c>
      <c r="B265" s="3">
        <v>0</v>
      </c>
      <c r="D265" s="28">
        <v>1000347</v>
      </c>
      <c r="E265" s="3">
        <v>0</v>
      </c>
      <c r="F265">
        <f>VLOOKUP(D265,'Clientes activos'!$C:$C,1,FALSE)</f>
        <v>1000347</v>
      </c>
    </row>
    <row r="266" spans="1:6" x14ac:dyDescent="0.25">
      <c r="A266" s="28">
        <v>1000348</v>
      </c>
      <c r="B266" s="3">
        <v>0</v>
      </c>
      <c r="D266" s="28">
        <v>222</v>
      </c>
      <c r="E266" s="3">
        <v>0</v>
      </c>
      <c r="F266">
        <f>VLOOKUP(D266,'Clientes activos'!$C:$C,1,FALSE)</f>
        <v>222</v>
      </c>
    </row>
    <row r="267" spans="1:6" x14ac:dyDescent="0.25">
      <c r="A267" s="28">
        <v>5</v>
      </c>
      <c r="B267" s="3">
        <v>0</v>
      </c>
      <c r="D267" s="28">
        <v>1000350</v>
      </c>
      <c r="E267" s="3">
        <v>0</v>
      </c>
      <c r="F267">
        <f>VLOOKUP(D267,'Clientes activos'!$C:$C,1,FALSE)</f>
        <v>1000350</v>
      </c>
    </row>
    <row r="268" spans="1:6" x14ac:dyDescent="0.25">
      <c r="A268" s="28">
        <v>1000352</v>
      </c>
      <c r="B268" s="3">
        <v>0</v>
      </c>
      <c r="D268" s="28">
        <v>223</v>
      </c>
      <c r="E268" s="3">
        <v>0</v>
      </c>
      <c r="F268">
        <f>VLOOKUP(D268,'Clientes activos'!$C:$C,1,FALSE)</f>
        <v>223</v>
      </c>
    </row>
    <row r="269" spans="1:6" x14ac:dyDescent="0.25">
      <c r="A269" s="28">
        <v>200</v>
      </c>
      <c r="B269" s="3">
        <v>0</v>
      </c>
      <c r="D269" s="28">
        <v>1000353</v>
      </c>
      <c r="E269" s="3">
        <v>0</v>
      </c>
      <c r="F269">
        <f>VLOOKUP(D269,'Clientes activos'!$C:$C,1,FALSE)</f>
        <v>1000353</v>
      </c>
    </row>
    <row r="270" spans="1:6" x14ac:dyDescent="0.25">
      <c r="A270" s="28">
        <v>201</v>
      </c>
      <c r="B270" s="3">
        <v>0</v>
      </c>
      <c r="D270" s="28">
        <v>225</v>
      </c>
      <c r="E270" s="3">
        <v>0</v>
      </c>
      <c r="F270">
        <f>VLOOKUP(D270,'Clientes activos'!$C:$C,1,FALSE)</f>
        <v>225</v>
      </c>
    </row>
    <row r="271" spans="1:6" x14ac:dyDescent="0.25">
      <c r="A271" s="28">
        <v>181</v>
      </c>
      <c r="B271" s="3">
        <v>0</v>
      </c>
      <c r="D271" s="28">
        <v>96</v>
      </c>
      <c r="E271" s="3">
        <v>0</v>
      </c>
      <c r="F271">
        <f>VLOOKUP(D271,'Clientes activos'!$C:$C,1,FALSE)</f>
        <v>96</v>
      </c>
    </row>
    <row r="272" spans="1:6" x14ac:dyDescent="0.25">
      <c r="A272" s="28">
        <v>2</v>
      </c>
      <c r="B272" s="3">
        <v>0</v>
      </c>
      <c r="D272" s="28">
        <v>226</v>
      </c>
      <c r="E272" s="3">
        <v>0</v>
      </c>
      <c r="F272">
        <f>VLOOKUP(D272,'Clientes activos'!$C:$C,1,FALSE)</f>
        <v>226</v>
      </c>
    </row>
    <row r="273" spans="1:6" x14ac:dyDescent="0.25">
      <c r="A273" s="28">
        <v>182</v>
      </c>
      <c r="B273" s="3">
        <v>0</v>
      </c>
      <c r="D273" s="28">
        <v>201</v>
      </c>
      <c r="E273" s="3">
        <v>0</v>
      </c>
      <c r="F273">
        <f>VLOOKUP(D273,'Clientes activos'!$C:$C,1,FALSE)</f>
        <v>201</v>
      </c>
    </row>
    <row r="274" spans="1:6" x14ac:dyDescent="0.25">
      <c r="A274" s="28" t="s">
        <v>1449</v>
      </c>
      <c r="B274" s="3">
        <v>2555715</v>
      </c>
      <c r="D274" s="28" t="s">
        <v>1449</v>
      </c>
      <c r="E274" s="3">
        <v>18155199</v>
      </c>
      <c r="F274" t="e">
        <f>VLOOKUP(D274,'Clientes activos'!$C:$C,1,FALSE)</f>
        <v>#N/A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54BFB4-0380-4FD7-8842-832D22ED8E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 activos</vt:lpstr>
      <vt:lpstr>Clientes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2026-02-18T19:31:01Z</dcterms:created>
  <dcterms:modified xsi:type="dcterms:W3CDTF">2026-02-19T02:40:31Z</dcterms:modified>
</cp:coreProperties>
</file>