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idor\chefibio\ARCHIVOS 2026\"/>
    </mc:Choice>
  </mc:AlternateContent>
  <xr:revisionPtr revIDLastSave="0" documentId="13_ncr:1_{13C953E3-6F1C-48DB-9247-780483F0515A}" xr6:coauthVersionLast="47" xr6:coauthVersionMax="47" xr10:uidLastSave="{00000000-0000-0000-0000-000000000000}"/>
  <bookViews>
    <workbookView xWindow="-120" yWindow="-120" windowWidth="29040" windowHeight="15720" xr2:uid="{74679DBB-5B68-467A-BE48-28AB3197A6F8}"/>
  </bookViews>
  <sheets>
    <sheet name="Clientes activos" sheetId="1" r:id="rId1"/>
  </sheets>
  <externalReferences>
    <externalReference r:id="rId2"/>
  </externalReferences>
  <definedNames>
    <definedName name="_xlnm._FilterDatabase" localSheetId="0" hidden="1">'Clientes activos'!#REF!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2" i="1" l="1"/>
  <c r="K362" i="1"/>
  <c r="Q362" i="1" s="1"/>
  <c r="P362" i="1" s="1"/>
  <c r="G362" i="1"/>
  <c r="E362" i="1"/>
  <c r="A362" i="1" a="1"/>
  <c r="A362" i="1" s="1"/>
  <c r="O361" i="1"/>
  <c r="K361" i="1"/>
  <c r="Q361" i="1" s="1"/>
  <c r="P361" i="1" s="1"/>
  <c r="G361" i="1"/>
  <c r="E361" i="1"/>
  <c r="A361" i="1" a="1"/>
  <c r="A361" i="1" s="1"/>
  <c r="O364" i="1"/>
  <c r="K364" i="1"/>
  <c r="M364" i="1" s="1"/>
  <c r="G364" i="1"/>
  <c r="E364" i="1"/>
  <c r="A364" i="1" a="1"/>
  <c r="A364" i="1" s="1"/>
  <c r="O360" i="1"/>
  <c r="J360" i="1"/>
  <c r="K360" i="1" s="1"/>
  <c r="G360" i="1"/>
  <c r="E360" i="1"/>
  <c r="B360" i="1"/>
  <c r="Q359" i="1"/>
  <c r="P359" i="1" s="1"/>
  <c r="O359" i="1"/>
  <c r="K359" i="1"/>
  <c r="L359" i="1" s="1"/>
  <c r="G359" i="1"/>
  <c r="E359" i="1"/>
  <c r="A359" i="1" a="1"/>
  <c r="A359" i="1" s="1"/>
  <c r="Q358" i="1"/>
  <c r="P358" i="1" s="1"/>
  <c r="O358" i="1"/>
  <c r="M358" i="1"/>
  <c r="K358" i="1"/>
  <c r="L358" i="1" s="1"/>
  <c r="G358" i="1"/>
  <c r="E358" i="1"/>
  <c r="A358" i="1" a="1"/>
  <c r="A358" i="1" s="1"/>
  <c r="O363" i="1"/>
  <c r="M363" i="1"/>
  <c r="K363" i="1"/>
  <c r="L363" i="1" s="1"/>
  <c r="G363" i="1"/>
  <c r="E363" i="1"/>
  <c r="A363" i="1" a="1"/>
  <c r="A363" i="1" s="1"/>
  <c r="O357" i="1"/>
  <c r="M357" i="1"/>
  <c r="K357" i="1"/>
  <c r="L357" i="1" s="1"/>
  <c r="G357" i="1"/>
  <c r="E357" i="1"/>
  <c r="A357" i="1" a="1"/>
  <c r="A357" i="1" s="1"/>
  <c r="O356" i="1"/>
  <c r="K356" i="1"/>
  <c r="L356" i="1" s="1"/>
  <c r="G356" i="1"/>
  <c r="E356" i="1"/>
  <c r="A356" i="1" a="1"/>
  <c r="A356" i="1" s="1"/>
  <c r="O355" i="1"/>
  <c r="K355" i="1"/>
  <c r="L355" i="1" s="1"/>
  <c r="G355" i="1"/>
  <c r="E355" i="1"/>
  <c r="A355" i="1" a="1"/>
  <c r="A355" i="1" s="1"/>
  <c r="O354" i="1"/>
  <c r="J354" i="1"/>
  <c r="K354" i="1" s="1"/>
  <c r="G354" i="1"/>
  <c r="E354" i="1"/>
  <c r="A354" i="1" a="1"/>
  <c r="A354" i="1" s="1"/>
  <c r="O368" i="1"/>
  <c r="K368" i="1"/>
  <c r="M368" i="1" s="1"/>
  <c r="G368" i="1"/>
  <c r="E368" i="1"/>
  <c r="A368" i="1" a="1"/>
  <c r="A368" i="1" s="1"/>
  <c r="B368" i="1" s="1"/>
  <c r="O353" i="1"/>
  <c r="K353" i="1"/>
  <c r="Q353" i="1" s="1"/>
  <c r="G353" i="1"/>
  <c r="E353" i="1"/>
  <c r="A353" i="1" a="1"/>
  <c r="A353" i="1" s="1"/>
  <c r="B353" i="1" s="1"/>
  <c r="O352" i="1"/>
  <c r="K352" i="1"/>
  <c r="Q352" i="1" s="1"/>
  <c r="P352" i="1" s="1"/>
  <c r="G352" i="1"/>
  <c r="E352" i="1"/>
  <c r="A352" i="1" a="1"/>
  <c r="A352" i="1" s="1"/>
  <c r="Q351" i="1"/>
  <c r="P351" i="1"/>
  <c r="O351" i="1"/>
  <c r="M351" i="1"/>
  <c r="L351" i="1"/>
  <c r="G351" i="1"/>
  <c r="E351" i="1"/>
  <c r="A351" i="1" a="1"/>
  <c r="A351" i="1" s="1"/>
  <c r="O349" i="1"/>
  <c r="M349" i="1"/>
  <c r="K349" i="1"/>
  <c r="L349" i="1" s="1"/>
  <c r="G349" i="1"/>
  <c r="E349" i="1"/>
  <c r="A349" i="1" a="1"/>
  <c r="A349" i="1" s="1"/>
  <c r="O348" i="1"/>
  <c r="M348" i="1"/>
  <c r="L348" i="1"/>
  <c r="K348" i="1"/>
  <c r="Q348" i="1" s="1"/>
  <c r="P348" i="1" s="1"/>
  <c r="G348" i="1"/>
  <c r="E348" i="1"/>
  <c r="A348" i="1" a="1"/>
  <c r="A348" i="1" s="1"/>
  <c r="Q373" i="1"/>
  <c r="P373" i="1" s="1"/>
  <c r="O373" i="1"/>
  <c r="M373" i="1"/>
  <c r="L373" i="1"/>
  <c r="G373" i="1"/>
  <c r="E373" i="1"/>
  <c r="A373" i="1" a="1"/>
  <c r="A373" i="1" s="1"/>
  <c r="O347" i="1"/>
  <c r="M347" i="1"/>
  <c r="L347" i="1"/>
  <c r="K347" i="1"/>
  <c r="Q347" i="1" s="1"/>
  <c r="P347" i="1" s="1"/>
  <c r="G347" i="1"/>
  <c r="E347" i="1"/>
  <c r="A347" i="1" a="1"/>
  <c r="A347" i="1" s="1"/>
  <c r="O346" i="1"/>
  <c r="M346" i="1"/>
  <c r="L346" i="1"/>
  <c r="K346" i="1"/>
  <c r="Q346" i="1" s="1"/>
  <c r="P346" i="1" s="1"/>
  <c r="G346" i="1"/>
  <c r="E346" i="1"/>
  <c r="A346" i="1" a="1"/>
  <c r="A346" i="1" s="1"/>
  <c r="O345" i="1"/>
  <c r="M345" i="1"/>
  <c r="L345" i="1"/>
  <c r="K345" i="1"/>
  <c r="Q345" i="1" s="1"/>
  <c r="P345" i="1" s="1"/>
  <c r="J345" i="1"/>
  <c r="G345" i="1"/>
  <c r="E345" i="1"/>
  <c r="A345" i="1" a="1"/>
  <c r="A345" i="1" s="1"/>
  <c r="O344" i="1"/>
  <c r="M344" i="1"/>
  <c r="K344" i="1"/>
  <c r="L344" i="1" s="1"/>
  <c r="G344" i="1"/>
  <c r="E344" i="1"/>
  <c r="A344" i="1" a="1"/>
  <c r="A344" i="1" s="1"/>
  <c r="O343" i="1"/>
  <c r="M343" i="1"/>
  <c r="K343" i="1"/>
  <c r="L343" i="1" s="1"/>
  <c r="G343" i="1"/>
  <c r="E343" i="1"/>
  <c r="A343" i="1" a="1"/>
  <c r="A343" i="1" s="1"/>
  <c r="R375" i="1"/>
  <c r="O375" i="1"/>
  <c r="K375" i="1"/>
  <c r="Q375" i="1" s="1"/>
  <c r="G375" i="1"/>
  <c r="E375" i="1"/>
  <c r="A375" i="1"/>
  <c r="B375" i="1" s="1"/>
  <c r="A375" i="1" a="1"/>
  <c r="O342" i="1"/>
  <c r="K342" i="1"/>
  <c r="M342" i="1" s="1"/>
  <c r="G342" i="1"/>
  <c r="E342" i="1"/>
  <c r="A342" i="1" a="1"/>
  <c r="A342" i="1" s="1"/>
  <c r="B342" i="1" s="1"/>
  <c r="O341" i="1"/>
  <c r="K341" i="1"/>
  <c r="Q341" i="1" s="1"/>
  <c r="P341" i="1" s="1"/>
  <c r="G341" i="1"/>
  <c r="E341" i="1"/>
  <c r="A341" i="1" a="1"/>
  <c r="A341" i="1" s="1"/>
  <c r="O340" i="1"/>
  <c r="K340" i="1"/>
  <c r="M340" i="1" s="1"/>
  <c r="G340" i="1"/>
  <c r="E340" i="1"/>
  <c r="A340" i="1" a="1"/>
  <c r="A340" i="1" s="1"/>
  <c r="B340" i="1" s="1"/>
  <c r="O339" i="1"/>
  <c r="L339" i="1"/>
  <c r="K339" i="1"/>
  <c r="Q339" i="1" s="1"/>
  <c r="P339" i="1" s="1"/>
  <c r="G339" i="1"/>
  <c r="E339" i="1"/>
  <c r="A339" i="1" a="1"/>
  <c r="A339" i="1" s="1"/>
  <c r="B339" i="1" s="1"/>
  <c r="O338" i="1"/>
  <c r="K338" i="1"/>
  <c r="M338" i="1" s="1"/>
  <c r="G338" i="1"/>
  <c r="E338" i="1"/>
  <c r="A338" i="1" a="1"/>
  <c r="A338" i="1" s="1"/>
  <c r="B338" i="1" s="1"/>
  <c r="O350" i="1"/>
  <c r="K350" i="1"/>
  <c r="Q350" i="1" s="1"/>
  <c r="P350" i="1" s="1"/>
  <c r="G350" i="1"/>
  <c r="E350" i="1"/>
  <c r="A350" i="1"/>
  <c r="B350" i="1" s="1"/>
  <c r="A350" i="1" a="1"/>
  <c r="O337" i="1"/>
  <c r="K337" i="1"/>
  <c r="M337" i="1" s="1"/>
  <c r="G337" i="1"/>
  <c r="E337" i="1"/>
  <c r="A337" i="1" a="1"/>
  <c r="A337" i="1" s="1"/>
  <c r="B337" i="1" s="1"/>
  <c r="O336" i="1"/>
  <c r="K336" i="1"/>
  <c r="Q336" i="1" s="1"/>
  <c r="P336" i="1" s="1"/>
  <c r="G336" i="1"/>
  <c r="E336" i="1"/>
  <c r="A336" i="1" a="1"/>
  <c r="A336" i="1" s="1"/>
  <c r="B336" i="1" s="1"/>
  <c r="O334" i="1"/>
  <c r="K334" i="1"/>
  <c r="M334" i="1" s="1"/>
  <c r="G334" i="1"/>
  <c r="E334" i="1"/>
  <c r="A334" i="1" a="1"/>
  <c r="A334" i="1" s="1"/>
  <c r="B334" i="1" s="1"/>
  <c r="O333" i="1"/>
  <c r="K333" i="1"/>
  <c r="Q333" i="1" s="1"/>
  <c r="P333" i="1" s="1"/>
  <c r="G333" i="1"/>
  <c r="E333" i="1"/>
  <c r="A333" i="1" a="1"/>
  <c r="A333" i="1" s="1"/>
  <c r="B333" i="1" s="1"/>
  <c r="O331" i="1"/>
  <c r="K331" i="1"/>
  <c r="M331" i="1" s="1"/>
  <c r="G331" i="1"/>
  <c r="E331" i="1"/>
  <c r="A331" i="1" a="1"/>
  <c r="A331" i="1" s="1"/>
  <c r="B331" i="1" s="1"/>
  <c r="O329" i="1"/>
  <c r="K329" i="1"/>
  <c r="Q329" i="1" s="1"/>
  <c r="P329" i="1" s="1"/>
  <c r="G329" i="1"/>
  <c r="E329" i="1"/>
  <c r="A329" i="1" a="1"/>
  <c r="A329" i="1" s="1"/>
  <c r="B329" i="1" s="1"/>
  <c r="O328" i="1"/>
  <c r="K328" i="1"/>
  <c r="M328" i="1" s="1"/>
  <c r="G328" i="1"/>
  <c r="E328" i="1"/>
  <c r="A328" i="1" a="1"/>
  <c r="A328" i="1" s="1"/>
  <c r="O326" i="1"/>
  <c r="K326" i="1"/>
  <c r="Q326" i="1" s="1"/>
  <c r="P326" i="1" s="1"/>
  <c r="G326" i="1"/>
  <c r="E326" i="1"/>
  <c r="A326" i="1"/>
  <c r="B326" i="1" s="1"/>
  <c r="A326" i="1" a="1"/>
  <c r="O325" i="1"/>
  <c r="K325" i="1"/>
  <c r="M325" i="1" s="1"/>
  <c r="G325" i="1"/>
  <c r="E325" i="1"/>
  <c r="A325" i="1" a="1"/>
  <c r="A325" i="1" s="1"/>
  <c r="O323" i="1"/>
  <c r="J323" i="1"/>
  <c r="K323" i="1" s="1"/>
  <c r="G323" i="1"/>
  <c r="E323" i="1"/>
  <c r="A323" i="1" a="1"/>
  <c r="A323" i="1" s="1"/>
  <c r="B323" i="1" s="1"/>
  <c r="Q322" i="1"/>
  <c r="P322" i="1" s="1"/>
  <c r="O322" i="1"/>
  <c r="K322" i="1"/>
  <c r="M322" i="1" s="1"/>
  <c r="G322" i="1"/>
  <c r="E322" i="1"/>
  <c r="A322" i="1" a="1"/>
  <c r="A322" i="1" s="1"/>
  <c r="N322" i="1" s="1"/>
  <c r="O321" i="1"/>
  <c r="K321" i="1"/>
  <c r="Q321" i="1" s="1"/>
  <c r="P321" i="1" s="1"/>
  <c r="J321" i="1"/>
  <c r="G321" i="1"/>
  <c r="E321" i="1"/>
  <c r="A321" i="1" a="1"/>
  <c r="A321" i="1" s="1"/>
  <c r="O377" i="1"/>
  <c r="K377" i="1"/>
  <c r="M377" i="1" s="1"/>
  <c r="G377" i="1"/>
  <c r="E377" i="1"/>
  <c r="A377" i="1" a="1"/>
  <c r="A377" i="1" s="1"/>
  <c r="O376" i="1"/>
  <c r="M376" i="1"/>
  <c r="K376" i="1"/>
  <c r="Q376" i="1" s="1"/>
  <c r="P376" i="1" s="1"/>
  <c r="G376" i="1"/>
  <c r="E376" i="1"/>
  <c r="A376" i="1" a="1"/>
  <c r="A376" i="1" s="1"/>
  <c r="O335" i="1"/>
  <c r="M335" i="1"/>
  <c r="K335" i="1"/>
  <c r="Q335" i="1" s="1"/>
  <c r="P335" i="1" s="1"/>
  <c r="G335" i="1"/>
  <c r="E335" i="1"/>
  <c r="A335" i="1" a="1"/>
  <c r="A335" i="1" s="1"/>
  <c r="O320" i="1"/>
  <c r="M320" i="1"/>
  <c r="K320" i="1"/>
  <c r="Q320" i="1" s="1"/>
  <c r="P320" i="1" s="1"/>
  <c r="G320" i="1"/>
  <c r="E320" i="1"/>
  <c r="A320" i="1" a="1"/>
  <c r="A320" i="1" s="1"/>
  <c r="O317" i="1"/>
  <c r="M317" i="1"/>
  <c r="K317" i="1"/>
  <c r="Q317" i="1" s="1"/>
  <c r="P317" i="1" s="1"/>
  <c r="G317" i="1"/>
  <c r="E317" i="1"/>
  <c r="A317" i="1" a="1"/>
  <c r="A317" i="1" s="1"/>
  <c r="O332" i="1"/>
  <c r="L332" i="1"/>
  <c r="K332" i="1"/>
  <c r="Q332" i="1" s="1"/>
  <c r="P332" i="1" s="1"/>
  <c r="J332" i="1"/>
  <c r="M332" i="1" s="1"/>
  <c r="G332" i="1"/>
  <c r="E332" i="1"/>
  <c r="A332" i="1"/>
  <c r="B332" i="1" s="1"/>
  <c r="A332" i="1" a="1"/>
  <c r="O316" i="1"/>
  <c r="K316" i="1"/>
  <c r="Q316" i="1" s="1"/>
  <c r="P316" i="1" s="1"/>
  <c r="G316" i="1"/>
  <c r="E316" i="1"/>
  <c r="A316" i="1" a="1"/>
  <c r="A316" i="1" s="1"/>
  <c r="B316" i="1" s="1"/>
  <c r="O330" i="1"/>
  <c r="K330" i="1"/>
  <c r="M330" i="1" s="1"/>
  <c r="G330" i="1"/>
  <c r="E330" i="1"/>
  <c r="A330" i="1"/>
  <c r="B330" i="1" s="1"/>
  <c r="A330" i="1" a="1"/>
  <c r="O315" i="1"/>
  <c r="J315" i="1"/>
  <c r="K315" i="1" s="1"/>
  <c r="Q315" i="1" s="1"/>
  <c r="P315" i="1" s="1"/>
  <c r="G315" i="1"/>
  <c r="E315" i="1"/>
  <c r="A315" i="1"/>
  <c r="B315" i="1" s="1"/>
  <c r="A315" i="1" a="1"/>
  <c r="O314" i="1"/>
  <c r="L314" i="1"/>
  <c r="K314" i="1"/>
  <c r="M314" i="1" s="1"/>
  <c r="G314" i="1"/>
  <c r="E314" i="1"/>
  <c r="A314" i="1" a="1"/>
  <c r="A314" i="1" s="1"/>
  <c r="O327" i="1"/>
  <c r="K327" i="1"/>
  <c r="Q327" i="1" s="1"/>
  <c r="P327" i="1" s="1"/>
  <c r="J327" i="1"/>
  <c r="G327" i="1"/>
  <c r="E327" i="1"/>
  <c r="A327" i="1" a="1"/>
  <c r="A327" i="1" s="1"/>
  <c r="B327" i="1" s="1"/>
  <c r="O313" i="1"/>
  <c r="M313" i="1"/>
  <c r="L313" i="1"/>
  <c r="K313" i="1"/>
  <c r="Q313" i="1" s="1"/>
  <c r="P313" i="1" s="1"/>
  <c r="G313" i="1"/>
  <c r="E313" i="1"/>
  <c r="A313" i="1"/>
  <c r="A313" i="1" a="1"/>
  <c r="O312" i="1"/>
  <c r="M312" i="1"/>
  <c r="K312" i="1"/>
  <c r="L312" i="1" s="1"/>
  <c r="G312" i="1"/>
  <c r="E312" i="1"/>
  <c r="A312" i="1" a="1"/>
  <c r="A312" i="1" s="1"/>
  <c r="Q324" i="1"/>
  <c r="P324" i="1" s="1"/>
  <c r="O324" i="1"/>
  <c r="M324" i="1"/>
  <c r="L324" i="1"/>
  <c r="G324" i="1"/>
  <c r="E324" i="1"/>
  <c r="A324" i="1" a="1"/>
  <c r="A324" i="1" s="1"/>
  <c r="O311" i="1"/>
  <c r="L311" i="1"/>
  <c r="K311" i="1"/>
  <c r="Q311" i="1" s="1"/>
  <c r="P311" i="1" s="1"/>
  <c r="G311" i="1"/>
  <c r="E311" i="1"/>
  <c r="A311" i="1" a="1"/>
  <c r="A311" i="1" s="1"/>
  <c r="O310" i="1"/>
  <c r="K310" i="1"/>
  <c r="M310" i="1" s="1"/>
  <c r="G310" i="1"/>
  <c r="E310" i="1"/>
  <c r="A310" i="1" a="1"/>
  <c r="A310" i="1" s="1"/>
  <c r="O309" i="1"/>
  <c r="L309" i="1"/>
  <c r="K309" i="1"/>
  <c r="Q309" i="1" s="1"/>
  <c r="P309" i="1" s="1"/>
  <c r="G309" i="1"/>
  <c r="E309" i="1"/>
  <c r="A309" i="1" a="1"/>
  <c r="A309" i="1" s="1"/>
  <c r="O308" i="1"/>
  <c r="K308" i="1"/>
  <c r="M308" i="1" s="1"/>
  <c r="G308" i="1"/>
  <c r="E308" i="1"/>
  <c r="A308" i="1" a="1"/>
  <c r="A308" i="1" s="1"/>
  <c r="O319" i="1"/>
  <c r="L319" i="1"/>
  <c r="K319" i="1"/>
  <c r="Q319" i="1" s="1"/>
  <c r="P319" i="1" s="1"/>
  <c r="G319" i="1"/>
  <c r="E319" i="1"/>
  <c r="A319" i="1" a="1"/>
  <c r="A319" i="1" s="1"/>
  <c r="O318" i="1"/>
  <c r="K318" i="1"/>
  <c r="M318" i="1" s="1"/>
  <c r="G318" i="1"/>
  <c r="E318" i="1"/>
  <c r="A318" i="1" a="1"/>
  <c r="A318" i="1" s="1"/>
  <c r="O307" i="1"/>
  <c r="K307" i="1"/>
  <c r="Q307" i="1" s="1"/>
  <c r="P307" i="1" s="1"/>
  <c r="G307" i="1"/>
  <c r="E307" i="1"/>
  <c r="A307" i="1" a="1"/>
  <c r="A307" i="1" s="1"/>
  <c r="O306" i="1"/>
  <c r="J306" i="1"/>
  <c r="K306" i="1" s="1"/>
  <c r="G306" i="1"/>
  <c r="E306" i="1"/>
  <c r="A306" i="1" a="1"/>
  <c r="A306" i="1" s="1"/>
  <c r="O305" i="1"/>
  <c r="K305" i="1"/>
  <c r="Q305" i="1" s="1"/>
  <c r="P305" i="1" s="1"/>
  <c r="G305" i="1"/>
  <c r="E305" i="1"/>
  <c r="A305" i="1" a="1"/>
  <c r="A305" i="1" s="1"/>
  <c r="B305" i="1" s="1"/>
  <c r="O304" i="1"/>
  <c r="K304" i="1"/>
  <c r="M304" i="1" s="1"/>
  <c r="G304" i="1"/>
  <c r="E304" i="1"/>
  <c r="A304" i="1" a="1"/>
  <c r="A304" i="1" s="1"/>
  <c r="O303" i="1"/>
  <c r="K303" i="1"/>
  <c r="Q303" i="1" s="1"/>
  <c r="P303" i="1" s="1"/>
  <c r="G303" i="1"/>
  <c r="E303" i="1"/>
  <c r="A303" i="1" a="1"/>
  <c r="A303" i="1" s="1"/>
  <c r="B303" i="1" s="1"/>
  <c r="O302" i="1"/>
  <c r="K302" i="1"/>
  <c r="M302" i="1" s="1"/>
  <c r="G302" i="1"/>
  <c r="E302" i="1"/>
  <c r="A302" i="1" a="1"/>
  <c r="A302" i="1" s="1"/>
  <c r="O301" i="1"/>
  <c r="K301" i="1"/>
  <c r="Q301" i="1" s="1"/>
  <c r="P301" i="1" s="1"/>
  <c r="G301" i="1"/>
  <c r="E301" i="1"/>
  <c r="A301" i="1" a="1"/>
  <c r="A301" i="1" s="1"/>
  <c r="B301" i="1" s="1"/>
  <c r="O300" i="1"/>
  <c r="K300" i="1"/>
  <c r="M300" i="1" s="1"/>
  <c r="G300" i="1"/>
  <c r="E300" i="1"/>
  <c r="A300" i="1" a="1"/>
  <c r="A300" i="1" s="1"/>
  <c r="O299" i="1"/>
  <c r="K299" i="1"/>
  <c r="Q299" i="1" s="1"/>
  <c r="P299" i="1" s="1"/>
  <c r="G299" i="1"/>
  <c r="E299" i="1"/>
  <c r="A299" i="1" a="1"/>
  <c r="A299" i="1" s="1"/>
  <c r="B299" i="1" s="1"/>
  <c r="O298" i="1"/>
  <c r="K298" i="1"/>
  <c r="M298" i="1" s="1"/>
  <c r="G298" i="1"/>
  <c r="E298" i="1"/>
  <c r="A298" i="1" a="1"/>
  <c r="A298" i="1" s="1"/>
  <c r="N298" i="1" s="1"/>
  <c r="O297" i="1"/>
  <c r="K297" i="1"/>
  <c r="Q297" i="1" s="1"/>
  <c r="P297" i="1" s="1"/>
  <c r="G297" i="1"/>
  <c r="E297" i="1"/>
  <c r="A297" i="1" a="1"/>
  <c r="A297" i="1" s="1"/>
  <c r="B297" i="1" s="1"/>
  <c r="O296" i="1"/>
  <c r="K296" i="1"/>
  <c r="M296" i="1" s="1"/>
  <c r="G296" i="1"/>
  <c r="E296" i="1"/>
  <c r="A296" i="1" a="1"/>
  <c r="A296" i="1" s="1"/>
  <c r="O295" i="1"/>
  <c r="K295" i="1"/>
  <c r="Q295" i="1" s="1"/>
  <c r="P295" i="1" s="1"/>
  <c r="G295" i="1"/>
  <c r="E295" i="1"/>
  <c r="A295" i="1" a="1"/>
  <c r="A295" i="1" s="1"/>
  <c r="B295" i="1" s="1"/>
  <c r="O294" i="1"/>
  <c r="K294" i="1"/>
  <c r="M294" i="1" s="1"/>
  <c r="G294" i="1"/>
  <c r="E294" i="1"/>
  <c r="A294" i="1" a="1"/>
  <c r="A294" i="1" s="1"/>
  <c r="O293" i="1"/>
  <c r="K293" i="1"/>
  <c r="Q293" i="1" s="1"/>
  <c r="P293" i="1" s="1"/>
  <c r="G293" i="1"/>
  <c r="E293" i="1"/>
  <c r="A293" i="1" a="1"/>
  <c r="A293" i="1" s="1"/>
  <c r="O291" i="1"/>
  <c r="K291" i="1"/>
  <c r="M291" i="1" s="1"/>
  <c r="G291" i="1"/>
  <c r="E291" i="1"/>
  <c r="A291" i="1" a="1"/>
  <c r="A291" i="1" s="1"/>
  <c r="Q290" i="1"/>
  <c r="P290" i="1" s="1"/>
  <c r="O290" i="1"/>
  <c r="M290" i="1"/>
  <c r="L290" i="1"/>
  <c r="G290" i="1"/>
  <c r="E290" i="1"/>
  <c r="A290" i="1" a="1"/>
  <c r="A290" i="1" s="1"/>
  <c r="O289" i="1"/>
  <c r="M289" i="1"/>
  <c r="L289" i="1"/>
  <c r="K289" i="1"/>
  <c r="Q289" i="1" s="1"/>
  <c r="P289" i="1" s="1"/>
  <c r="G289" i="1"/>
  <c r="E289" i="1"/>
  <c r="A289" i="1" a="1"/>
  <c r="A289" i="1" s="1"/>
  <c r="O288" i="1"/>
  <c r="M288" i="1"/>
  <c r="L288" i="1"/>
  <c r="K288" i="1"/>
  <c r="Q288" i="1" s="1"/>
  <c r="P288" i="1" s="1"/>
  <c r="G288" i="1"/>
  <c r="E288" i="1"/>
  <c r="A288" i="1" a="1"/>
  <c r="A288" i="1" s="1"/>
  <c r="O379" i="1"/>
  <c r="M379" i="1"/>
  <c r="L379" i="1"/>
  <c r="K379" i="1"/>
  <c r="Q379" i="1" s="1"/>
  <c r="P379" i="1" s="1"/>
  <c r="G379" i="1"/>
  <c r="E379" i="1"/>
  <c r="A379" i="1" a="1"/>
  <c r="A379" i="1" s="1"/>
  <c r="Q378" i="1"/>
  <c r="P378" i="1" s="1"/>
  <c r="O378" i="1"/>
  <c r="M378" i="1"/>
  <c r="L378" i="1"/>
  <c r="G378" i="1"/>
  <c r="E378" i="1"/>
  <c r="A378" i="1" a="1"/>
  <c r="A378" i="1" s="1"/>
  <c r="O287" i="1"/>
  <c r="K287" i="1"/>
  <c r="M287" i="1" s="1"/>
  <c r="G287" i="1"/>
  <c r="E287" i="1"/>
  <c r="A287" i="1" a="1"/>
  <c r="A287" i="1" s="1"/>
  <c r="B287" i="1" s="1"/>
  <c r="O284" i="1"/>
  <c r="L284" i="1"/>
  <c r="K284" i="1"/>
  <c r="Q284" i="1" s="1"/>
  <c r="P284" i="1" s="1"/>
  <c r="G284" i="1"/>
  <c r="E284" i="1"/>
  <c r="A284" i="1" a="1"/>
  <c r="A284" i="1" s="1"/>
  <c r="O283" i="1"/>
  <c r="K283" i="1"/>
  <c r="Q283" i="1" s="1"/>
  <c r="P283" i="1" s="1"/>
  <c r="G283" i="1"/>
  <c r="E283" i="1"/>
  <c r="A283" i="1" a="1"/>
  <c r="A283" i="1" s="1"/>
  <c r="O282" i="1"/>
  <c r="M282" i="1"/>
  <c r="L282" i="1"/>
  <c r="K282" i="1"/>
  <c r="Q282" i="1" s="1"/>
  <c r="P282" i="1" s="1"/>
  <c r="G282" i="1"/>
  <c r="E282" i="1"/>
  <c r="A282" i="1" a="1"/>
  <c r="A282" i="1" s="1"/>
  <c r="O292" i="1"/>
  <c r="M292" i="1"/>
  <c r="K292" i="1"/>
  <c r="Q292" i="1" s="1"/>
  <c r="P292" i="1" s="1"/>
  <c r="G292" i="1"/>
  <c r="E292" i="1"/>
  <c r="A292" i="1" a="1"/>
  <c r="A292" i="1" s="1"/>
  <c r="O281" i="1"/>
  <c r="J281" i="1"/>
  <c r="K281" i="1" s="1"/>
  <c r="G281" i="1"/>
  <c r="E281" i="1"/>
  <c r="A281" i="1" a="1"/>
  <c r="A281" i="1" s="1"/>
  <c r="Q280" i="1"/>
  <c r="P280" i="1" s="1"/>
  <c r="O280" i="1"/>
  <c r="M280" i="1"/>
  <c r="K280" i="1"/>
  <c r="L280" i="1" s="1"/>
  <c r="G280" i="1"/>
  <c r="E280" i="1"/>
  <c r="A280" i="1" a="1"/>
  <c r="A280" i="1" s="1"/>
  <c r="B280" i="1" s="1"/>
  <c r="Q279" i="1"/>
  <c r="P279" i="1" s="1"/>
  <c r="O279" i="1"/>
  <c r="M279" i="1"/>
  <c r="L279" i="1"/>
  <c r="G279" i="1"/>
  <c r="E279" i="1"/>
  <c r="A279" i="1" a="1"/>
  <c r="A279" i="1" s="1"/>
  <c r="B279" i="1" s="1"/>
  <c r="Q278" i="1"/>
  <c r="P278" i="1" s="1"/>
  <c r="O278" i="1"/>
  <c r="M278" i="1"/>
  <c r="L278" i="1"/>
  <c r="G278" i="1"/>
  <c r="E278" i="1"/>
  <c r="A278" i="1" a="1"/>
  <c r="A278" i="1" s="1"/>
  <c r="O277" i="1"/>
  <c r="M277" i="1"/>
  <c r="K277" i="1"/>
  <c r="Q277" i="1" s="1"/>
  <c r="P277" i="1" s="1"/>
  <c r="G277" i="1"/>
  <c r="E277" i="1"/>
  <c r="A277" i="1" a="1"/>
  <c r="A277" i="1" s="1"/>
  <c r="O286" i="1"/>
  <c r="L286" i="1"/>
  <c r="K286" i="1"/>
  <c r="Q286" i="1" s="1"/>
  <c r="P286" i="1" s="1"/>
  <c r="G286" i="1"/>
  <c r="E286" i="1"/>
  <c r="A286" i="1" a="1"/>
  <c r="A286" i="1" s="1"/>
  <c r="B286" i="1" s="1"/>
  <c r="O285" i="1"/>
  <c r="K285" i="1"/>
  <c r="Q285" i="1" s="1"/>
  <c r="P285" i="1" s="1"/>
  <c r="G285" i="1"/>
  <c r="E285" i="1"/>
  <c r="A285" i="1" a="1"/>
  <c r="A285" i="1" s="1"/>
  <c r="O276" i="1"/>
  <c r="K276" i="1"/>
  <c r="Q276" i="1" s="1"/>
  <c r="P276" i="1" s="1"/>
  <c r="J276" i="1"/>
  <c r="G276" i="1"/>
  <c r="A276" i="1" a="1"/>
  <c r="A276" i="1" s="1"/>
  <c r="B276" i="1" s="1"/>
  <c r="O275" i="1"/>
  <c r="L275" i="1"/>
  <c r="K275" i="1"/>
  <c r="Q275" i="1" s="1"/>
  <c r="P275" i="1" s="1"/>
  <c r="G275" i="1"/>
  <c r="E275" i="1"/>
  <c r="A275" i="1" a="1"/>
  <c r="A275" i="1" s="1"/>
  <c r="O274" i="1"/>
  <c r="K274" i="1"/>
  <c r="Q274" i="1" s="1"/>
  <c r="P274" i="1" s="1"/>
  <c r="G274" i="1"/>
  <c r="E274" i="1"/>
  <c r="A274" i="1" a="1"/>
  <c r="A274" i="1" s="1"/>
  <c r="O273" i="1"/>
  <c r="K273" i="1"/>
  <c r="Q273" i="1" s="1"/>
  <c r="P273" i="1" s="1"/>
  <c r="G273" i="1"/>
  <c r="E273" i="1"/>
  <c r="A273" i="1" a="1"/>
  <c r="A273" i="1" s="1"/>
  <c r="O272" i="1"/>
  <c r="L272" i="1"/>
  <c r="K272" i="1"/>
  <c r="Q272" i="1" s="1"/>
  <c r="P272" i="1" s="1"/>
  <c r="G272" i="1"/>
  <c r="E272" i="1"/>
  <c r="A272" i="1" a="1"/>
  <c r="A272" i="1" s="1"/>
  <c r="B272" i="1" s="1"/>
  <c r="O271" i="1"/>
  <c r="M271" i="1"/>
  <c r="K271" i="1"/>
  <c r="Q271" i="1" s="1"/>
  <c r="P271" i="1" s="1"/>
  <c r="G271" i="1"/>
  <c r="E271" i="1"/>
  <c r="A271" i="1" a="1"/>
  <c r="A271" i="1" s="1"/>
  <c r="Q270" i="1"/>
  <c r="P270" i="1"/>
  <c r="O270" i="1"/>
  <c r="M270" i="1"/>
  <c r="L270" i="1"/>
  <c r="G270" i="1"/>
  <c r="E270" i="1"/>
  <c r="A270" i="1" a="1"/>
  <c r="A270" i="1" s="1"/>
  <c r="O269" i="1"/>
  <c r="K269" i="1"/>
  <c r="L269" i="1" s="1"/>
  <c r="G269" i="1"/>
  <c r="E269" i="1"/>
  <c r="A269" i="1" a="1"/>
  <c r="A269" i="1" s="1"/>
  <c r="O268" i="1"/>
  <c r="K268" i="1"/>
  <c r="L268" i="1" s="1"/>
  <c r="G268" i="1"/>
  <c r="E268" i="1"/>
  <c r="A268" i="1" a="1"/>
  <c r="A268" i="1" s="1"/>
  <c r="O267" i="1"/>
  <c r="J267" i="1"/>
  <c r="K267" i="1" s="1"/>
  <c r="Q267" i="1" s="1"/>
  <c r="P267" i="1" s="1"/>
  <c r="G267" i="1"/>
  <c r="E267" i="1"/>
  <c r="A267" i="1" a="1"/>
  <c r="A267" i="1" s="1"/>
  <c r="N267" i="1" s="1"/>
  <c r="Q266" i="1"/>
  <c r="P266" i="1" s="1"/>
  <c r="O266" i="1"/>
  <c r="M266" i="1"/>
  <c r="L266" i="1"/>
  <c r="G266" i="1"/>
  <c r="E266" i="1"/>
  <c r="A266" i="1" a="1"/>
  <c r="A266" i="1" s="1"/>
  <c r="O265" i="1"/>
  <c r="K265" i="1"/>
  <c r="Q265" i="1" s="1"/>
  <c r="P265" i="1" s="1"/>
  <c r="G265" i="1"/>
  <c r="E265" i="1"/>
  <c r="A265" i="1" a="1"/>
  <c r="A265" i="1" s="1"/>
  <c r="B265" i="1" s="1"/>
  <c r="O264" i="1"/>
  <c r="K264" i="1"/>
  <c r="M264" i="1" s="1"/>
  <c r="G264" i="1"/>
  <c r="E264" i="1"/>
  <c r="A264" i="1" a="1"/>
  <c r="A264" i="1" s="1"/>
  <c r="O263" i="1"/>
  <c r="M263" i="1"/>
  <c r="K263" i="1"/>
  <c r="Q263" i="1" s="1"/>
  <c r="P263" i="1" s="1"/>
  <c r="G263" i="1"/>
  <c r="E263" i="1"/>
  <c r="A263" i="1" a="1"/>
  <c r="A263" i="1" s="1"/>
  <c r="O262" i="1"/>
  <c r="K262" i="1"/>
  <c r="L262" i="1" s="1"/>
  <c r="G262" i="1"/>
  <c r="E262" i="1"/>
  <c r="A262" i="1" a="1"/>
  <c r="A262" i="1" s="1"/>
  <c r="O261" i="1"/>
  <c r="J261" i="1"/>
  <c r="K261" i="1" s="1"/>
  <c r="G261" i="1"/>
  <c r="E261" i="1"/>
  <c r="A261" i="1" a="1"/>
  <c r="A261" i="1" s="1"/>
  <c r="O259" i="1"/>
  <c r="K259" i="1"/>
  <c r="Q259" i="1" s="1"/>
  <c r="P259" i="1" s="1"/>
  <c r="G259" i="1"/>
  <c r="E259" i="1"/>
  <c r="A259" i="1" a="1"/>
  <c r="A259" i="1" s="1"/>
  <c r="O258" i="1"/>
  <c r="J258" i="1"/>
  <c r="K258" i="1" s="1"/>
  <c r="G258" i="1"/>
  <c r="E258" i="1"/>
  <c r="A258" i="1" a="1"/>
  <c r="A258" i="1" s="1"/>
  <c r="O257" i="1"/>
  <c r="K257" i="1"/>
  <c r="L257" i="1" s="1"/>
  <c r="G257" i="1"/>
  <c r="E257" i="1"/>
  <c r="A257" i="1" a="1"/>
  <c r="A257" i="1" s="1"/>
  <c r="Q256" i="1"/>
  <c r="P256" i="1" s="1"/>
  <c r="O256" i="1"/>
  <c r="M256" i="1"/>
  <c r="L256" i="1"/>
  <c r="G256" i="1"/>
  <c r="E256" i="1"/>
  <c r="A256" i="1" a="1"/>
  <c r="A256" i="1" s="1"/>
  <c r="B256" i="1" s="1"/>
  <c r="Q255" i="1"/>
  <c r="P255" i="1" s="1"/>
  <c r="O255" i="1"/>
  <c r="M255" i="1"/>
  <c r="L255" i="1"/>
  <c r="K255" i="1"/>
  <c r="G255" i="1"/>
  <c r="E255" i="1"/>
  <c r="A255" i="1" a="1"/>
  <c r="A255" i="1" s="1"/>
  <c r="Q371" i="1"/>
  <c r="P371" i="1" s="1"/>
  <c r="O371" i="1"/>
  <c r="M371" i="1"/>
  <c r="L371" i="1"/>
  <c r="K371" i="1"/>
  <c r="G371" i="1"/>
  <c r="E371" i="1"/>
  <c r="A371" i="1" a="1"/>
  <c r="A371" i="1" s="1"/>
  <c r="B371" i="1" s="1"/>
  <c r="Q254" i="1"/>
  <c r="P254" i="1"/>
  <c r="O254" i="1"/>
  <c r="M254" i="1"/>
  <c r="L254" i="1"/>
  <c r="G254" i="1"/>
  <c r="E254" i="1"/>
  <c r="A254" i="1" a="1"/>
  <c r="A254" i="1" s="1"/>
  <c r="O251" i="1"/>
  <c r="L251" i="1"/>
  <c r="K251" i="1"/>
  <c r="Q251" i="1" s="1"/>
  <c r="P251" i="1" s="1"/>
  <c r="G251" i="1"/>
  <c r="E251" i="1"/>
  <c r="A251" i="1"/>
  <c r="A251" i="1" a="1"/>
  <c r="O260" i="1"/>
  <c r="K260" i="1"/>
  <c r="Q260" i="1" s="1"/>
  <c r="G260" i="1"/>
  <c r="E260" i="1"/>
  <c r="A260" i="1" a="1"/>
  <c r="A260" i="1" s="1"/>
  <c r="N260" i="1" s="1"/>
  <c r="O250" i="1"/>
  <c r="K250" i="1"/>
  <c r="L250" i="1" s="1"/>
  <c r="G250" i="1"/>
  <c r="E250" i="1"/>
  <c r="A250" i="1" a="1"/>
  <c r="A250" i="1" s="1"/>
  <c r="O249" i="1"/>
  <c r="K249" i="1"/>
  <c r="M249" i="1" s="1"/>
  <c r="G249" i="1"/>
  <c r="E249" i="1"/>
  <c r="A249" i="1" a="1"/>
  <c r="A249" i="1" s="1"/>
  <c r="B249" i="1" s="1"/>
  <c r="O248" i="1"/>
  <c r="K248" i="1"/>
  <c r="Q248" i="1" s="1"/>
  <c r="P248" i="1" s="1"/>
  <c r="G248" i="1"/>
  <c r="E248" i="1"/>
  <c r="A248" i="1" a="1"/>
  <c r="A248" i="1" s="1"/>
  <c r="O366" i="1"/>
  <c r="K366" i="1"/>
  <c r="L366" i="1" s="1"/>
  <c r="G366" i="1"/>
  <c r="E366" i="1"/>
  <c r="B366" i="1"/>
  <c r="A366" i="1" a="1"/>
  <c r="A366" i="1" s="1"/>
  <c r="O365" i="1"/>
  <c r="K365" i="1"/>
  <c r="L365" i="1" s="1"/>
  <c r="G365" i="1"/>
  <c r="E365" i="1"/>
  <c r="A365" i="1" a="1"/>
  <c r="A365" i="1" s="1"/>
  <c r="O247" i="1"/>
  <c r="K247" i="1"/>
  <c r="M247" i="1" s="1"/>
  <c r="G247" i="1"/>
  <c r="E247" i="1"/>
  <c r="A247" i="1" a="1"/>
  <c r="A247" i="1" s="1"/>
  <c r="O253" i="1"/>
  <c r="K253" i="1"/>
  <c r="L253" i="1" s="1"/>
  <c r="G253" i="1"/>
  <c r="E253" i="1"/>
  <c r="A253" i="1"/>
  <c r="A253" i="1" a="1"/>
  <c r="O252" i="1"/>
  <c r="J252" i="1"/>
  <c r="K252" i="1" s="1"/>
  <c r="G252" i="1"/>
  <c r="E252" i="1"/>
  <c r="A252" i="1" a="1"/>
  <c r="A252" i="1" s="1"/>
  <c r="O246" i="1"/>
  <c r="K246" i="1"/>
  <c r="Q246" i="1" s="1"/>
  <c r="P246" i="1" s="1"/>
  <c r="G246" i="1"/>
  <c r="E246" i="1"/>
  <c r="A246" i="1" a="1"/>
  <c r="A246" i="1" s="1"/>
  <c r="Q245" i="1"/>
  <c r="P245" i="1" s="1"/>
  <c r="O245" i="1"/>
  <c r="L245" i="1"/>
  <c r="K245" i="1"/>
  <c r="M245" i="1" s="1"/>
  <c r="G245" i="1"/>
  <c r="E245" i="1"/>
  <c r="A245" i="1" a="1"/>
  <c r="A245" i="1" s="1"/>
  <c r="O244" i="1"/>
  <c r="J244" i="1"/>
  <c r="K244" i="1" s="1"/>
  <c r="G244" i="1"/>
  <c r="E244" i="1"/>
  <c r="A244" i="1" a="1"/>
  <c r="A244" i="1" s="1"/>
  <c r="O243" i="1"/>
  <c r="J243" i="1"/>
  <c r="K243" i="1" s="1"/>
  <c r="M243" i="1" s="1"/>
  <c r="G243" i="1"/>
  <c r="E243" i="1"/>
  <c r="A243" i="1" a="1"/>
  <c r="A243" i="1" s="1"/>
  <c r="O242" i="1"/>
  <c r="J242" i="1"/>
  <c r="K242" i="1" s="1"/>
  <c r="Q242" i="1" s="1"/>
  <c r="G242" i="1"/>
  <c r="E242" i="1"/>
  <c r="A242" i="1" a="1"/>
  <c r="A242" i="1" s="1"/>
  <c r="B242" i="1" s="1"/>
  <c r="O241" i="1"/>
  <c r="J241" i="1"/>
  <c r="K241" i="1" s="1"/>
  <c r="G241" i="1"/>
  <c r="E241" i="1"/>
  <c r="A241" i="1" a="1"/>
  <c r="A241" i="1" s="1"/>
  <c r="Q239" i="1"/>
  <c r="P239" i="1" s="1"/>
  <c r="O239" i="1"/>
  <c r="M239" i="1"/>
  <c r="K239" i="1"/>
  <c r="L239" i="1" s="1"/>
  <c r="G239" i="1"/>
  <c r="E239" i="1"/>
  <c r="A239" i="1" a="1"/>
  <c r="A239" i="1" s="1"/>
  <c r="B239" i="1" s="1"/>
  <c r="O238" i="1"/>
  <c r="M238" i="1"/>
  <c r="K238" i="1"/>
  <c r="L238" i="1" s="1"/>
  <c r="G238" i="1"/>
  <c r="E238" i="1"/>
  <c r="A238" i="1" a="1"/>
  <c r="A238" i="1" s="1"/>
  <c r="Q236" i="1"/>
  <c r="P236" i="1" s="1"/>
  <c r="O236" i="1"/>
  <c r="M236" i="1"/>
  <c r="L236" i="1"/>
  <c r="K236" i="1"/>
  <c r="G236" i="1"/>
  <c r="E236" i="1"/>
  <c r="A236" i="1" a="1"/>
  <c r="A236" i="1" s="1"/>
  <c r="Q235" i="1"/>
  <c r="P235" i="1"/>
  <c r="O235" i="1"/>
  <c r="M235" i="1"/>
  <c r="L235" i="1"/>
  <c r="G235" i="1"/>
  <c r="E235" i="1"/>
  <c r="A235" i="1" a="1"/>
  <c r="A235" i="1" s="1"/>
  <c r="Q234" i="1"/>
  <c r="P234" i="1" s="1"/>
  <c r="O234" i="1"/>
  <c r="M234" i="1"/>
  <c r="K234" i="1"/>
  <c r="L234" i="1" s="1"/>
  <c r="G234" i="1"/>
  <c r="E234" i="1"/>
  <c r="A234" i="1" a="1"/>
  <c r="A234" i="1" s="1"/>
  <c r="O240" i="1"/>
  <c r="M240" i="1"/>
  <c r="L240" i="1"/>
  <c r="K240" i="1"/>
  <c r="Q240" i="1" s="1"/>
  <c r="P240" i="1" s="1"/>
  <c r="G240" i="1"/>
  <c r="E240" i="1"/>
  <c r="A240" i="1" a="1"/>
  <c r="A240" i="1" s="1"/>
  <c r="O233" i="1"/>
  <c r="M233" i="1"/>
  <c r="K233" i="1"/>
  <c r="L233" i="1" s="1"/>
  <c r="G233" i="1"/>
  <c r="E233" i="1"/>
  <c r="A233" i="1" a="1"/>
  <c r="A233" i="1" s="1"/>
  <c r="B233" i="1" s="1"/>
  <c r="O232" i="1"/>
  <c r="K232" i="1"/>
  <c r="L232" i="1" s="1"/>
  <c r="G232" i="1"/>
  <c r="E232" i="1"/>
  <c r="A232" i="1" a="1"/>
  <c r="A232" i="1" s="1"/>
  <c r="Q237" i="1"/>
  <c r="P237" i="1" s="1"/>
  <c r="O237" i="1"/>
  <c r="K237" i="1"/>
  <c r="L237" i="1" s="1"/>
  <c r="G237" i="1"/>
  <c r="E237" i="1"/>
  <c r="A237" i="1" a="1"/>
  <c r="A237" i="1" s="1"/>
  <c r="O231" i="1"/>
  <c r="K231" i="1"/>
  <c r="Q231" i="1" s="1"/>
  <c r="G231" i="1"/>
  <c r="E231" i="1"/>
  <c r="A231" i="1"/>
  <c r="A231" i="1" a="1"/>
  <c r="Q230" i="1"/>
  <c r="O230" i="1"/>
  <c r="L230" i="1"/>
  <c r="K230" i="1"/>
  <c r="J230" i="1"/>
  <c r="M230" i="1" s="1"/>
  <c r="G230" i="1"/>
  <c r="E230" i="1"/>
  <c r="A230" i="1" a="1"/>
  <c r="A230" i="1" s="1"/>
  <c r="Q229" i="1"/>
  <c r="O229" i="1"/>
  <c r="M229" i="1"/>
  <c r="K229" i="1"/>
  <c r="L229" i="1" s="1"/>
  <c r="G229" i="1"/>
  <c r="E229" i="1"/>
  <c r="A229" i="1" a="1"/>
  <c r="A229" i="1" s="1"/>
  <c r="Q228" i="1"/>
  <c r="P228" i="1" s="1"/>
  <c r="O228" i="1"/>
  <c r="M228" i="1"/>
  <c r="L228" i="1"/>
  <c r="G228" i="1"/>
  <c r="E228" i="1"/>
  <c r="A228" i="1" a="1"/>
  <c r="A228" i="1" s="1"/>
  <c r="O227" i="1"/>
  <c r="J227" i="1"/>
  <c r="K227" i="1" s="1"/>
  <c r="M227" i="1" s="1"/>
  <c r="G227" i="1"/>
  <c r="E227" i="1"/>
  <c r="A227" i="1" a="1"/>
  <c r="A227" i="1" s="1"/>
  <c r="O226" i="1"/>
  <c r="J226" i="1"/>
  <c r="K226" i="1" s="1"/>
  <c r="L226" i="1" s="1"/>
  <c r="G226" i="1"/>
  <c r="E226" i="1"/>
  <c r="A226" i="1" a="1"/>
  <c r="A226" i="1" s="1"/>
  <c r="O225" i="1"/>
  <c r="J225" i="1"/>
  <c r="K225" i="1" s="1"/>
  <c r="G225" i="1"/>
  <c r="E225" i="1"/>
  <c r="A225" i="1" a="1"/>
  <c r="A225" i="1" s="1"/>
  <c r="B225" i="1" s="1"/>
  <c r="O224" i="1"/>
  <c r="J224" i="1"/>
  <c r="K224" i="1" s="1"/>
  <c r="G224" i="1"/>
  <c r="E224" i="1"/>
  <c r="A224" i="1" a="1"/>
  <c r="A224" i="1" s="1"/>
  <c r="B224" i="1" s="1"/>
  <c r="O223" i="1"/>
  <c r="J223" i="1"/>
  <c r="K223" i="1" s="1"/>
  <c r="G223" i="1"/>
  <c r="E223" i="1"/>
  <c r="A223" i="1" a="1"/>
  <c r="A223" i="1" s="1"/>
  <c r="O221" i="1"/>
  <c r="J221" i="1"/>
  <c r="K221" i="1" s="1"/>
  <c r="Q221" i="1" s="1"/>
  <c r="P221" i="1" s="1"/>
  <c r="G221" i="1"/>
  <c r="E221" i="1"/>
  <c r="A221" i="1" a="1"/>
  <c r="A221" i="1" s="1"/>
  <c r="B221" i="1" s="1"/>
  <c r="O220" i="1"/>
  <c r="J220" i="1"/>
  <c r="K220" i="1" s="1"/>
  <c r="G220" i="1"/>
  <c r="E220" i="1"/>
  <c r="A220" i="1"/>
  <c r="A220" i="1" a="1"/>
  <c r="O218" i="1"/>
  <c r="K218" i="1"/>
  <c r="L218" i="1" s="1"/>
  <c r="G218" i="1"/>
  <c r="E218" i="1"/>
  <c r="A218" i="1" a="1"/>
  <c r="A218" i="1" s="1"/>
  <c r="B218" i="1" s="1"/>
  <c r="O217" i="1"/>
  <c r="K217" i="1"/>
  <c r="L217" i="1" s="1"/>
  <c r="G217" i="1"/>
  <c r="E217" i="1"/>
  <c r="A217" i="1" a="1"/>
  <c r="A217" i="1" s="1"/>
  <c r="O216" i="1"/>
  <c r="K216" i="1"/>
  <c r="L216" i="1" s="1"/>
  <c r="G216" i="1"/>
  <c r="E216" i="1"/>
  <c r="A216" i="1" a="1"/>
  <c r="A216" i="1" s="1"/>
  <c r="O222" i="1"/>
  <c r="K222" i="1"/>
  <c r="L222" i="1" s="1"/>
  <c r="G222" i="1"/>
  <c r="E222" i="1"/>
  <c r="A222" i="1" a="1"/>
  <c r="A222" i="1" s="1"/>
  <c r="B222" i="1" s="1"/>
  <c r="O215" i="1"/>
  <c r="L215" i="1"/>
  <c r="K215" i="1"/>
  <c r="G215" i="1"/>
  <c r="E215" i="1"/>
  <c r="A215" i="1" a="1"/>
  <c r="A215" i="1" s="1"/>
  <c r="B215" i="1" s="1"/>
  <c r="O214" i="1"/>
  <c r="K214" i="1"/>
  <c r="L214" i="1" s="1"/>
  <c r="G214" i="1"/>
  <c r="E214" i="1"/>
  <c r="A214" i="1" a="1"/>
  <c r="A214" i="1" s="1"/>
  <c r="O219" i="1"/>
  <c r="L219" i="1"/>
  <c r="K219" i="1"/>
  <c r="G219" i="1"/>
  <c r="E219" i="1"/>
  <c r="A219" i="1" a="1"/>
  <c r="A219" i="1" s="1"/>
  <c r="O212" i="1"/>
  <c r="K212" i="1"/>
  <c r="L212" i="1" s="1"/>
  <c r="J212" i="1"/>
  <c r="G212" i="1"/>
  <c r="E212" i="1"/>
  <c r="A212" i="1" a="1"/>
  <c r="A212" i="1" s="1"/>
  <c r="B212" i="1" s="1"/>
  <c r="O211" i="1"/>
  <c r="K211" i="1"/>
  <c r="M211" i="1" s="1"/>
  <c r="G211" i="1"/>
  <c r="E211" i="1"/>
  <c r="A211" i="1" a="1"/>
  <c r="A211" i="1" s="1"/>
  <c r="B211" i="1" s="1"/>
  <c r="O210" i="1"/>
  <c r="J210" i="1"/>
  <c r="K210" i="1" s="1"/>
  <c r="Q210" i="1" s="1"/>
  <c r="P210" i="1" s="1"/>
  <c r="G210" i="1"/>
  <c r="E210" i="1"/>
  <c r="A210" i="1" a="1"/>
  <c r="A210" i="1" s="1"/>
  <c r="B210" i="1" s="1"/>
  <c r="O209" i="1"/>
  <c r="J209" i="1"/>
  <c r="K209" i="1" s="1"/>
  <c r="M209" i="1" s="1"/>
  <c r="G209" i="1"/>
  <c r="E209" i="1"/>
  <c r="A209" i="1" a="1"/>
  <c r="A209" i="1" s="1"/>
  <c r="O208" i="1"/>
  <c r="K208" i="1"/>
  <c r="L208" i="1" s="1"/>
  <c r="G208" i="1"/>
  <c r="E208" i="1"/>
  <c r="A208" i="1" a="1"/>
  <c r="A208" i="1" s="1"/>
  <c r="Q213" i="1"/>
  <c r="P213" i="1" s="1"/>
  <c r="O213" i="1"/>
  <c r="M213" i="1"/>
  <c r="L213" i="1"/>
  <c r="G213" i="1"/>
  <c r="E213" i="1"/>
  <c r="A213" i="1" a="1"/>
  <c r="A213" i="1" s="1"/>
  <c r="Q207" i="1"/>
  <c r="P207" i="1" s="1"/>
  <c r="O207" i="1"/>
  <c r="M207" i="1"/>
  <c r="K207" i="1"/>
  <c r="L207" i="1" s="1"/>
  <c r="G207" i="1"/>
  <c r="E207" i="1"/>
  <c r="A207" i="1" a="1"/>
  <c r="A207" i="1" s="1"/>
  <c r="B207" i="1" s="1"/>
  <c r="Q206" i="1"/>
  <c r="P206" i="1" s="1"/>
  <c r="O206" i="1"/>
  <c r="M206" i="1"/>
  <c r="L206" i="1"/>
  <c r="G206" i="1"/>
  <c r="E206" i="1"/>
  <c r="A206" i="1" a="1"/>
  <c r="A206" i="1" s="1"/>
  <c r="Q205" i="1"/>
  <c r="P205" i="1" s="1"/>
  <c r="O205" i="1"/>
  <c r="M205" i="1"/>
  <c r="L205" i="1"/>
  <c r="G205" i="1"/>
  <c r="E205" i="1"/>
  <c r="A205" i="1" a="1"/>
  <c r="A205" i="1" s="1"/>
  <c r="O203" i="1"/>
  <c r="K203" i="1"/>
  <c r="L203" i="1" s="1"/>
  <c r="G203" i="1"/>
  <c r="E203" i="1"/>
  <c r="A203" i="1" a="1"/>
  <c r="A203" i="1" s="1"/>
  <c r="O202" i="1"/>
  <c r="K202" i="1"/>
  <c r="G202" i="1"/>
  <c r="E202" i="1"/>
  <c r="A202" i="1" a="1"/>
  <c r="A202" i="1" s="1"/>
  <c r="B202" i="1" s="1"/>
  <c r="O201" i="1"/>
  <c r="K201" i="1"/>
  <c r="L201" i="1" s="1"/>
  <c r="G201" i="1"/>
  <c r="E201" i="1"/>
  <c r="A201" i="1" a="1"/>
  <c r="A201" i="1" s="1"/>
  <c r="O200" i="1"/>
  <c r="K200" i="1"/>
  <c r="L200" i="1" s="1"/>
  <c r="G200" i="1"/>
  <c r="E200" i="1"/>
  <c r="A200" i="1" a="1"/>
  <c r="A200" i="1" s="1"/>
  <c r="O199" i="1"/>
  <c r="K199" i="1"/>
  <c r="L199" i="1" s="1"/>
  <c r="G199" i="1"/>
  <c r="E199" i="1"/>
  <c r="A199" i="1" a="1"/>
  <c r="A199" i="1" s="1"/>
  <c r="Q204" i="1"/>
  <c r="P204" i="1"/>
  <c r="O204" i="1"/>
  <c r="M204" i="1"/>
  <c r="L204" i="1"/>
  <c r="G204" i="1"/>
  <c r="E204" i="1"/>
  <c r="A204" i="1" a="1"/>
  <c r="A204" i="1" s="1"/>
  <c r="O198" i="1"/>
  <c r="K198" i="1"/>
  <c r="L198" i="1" s="1"/>
  <c r="G198" i="1"/>
  <c r="E198" i="1"/>
  <c r="A198" i="1" a="1"/>
  <c r="A198" i="1" s="1"/>
  <c r="B198" i="1" s="1"/>
  <c r="O372" i="1"/>
  <c r="K372" i="1"/>
  <c r="L372" i="1" s="1"/>
  <c r="G372" i="1"/>
  <c r="E372" i="1"/>
  <c r="A372" i="1" a="1"/>
  <c r="A372" i="1" s="1"/>
  <c r="O197" i="1"/>
  <c r="K197" i="1"/>
  <c r="L197" i="1" s="1"/>
  <c r="G197" i="1"/>
  <c r="E197" i="1"/>
  <c r="A197" i="1"/>
  <c r="B197" i="1" s="1"/>
  <c r="A197" i="1" a="1"/>
  <c r="Q196" i="1"/>
  <c r="P196" i="1" s="1"/>
  <c r="O196" i="1"/>
  <c r="M196" i="1"/>
  <c r="L196" i="1"/>
  <c r="G196" i="1"/>
  <c r="E196" i="1"/>
  <c r="A196" i="1" a="1"/>
  <c r="A196" i="1" s="1"/>
  <c r="B196" i="1" s="1"/>
  <c r="O195" i="1"/>
  <c r="K195" i="1"/>
  <c r="Q195" i="1" s="1"/>
  <c r="P195" i="1" s="1"/>
  <c r="G195" i="1"/>
  <c r="E195" i="1"/>
  <c r="A195" i="1" a="1"/>
  <c r="A195" i="1" s="1"/>
  <c r="O194" i="1"/>
  <c r="M194" i="1"/>
  <c r="J194" i="1"/>
  <c r="K194" i="1" s="1"/>
  <c r="L194" i="1" s="1"/>
  <c r="G194" i="1"/>
  <c r="E194" i="1"/>
  <c r="A194" i="1" a="1"/>
  <c r="A194" i="1" s="1"/>
  <c r="O193" i="1"/>
  <c r="K193" i="1"/>
  <c r="L193" i="1" s="1"/>
  <c r="G193" i="1"/>
  <c r="E193" i="1"/>
  <c r="A193" i="1" a="1"/>
  <c r="A193" i="1" s="1"/>
  <c r="B193" i="1" s="1"/>
  <c r="O192" i="1"/>
  <c r="K192" i="1"/>
  <c r="L192" i="1" s="1"/>
  <c r="I192" i="1"/>
  <c r="G192" i="1"/>
  <c r="E192" i="1"/>
  <c r="A192" i="1" a="1"/>
  <c r="A192" i="1" s="1"/>
  <c r="O191" i="1"/>
  <c r="K191" i="1"/>
  <c r="M191" i="1" s="1"/>
  <c r="G191" i="1"/>
  <c r="E191" i="1"/>
  <c r="A191" i="1" a="1"/>
  <c r="A191" i="1" s="1"/>
  <c r="B191" i="1" s="1"/>
  <c r="O190" i="1"/>
  <c r="K190" i="1"/>
  <c r="Q190" i="1" s="1"/>
  <c r="P190" i="1" s="1"/>
  <c r="G190" i="1"/>
  <c r="E190" i="1"/>
  <c r="A190" i="1" a="1"/>
  <c r="A190" i="1" s="1"/>
  <c r="B190" i="1" s="1"/>
  <c r="O370" i="1"/>
  <c r="K370" i="1"/>
  <c r="M370" i="1" s="1"/>
  <c r="G370" i="1"/>
  <c r="E370" i="1"/>
  <c r="A370" i="1" a="1"/>
  <c r="A370" i="1" s="1"/>
  <c r="O189" i="1"/>
  <c r="K189" i="1"/>
  <c r="M189" i="1" s="1"/>
  <c r="G189" i="1"/>
  <c r="E189" i="1"/>
  <c r="A189" i="1" a="1"/>
  <c r="A189" i="1" s="1"/>
  <c r="B189" i="1" s="1"/>
  <c r="O188" i="1"/>
  <c r="K188" i="1"/>
  <c r="L188" i="1" s="1"/>
  <c r="G188" i="1"/>
  <c r="E188" i="1"/>
  <c r="A188" i="1" a="1"/>
  <c r="A188" i="1" s="1"/>
  <c r="O186" i="1"/>
  <c r="K186" i="1"/>
  <c r="M186" i="1" s="1"/>
  <c r="G186" i="1"/>
  <c r="E186" i="1"/>
  <c r="A186" i="1" a="1"/>
  <c r="A186" i="1" s="1"/>
  <c r="B186" i="1" s="1"/>
  <c r="Q185" i="1"/>
  <c r="P185" i="1" s="1"/>
  <c r="O185" i="1"/>
  <c r="M185" i="1"/>
  <c r="K185" i="1"/>
  <c r="L185" i="1" s="1"/>
  <c r="G185" i="1"/>
  <c r="E185" i="1"/>
  <c r="A185" i="1" a="1"/>
  <c r="A185" i="1" s="1"/>
  <c r="B185" i="1" s="1"/>
  <c r="O184" i="1"/>
  <c r="K184" i="1"/>
  <c r="L184" i="1" s="1"/>
  <c r="G184" i="1"/>
  <c r="E184" i="1"/>
  <c r="A184" i="1" a="1"/>
  <c r="A184" i="1" s="1"/>
  <c r="Q187" i="1"/>
  <c r="P187" i="1" s="1"/>
  <c r="O187" i="1"/>
  <c r="M187" i="1"/>
  <c r="L187" i="1"/>
  <c r="G187" i="1"/>
  <c r="E187" i="1"/>
  <c r="A187" i="1" a="1"/>
  <c r="A187" i="1" s="1"/>
  <c r="B187" i="1" s="1"/>
  <c r="O183" i="1"/>
  <c r="K183" i="1"/>
  <c r="Q183" i="1" s="1"/>
  <c r="P183" i="1" s="1"/>
  <c r="G183" i="1"/>
  <c r="E183" i="1"/>
  <c r="A183" i="1" a="1"/>
  <c r="A183" i="1" s="1"/>
  <c r="B183" i="1" s="1"/>
  <c r="O182" i="1"/>
  <c r="K182" i="1"/>
  <c r="M182" i="1" s="1"/>
  <c r="G182" i="1"/>
  <c r="E182" i="1"/>
  <c r="A182" i="1" a="1"/>
  <c r="A182" i="1" s="1"/>
  <c r="O180" i="1"/>
  <c r="K180" i="1"/>
  <c r="Q180" i="1" s="1"/>
  <c r="P180" i="1" s="1"/>
  <c r="G180" i="1"/>
  <c r="E180" i="1"/>
  <c r="A180" i="1" a="1"/>
  <c r="A180" i="1" s="1"/>
  <c r="O179" i="1"/>
  <c r="K179" i="1"/>
  <c r="L179" i="1" s="1"/>
  <c r="G179" i="1"/>
  <c r="E179" i="1"/>
  <c r="A179" i="1" a="1"/>
  <c r="A179" i="1" s="1"/>
  <c r="Q177" i="1"/>
  <c r="P177" i="1" s="1"/>
  <c r="O177" i="1"/>
  <c r="M177" i="1"/>
  <c r="K177" i="1"/>
  <c r="L177" i="1" s="1"/>
  <c r="G177" i="1"/>
  <c r="E177" i="1"/>
  <c r="A177" i="1" a="1"/>
  <c r="A177" i="1" s="1"/>
  <c r="B177" i="1" s="1"/>
  <c r="Q181" i="1"/>
  <c r="P181" i="1" s="1"/>
  <c r="O181" i="1"/>
  <c r="M181" i="1"/>
  <c r="L181" i="1"/>
  <c r="G181" i="1"/>
  <c r="E181" i="1"/>
  <c r="A181" i="1" a="1"/>
  <c r="A181" i="1" s="1"/>
  <c r="O176" i="1"/>
  <c r="M176" i="1"/>
  <c r="L176" i="1"/>
  <c r="G176" i="1"/>
  <c r="E176" i="1"/>
  <c r="A176" i="1" a="1"/>
  <c r="A176" i="1" s="1"/>
  <c r="Q174" i="1"/>
  <c r="P174" i="1" s="1"/>
  <c r="O174" i="1"/>
  <c r="K174" i="1"/>
  <c r="M174" i="1" s="1"/>
  <c r="G174" i="1"/>
  <c r="E174" i="1"/>
  <c r="A174" i="1" a="1"/>
  <c r="A174" i="1" s="1"/>
  <c r="B174" i="1" s="1"/>
  <c r="Q178" i="1"/>
  <c r="P178" i="1" s="1"/>
  <c r="O178" i="1"/>
  <c r="M178" i="1"/>
  <c r="L178" i="1"/>
  <c r="G178" i="1"/>
  <c r="E178" i="1"/>
  <c r="A178" i="1" a="1"/>
  <c r="A178" i="1" s="1"/>
  <c r="B178" i="1" s="1"/>
  <c r="Q173" i="1"/>
  <c r="P173" i="1" s="1"/>
  <c r="O173" i="1"/>
  <c r="M173" i="1"/>
  <c r="L173" i="1"/>
  <c r="K173" i="1"/>
  <c r="G173" i="1"/>
  <c r="E173" i="1"/>
  <c r="A173" i="1" a="1"/>
  <c r="A173" i="1" s="1"/>
  <c r="B173" i="1" s="1"/>
  <c r="O172" i="1"/>
  <c r="J172" i="1"/>
  <c r="K172" i="1" s="1"/>
  <c r="M172" i="1" s="1"/>
  <c r="G172" i="1"/>
  <c r="E172" i="1"/>
  <c r="A172" i="1" a="1"/>
  <c r="A172" i="1" s="1"/>
  <c r="O175" i="1"/>
  <c r="M175" i="1"/>
  <c r="L175" i="1"/>
  <c r="K175" i="1"/>
  <c r="Q175" i="1" s="1"/>
  <c r="P175" i="1" s="1"/>
  <c r="G175" i="1"/>
  <c r="E175" i="1"/>
  <c r="A175" i="1" a="1"/>
  <c r="A175" i="1" s="1"/>
  <c r="Q170" i="1"/>
  <c r="P170" i="1" s="1"/>
  <c r="O170" i="1"/>
  <c r="M170" i="1"/>
  <c r="L170" i="1"/>
  <c r="G170" i="1"/>
  <c r="E170" i="1"/>
  <c r="A170" i="1" a="1"/>
  <c r="A170" i="1" s="1"/>
  <c r="O167" i="1"/>
  <c r="K167" i="1"/>
  <c r="L167" i="1" s="1"/>
  <c r="G167" i="1"/>
  <c r="E167" i="1"/>
  <c r="A167" i="1" a="1"/>
  <c r="A167" i="1" s="1"/>
  <c r="B167" i="1" s="1"/>
  <c r="O166" i="1"/>
  <c r="K166" i="1"/>
  <c r="L166" i="1" s="1"/>
  <c r="G166" i="1"/>
  <c r="E166" i="1"/>
  <c r="A166" i="1" a="1"/>
  <c r="A166" i="1" s="1"/>
  <c r="Q171" i="1"/>
  <c r="P171" i="1" s="1"/>
  <c r="O171" i="1"/>
  <c r="L171" i="1"/>
  <c r="K171" i="1"/>
  <c r="M171" i="1" s="1"/>
  <c r="G171" i="1"/>
  <c r="E171" i="1"/>
  <c r="A171" i="1" a="1"/>
  <c r="A171" i="1" s="1"/>
  <c r="B171" i="1" s="1"/>
  <c r="Q165" i="1"/>
  <c r="O165" i="1"/>
  <c r="M165" i="1"/>
  <c r="L165" i="1"/>
  <c r="G165" i="1"/>
  <c r="E165" i="1"/>
  <c r="A165" i="1" a="1"/>
  <c r="A165" i="1" s="1"/>
  <c r="B165" i="1" s="1"/>
  <c r="Q169" i="1"/>
  <c r="P169" i="1" s="1"/>
  <c r="O169" i="1"/>
  <c r="M169" i="1"/>
  <c r="L169" i="1"/>
  <c r="G169" i="1"/>
  <c r="E169" i="1"/>
  <c r="A169" i="1" a="1"/>
  <c r="A169" i="1" s="1"/>
  <c r="Q168" i="1"/>
  <c r="P168" i="1" s="1"/>
  <c r="O168" i="1"/>
  <c r="M168" i="1"/>
  <c r="L168" i="1"/>
  <c r="G168" i="1"/>
  <c r="E168" i="1"/>
  <c r="A168" i="1" a="1"/>
  <c r="A168" i="1" s="1"/>
  <c r="B168" i="1" s="1"/>
  <c r="O164" i="1"/>
  <c r="K164" i="1"/>
  <c r="L164" i="1" s="1"/>
  <c r="G164" i="1"/>
  <c r="E164" i="1"/>
  <c r="A164" i="1" a="1"/>
  <c r="A164" i="1" s="1"/>
  <c r="Q163" i="1"/>
  <c r="P163" i="1" s="1"/>
  <c r="O163" i="1"/>
  <c r="M163" i="1"/>
  <c r="K163" i="1"/>
  <c r="L163" i="1" s="1"/>
  <c r="G163" i="1"/>
  <c r="E163" i="1"/>
  <c r="A163" i="1" a="1"/>
  <c r="A163" i="1" s="1"/>
  <c r="B163" i="1" s="1"/>
  <c r="O162" i="1"/>
  <c r="K162" i="1"/>
  <c r="L162" i="1" s="1"/>
  <c r="J162" i="1"/>
  <c r="G162" i="1"/>
  <c r="E162" i="1"/>
  <c r="A162" i="1" a="1"/>
  <c r="A162" i="1" s="1"/>
  <c r="Q160" i="1"/>
  <c r="P160" i="1" s="1"/>
  <c r="O160" i="1"/>
  <c r="M160" i="1"/>
  <c r="L160" i="1"/>
  <c r="G160" i="1"/>
  <c r="E160" i="1"/>
  <c r="A160" i="1" a="1"/>
  <c r="A160" i="1" s="1"/>
  <c r="O369" i="1"/>
  <c r="K369" i="1"/>
  <c r="M369" i="1" s="1"/>
  <c r="G369" i="1"/>
  <c r="E369" i="1"/>
  <c r="A369" i="1" a="1"/>
  <c r="A369" i="1" s="1"/>
  <c r="O367" i="1"/>
  <c r="K367" i="1"/>
  <c r="Q367" i="1" s="1"/>
  <c r="P367" i="1" s="1"/>
  <c r="G367" i="1"/>
  <c r="E367" i="1"/>
  <c r="A367" i="1" a="1"/>
  <c r="A367" i="1" s="1"/>
  <c r="B367" i="1" s="1"/>
  <c r="O161" i="1"/>
  <c r="K161" i="1"/>
  <c r="Q161" i="1" s="1"/>
  <c r="P161" i="1" s="1"/>
  <c r="G161" i="1"/>
  <c r="E161" i="1"/>
  <c r="A161" i="1" a="1"/>
  <c r="A161" i="1" s="1"/>
  <c r="O158" i="1"/>
  <c r="J158" i="1"/>
  <c r="K158" i="1" s="1"/>
  <c r="G158" i="1"/>
  <c r="E158" i="1"/>
  <c r="A158" i="1" a="1"/>
  <c r="A158" i="1" s="1"/>
  <c r="Q159" i="1"/>
  <c r="P159" i="1" s="1"/>
  <c r="O159" i="1"/>
  <c r="M159" i="1"/>
  <c r="L159" i="1"/>
  <c r="G159" i="1"/>
  <c r="E159" i="1"/>
  <c r="A159" i="1" a="1"/>
  <c r="A159" i="1" s="1"/>
  <c r="O157" i="1"/>
  <c r="K157" i="1"/>
  <c r="Q157" i="1" s="1"/>
  <c r="P157" i="1" s="1"/>
  <c r="G157" i="1"/>
  <c r="E157" i="1"/>
  <c r="A157" i="1" a="1"/>
  <c r="A157" i="1" s="1"/>
  <c r="O156" i="1"/>
  <c r="K156" i="1"/>
  <c r="Q156" i="1" s="1"/>
  <c r="P156" i="1" s="1"/>
  <c r="G156" i="1"/>
  <c r="E156" i="1"/>
  <c r="A156" i="1" a="1"/>
  <c r="A156" i="1" s="1"/>
  <c r="O155" i="1"/>
  <c r="K155" i="1"/>
  <c r="Q155" i="1" s="1"/>
  <c r="P155" i="1" s="1"/>
  <c r="G155" i="1"/>
  <c r="E155" i="1"/>
  <c r="A155" i="1" a="1"/>
  <c r="A155" i="1" s="1"/>
  <c r="O154" i="1"/>
  <c r="K154" i="1"/>
  <c r="Q154" i="1" s="1"/>
  <c r="P154" i="1" s="1"/>
  <c r="G154" i="1"/>
  <c r="E154" i="1"/>
  <c r="A154" i="1" a="1"/>
  <c r="A154" i="1" s="1"/>
  <c r="O152" i="1"/>
  <c r="K152" i="1"/>
  <c r="Q152" i="1" s="1"/>
  <c r="P152" i="1" s="1"/>
  <c r="G152" i="1"/>
  <c r="E152" i="1"/>
  <c r="A152" i="1" a="1"/>
  <c r="A152" i="1" s="1"/>
  <c r="O153" i="1"/>
  <c r="K153" i="1"/>
  <c r="M153" i="1" s="1"/>
  <c r="G153" i="1"/>
  <c r="E153" i="1"/>
  <c r="A153" i="1" a="1"/>
  <c r="A153" i="1" s="1"/>
  <c r="O151" i="1"/>
  <c r="K151" i="1"/>
  <c r="Q151" i="1" s="1"/>
  <c r="P151" i="1" s="1"/>
  <c r="G151" i="1"/>
  <c r="E151" i="1"/>
  <c r="A151" i="1" a="1"/>
  <c r="A151" i="1" s="1"/>
  <c r="O150" i="1"/>
  <c r="J150" i="1"/>
  <c r="K150" i="1" s="1"/>
  <c r="G150" i="1"/>
  <c r="E150" i="1"/>
  <c r="A150" i="1"/>
  <c r="B150" i="1" s="1"/>
  <c r="A150" i="1" a="1"/>
  <c r="O149" i="1"/>
  <c r="K149" i="1"/>
  <c r="Q149" i="1" s="1"/>
  <c r="G149" i="1"/>
  <c r="E149" i="1"/>
  <c r="A149" i="1"/>
  <c r="B149" i="1" s="1"/>
  <c r="A149" i="1" a="1"/>
  <c r="Q148" i="1"/>
  <c r="P148" i="1" s="1"/>
  <c r="O148" i="1"/>
  <c r="M148" i="1"/>
  <c r="L148" i="1"/>
  <c r="G148" i="1"/>
  <c r="E148" i="1"/>
  <c r="A148" i="1" a="1"/>
  <c r="A148" i="1" s="1"/>
  <c r="O146" i="1"/>
  <c r="K146" i="1"/>
  <c r="Q146" i="1" s="1"/>
  <c r="P146" i="1" s="1"/>
  <c r="G146" i="1"/>
  <c r="E146" i="1"/>
  <c r="A146" i="1" a="1"/>
  <c r="A146" i="1" s="1"/>
  <c r="Q147" i="1"/>
  <c r="P147" i="1" s="1"/>
  <c r="O147" i="1"/>
  <c r="M147" i="1"/>
  <c r="L147" i="1"/>
  <c r="G147" i="1"/>
  <c r="E147" i="1"/>
  <c r="A147" i="1" a="1"/>
  <c r="A147" i="1" s="1"/>
  <c r="B147" i="1" s="1"/>
  <c r="O145" i="1"/>
  <c r="K145" i="1"/>
  <c r="Q145" i="1" s="1"/>
  <c r="P145" i="1" s="1"/>
  <c r="G145" i="1"/>
  <c r="E145" i="1"/>
  <c r="A145" i="1" a="1"/>
  <c r="A145" i="1" s="1"/>
  <c r="Q144" i="1"/>
  <c r="P144" i="1" s="1"/>
  <c r="O144" i="1"/>
  <c r="K144" i="1"/>
  <c r="L144" i="1" s="1"/>
  <c r="G144" i="1"/>
  <c r="E144" i="1"/>
  <c r="A144" i="1" a="1"/>
  <c r="A144" i="1" s="1"/>
  <c r="O143" i="1"/>
  <c r="K143" i="1"/>
  <c r="L143" i="1" s="1"/>
  <c r="G143" i="1"/>
  <c r="E143" i="1"/>
  <c r="A143" i="1" a="1"/>
  <c r="A143" i="1" s="1"/>
  <c r="O142" i="1"/>
  <c r="K142" i="1"/>
  <c r="L142" i="1" s="1"/>
  <c r="G142" i="1"/>
  <c r="E142" i="1"/>
  <c r="A142" i="1" a="1"/>
  <c r="A142" i="1" s="1"/>
  <c r="O141" i="1"/>
  <c r="K141" i="1"/>
  <c r="M141" i="1" s="1"/>
  <c r="G141" i="1"/>
  <c r="E141" i="1"/>
  <c r="A141" i="1" a="1"/>
  <c r="A141" i="1" s="1"/>
  <c r="Q140" i="1"/>
  <c r="P140" i="1" s="1"/>
  <c r="O140" i="1"/>
  <c r="K140" i="1"/>
  <c r="L140" i="1" s="1"/>
  <c r="G140" i="1"/>
  <c r="E140" i="1"/>
  <c r="A140" i="1" a="1"/>
  <c r="A140" i="1" s="1"/>
  <c r="O139" i="1"/>
  <c r="K139" i="1"/>
  <c r="Q139" i="1" s="1"/>
  <c r="P139" i="1" s="1"/>
  <c r="G139" i="1"/>
  <c r="E139" i="1"/>
  <c r="A139" i="1" a="1"/>
  <c r="A139" i="1" s="1"/>
  <c r="O138" i="1"/>
  <c r="K138" i="1"/>
  <c r="Q138" i="1" s="1"/>
  <c r="P138" i="1" s="1"/>
  <c r="G138" i="1"/>
  <c r="E138" i="1"/>
  <c r="A138" i="1" a="1"/>
  <c r="A138" i="1" s="1"/>
  <c r="B138" i="1" s="1"/>
  <c r="O137" i="1"/>
  <c r="K137" i="1"/>
  <c r="M137" i="1" s="1"/>
  <c r="G137" i="1"/>
  <c r="E137" i="1"/>
  <c r="A137" i="1" a="1"/>
  <c r="A137" i="1" s="1"/>
  <c r="B137" i="1" s="1"/>
  <c r="O135" i="1"/>
  <c r="K135" i="1"/>
  <c r="Q135" i="1" s="1"/>
  <c r="P135" i="1" s="1"/>
  <c r="G135" i="1"/>
  <c r="E135" i="1"/>
  <c r="A135" i="1" a="1"/>
  <c r="A135" i="1" s="1"/>
  <c r="B135" i="1" s="1"/>
  <c r="Q136" i="1"/>
  <c r="P136" i="1" s="1"/>
  <c r="O136" i="1"/>
  <c r="M136" i="1"/>
  <c r="L136" i="1"/>
  <c r="G136" i="1"/>
  <c r="E136" i="1"/>
  <c r="A136" i="1" a="1"/>
  <c r="A136" i="1" s="1"/>
  <c r="O134" i="1"/>
  <c r="K134" i="1"/>
  <c r="L134" i="1" s="1"/>
  <c r="G134" i="1"/>
  <c r="E134" i="1"/>
  <c r="A134" i="1" a="1"/>
  <c r="A134" i="1" s="1"/>
  <c r="O133" i="1"/>
  <c r="K133" i="1"/>
  <c r="L133" i="1" s="1"/>
  <c r="G133" i="1"/>
  <c r="E133" i="1"/>
  <c r="A133" i="1" a="1"/>
  <c r="A133" i="1" s="1"/>
  <c r="O132" i="1"/>
  <c r="J132" i="1"/>
  <c r="K132" i="1" s="1"/>
  <c r="G132" i="1"/>
  <c r="E132" i="1"/>
  <c r="A132" i="1" a="1"/>
  <c r="A132" i="1" s="1"/>
  <c r="B132" i="1" s="1"/>
  <c r="O131" i="1"/>
  <c r="K131" i="1"/>
  <c r="M131" i="1" s="1"/>
  <c r="G131" i="1"/>
  <c r="E131" i="1"/>
  <c r="A131" i="1" a="1"/>
  <c r="A131" i="1" s="1"/>
  <c r="B131" i="1" s="1"/>
  <c r="O130" i="1"/>
  <c r="K130" i="1"/>
  <c r="Q130" i="1" s="1"/>
  <c r="P130" i="1" s="1"/>
  <c r="G130" i="1"/>
  <c r="E130" i="1"/>
  <c r="A130" i="1" a="1"/>
  <c r="A130" i="1" s="1"/>
  <c r="B130" i="1" s="1"/>
  <c r="O129" i="1"/>
  <c r="K129" i="1"/>
  <c r="M129" i="1" s="1"/>
  <c r="G129" i="1"/>
  <c r="E129" i="1"/>
  <c r="A129" i="1" a="1"/>
  <c r="A129" i="1" s="1"/>
  <c r="B129" i="1" s="1"/>
  <c r="O128" i="1"/>
  <c r="J128" i="1"/>
  <c r="K128" i="1" s="1"/>
  <c r="Q128" i="1" s="1"/>
  <c r="P128" i="1" s="1"/>
  <c r="G128" i="1"/>
  <c r="E128" i="1"/>
  <c r="A128" i="1" a="1"/>
  <c r="A128" i="1" s="1"/>
  <c r="B128" i="1" s="1"/>
  <c r="O127" i="1"/>
  <c r="K127" i="1"/>
  <c r="M127" i="1" s="1"/>
  <c r="G127" i="1"/>
  <c r="E127" i="1"/>
  <c r="A127" i="1" a="1"/>
  <c r="A127" i="1" s="1"/>
  <c r="B127" i="1" s="1"/>
  <c r="O125" i="1"/>
  <c r="K125" i="1"/>
  <c r="Q125" i="1" s="1"/>
  <c r="P125" i="1" s="1"/>
  <c r="G125" i="1"/>
  <c r="E125" i="1"/>
  <c r="A125" i="1" a="1"/>
  <c r="A125" i="1" s="1"/>
  <c r="B125" i="1" s="1"/>
  <c r="O126" i="1"/>
  <c r="K126" i="1"/>
  <c r="M126" i="1" s="1"/>
  <c r="G126" i="1"/>
  <c r="E126" i="1"/>
  <c r="A126" i="1" a="1"/>
  <c r="A126" i="1" s="1"/>
  <c r="O124" i="1"/>
  <c r="J124" i="1"/>
  <c r="K124" i="1" s="1"/>
  <c r="G124" i="1"/>
  <c r="E124" i="1"/>
  <c r="A124" i="1" a="1"/>
  <c r="A124" i="1" s="1"/>
  <c r="Q122" i="1"/>
  <c r="P122" i="1" s="1"/>
  <c r="O122" i="1"/>
  <c r="M122" i="1"/>
  <c r="L122" i="1"/>
  <c r="G122" i="1"/>
  <c r="E122" i="1"/>
  <c r="A122" i="1" a="1"/>
  <c r="A122" i="1" s="1"/>
  <c r="O123" i="1"/>
  <c r="J123" i="1"/>
  <c r="K123" i="1" s="1"/>
  <c r="G123" i="1"/>
  <c r="E123" i="1"/>
  <c r="A123" i="1" a="1"/>
  <c r="A123" i="1" s="1"/>
  <c r="O121" i="1"/>
  <c r="K121" i="1"/>
  <c r="Q121" i="1" s="1"/>
  <c r="P121" i="1" s="1"/>
  <c r="G121" i="1"/>
  <c r="A121" i="1" a="1"/>
  <c r="A121" i="1" s="1"/>
  <c r="O120" i="1"/>
  <c r="K120" i="1"/>
  <c r="Q120" i="1" s="1"/>
  <c r="P120" i="1" s="1"/>
  <c r="G120" i="1"/>
  <c r="E120" i="1"/>
  <c r="A120" i="1" a="1"/>
  <c r="A120" i="1" s="1"/>
  <c r="B120" i="1" s="1"/>
  <c r="O119" i="1"/>
  <c r="J119" i="1"/>
  <c r="K119" i="1" s="1"/>
  <c r="M119" i="1" s="1"/>
  <c r="G119" i="1"/>
  <c r="E119" i="1"/>
  <c r="A119" i="1" a="1"/>
  <c r="A119" i="1" s="1"/>
  <c r="Q118" i="1"/>
  <c r="P118" i="1" s="1"/>
  <c r="O118" i="1"/>
  <c r="K118" i="1"/>
  <c r="M118" i="1" s="1"/>
  <c r="G118" i="1"/>
  <c r="E118" i="1"/>
  <c r="A118" i="1" a="1"/>
  <c r="A118" i="1" s="1"/>
  <c r="O117" i="1"/>
  <c r="K117" i="1"/>
  <c r="Q117" i="1" s="1"/>
  <c r="P117" i="1" s="1"/>
  <c r="G117" i="1"/>
  <c r="E117" i="1"/>
  <c r="A117" i="1" a="1"/>
  <c r="A117" i="1" s="1"/>
  <c r="O116" i="1"/>
  <c r="K116" i="1"/>
  <c r="Q116" i="1" s="1"/>
  <c r="P116" i="1" s="1"/>
  <c r="G116" i="1"/>
  <c r="E116" i="1"/>
  <c r="A116" i="1" a="1"/>
  <c r="A116" i="1" s="1"/>
  <c r="O115" i="1"/>
  <c r="L115" i="1"/>
  <c r="K115" i="1"/>
  <c r="M115" i="1" s="1"/>
  <c r="G115" i="1"/>
  <c r="E115" i="1"/>
  <c r="A115" i="1" a="1"/>
  <c r="A115" i="1" s="1"/>
  <c r="B115" i="1" s="1"/>
  <c r="O114" i="1"/>
  <c r="K114" i="1"/>
  <c r="L114" i="1" s="1"/>
  <c r="G114" i="1"/>
  <c r="E114" i="1"/>
  <c r="A114" i="1" a="1"/>
  <c r="A114" i="1" s="1"/>
  <c r="O113" i="1"/>
  <c r="K113" i="1"/>
  <c r="M113" i="1" s="1"/>
  <c r="G113" i="1"/>
  <c r="E113" i="1"/>
  <c r="A113" i="1" a="1"/>
  <c r="A113" i="1" s="1"/>
  <c r="B113" i="1" s="1"/>
  <c r="O112" i="1"/>
  <c r="M112" i="1"/>
  <c r="K112" i="1"/>
  <c r="L112" i="1" s="1"/>
  <c r="G112" i="1"/>
  <c r="E112" i="1"/>
  <c r="A112" i="1" a="1"/>
  <c r="A112" i="1" s="1"/>
  <c r="O111" i="1"/>
  <c r="K111" i="1"/>
  <c r="M111" i="1" s="1"/>
  <c r="G111" i="1"/>
  <c r="E111" i="1"/>
  <c r="A111" i="1" a="1"/>
  <c r="A111" i="1" s="1"/>
  <c r="B111" i="1" s="1"/>
  <c r="O110" i="1"/>
  <c r="K110" i="1"/>
  <c r="L110" i="1" s="1"/>
  <c r="G110" i="1"/>
  <c r="E110" i="1"/>
  <c r="A110" i="1" a="1"/>
  <c r="A110" i="1" s="1"/>
  <c r="O109" i="1"/>
  <c r="K109" i="1"/>
  <c r="M109" i="1" s="1"/>
  <c r="G109" i="1"/>
  <c r="E109" i="1"/>
  <c r="A109" i="1" a="1"/>
  <c r="A109" i="1" s="1"/>
  <c r="B109" i="1" s="1"/>
  <c r="O108" i="1"/>
  <c r="J108" i="1"/>
  <c r="K108" i="1" s="1"/>
  <c r="G108" i="1"/>
  <c r="E108" i="1"/>
  <c r="A108" i="1" a="1"/>
  <c r="A108" i="1" s="1"/>
  <c r="B108" i="1" s="1"/>
  <c r="O107" i="1"/>
  <c r="J107" i="1"/>
  <c r="K107" i="1" s="1"/>
  <c r="M107" i="1" s="1"/>
  <c r="G107" i="1"/>
  <c r="E107" i="1"/>
  <c r="A107" i="1" a="1"/>
  <c r="A107" i="1" s="1"/>
  <c r="O105" i="1"/>
  <c r="K105" i="1"/>
  <c r="M105" i="1" s="1"/>
  <c r="G105" i="1"/>
  <c r="E105" i="1"/>
  <c r="A105" i="1" a="1"/>
  <c r="A105" i="1" s="1"/>
  <c r="B105" i="1" s="1"/>
  <c r="Q106" i="1"/>
  <c r="P106" i="1" s="1"/>
  <c r="O106" i="1"/>
  <c r="M106" i="1"/>
  <c r="L106" i="1"/>
  <c r="G106" i="1"/>
  <c r="E106" i="1"/>
  <c r="A106" i="1" a="1"/>
  <c r="A106" i="1" s="1"/>
  <c r="B106" i="1" s="1"/>
  <c r="Q104" i="1"/>
  <c r="P104" i="1" s="1"/>
  <c r="O104" i="1"/>
  <c r="M104" i="1"/>
  <c r="L104" i="1"/>
  <c r="G104" i="1"/>
  <c r="E104" i="1"/>
  <c r="A104" i="1" a="1"/>
  <c r="A104" i="1" s="1"/>
  <c r="O103" i="1"/>
  <c r="K103" i="1"/>
  <c r="Q103" i="1" s="1"/>
  <c r="P103" i="1" s="1"/>
  <c r="G103" i="1"/>
  <c r="E103" i="1"/>
  <c r="A103" i="1" a="1"/>
  <c r="A103" i="1" s="1"/>
  <c r="B103" i="1" s="1"/>
  <c r="O102" i="1"/>
  <c r="M102" i="1"/>
  <c r="L102" i="1"/>
  <c r="K102" i="1"/>
  <c r="Q102" i="1" s="1"/>
  <c r="G102" i="1"/>
  <c r="E102" i="1"/>
  <c r="A102" i="1" a="1"/>
  <c r="A102" i="1" s="1"/>
  <c r="O98" i="1"/>
  <c r="L98" i="1"/>
  <c r="K98" i="1"/>
  <c r="M98" i="1" s="1"/>
  <c r="G98" i="1"/>
  <c r="E98" i="1"/>
  <c r="A98" i="1" a="1"/>
  <c r="A98" i="1" s="1"/>
  <c r="B98" i="1" s="1"/>
  <c r="O101" i="1"/>
  <c r="K101" i="1"/>
  <c r="Q101" i="1" s="1"/>
  <c r="P101" i="1" s="1"/>
  <c r="G101" i="1"/>
  <c r="E101" i="1"/>
  <c r="A101" i="1" a="1"/>
  <c r="A101" i="1" s="1"/>
  <c r="B101" i="1" s="1"/>
  <c r="O100" i="1"/>
  <c r="K100" i="1"/>
  <c r="M100" i="1" s="1"/>
  <c r="G100" i="1"/>
  <c r="E100" i="1"/>
  <c r="A100" i="1" a="1"/>
  <c r="A100" i="1" s="1"/>
  <c r="O99" i="1"/>
  <c r="M99" i="1"/>
  <c r="K99" i="1"/>
  <c r="Q99" i="1" s="1"/>
  <c r="P99" i="1" s="1"/>
  <c r="G99" i="1"/>
  <c r="E99" i="1"/>
  <c r="A99" i="1" a="1"/>
  <c r="A99" i="1" s="1"/>
  <c r="O97" i="1"/>
  <c r="K97" i="1"/>
  <c r="M97" i="1" s="1"/>
  <c r="G97" i="1"/>
  <c r="E97" i="1"/>
  <c r="A97" i="1" a="1"/>
  <c r="A97" i="1" s="1"/>
  <c r="O95" i="1"/>
  <c r="M95" i="1"/>
  <c r="K95" i="1"/>
  <c r="Q95" i="1" s="1"/>
  <c r="P95" i="1" s="1"/>
  <c r="G95" i="1"/>
  <c r="E95" i="1"/>
  <c r="A95" i="1" a="1"/>
  <c r="A95" i="1" s="1"/>
  <c r="B95" i="1" s="1"/>
  <c r="O96" i="1"/>
  <c r="K96" i="1"/>
  <c r="M96" i="1" s="1"/>
  <c r="G96" i="1"/>
  <c r="E96" i="1"/>
  <c r="A96" i="1" a="1"/>
  <c r="A96" i="1" s="1"/>
  <c r="O94" i="1"/>
  <c r="K94" i="1"/>
  <c r="Q94" i="1" s="1"/>
  <c r="P94" i="1" s="1"/>
  <c r="G94" i="1"/>
  <c r="E94" i="1"/>
  <c r="A94" i="1" a="1"/>
  <c r="A94" i="1" s="1"/>
  <c r="O93" i="1"/>
  <c r="K93" i="1"/>
  <c r="M93" i="1" s="1"/>
  <c r="G93" i="1"/>
  <c r="E93" i="1"/>
  <c r="A93" i="1" a="1"/>
  <c r="A93" i="1" s="1"/>
  <c r="O92" i="1"/>
  <c r="K92" i="1"/>
  <c r="Q92" i="1" s="1"/>
  <c r="P92" i="1" s="1"/>
  <c r="G92" i="1"/>
  <c r="E92" i="1"/>
  <c r="A92" i="1" a="1"/>
  <c r="A92" i="1" s="1"/>
  <c r="B92" i="1" s="1"/>
  <c r="O91" i="1"/>
  <c r="J91" i="1"/>
  <c r="K91" i="1" s="1"/>
  <c r="M91" i="1" s="1"/>
  <c r="G91" i="1"/>
  <c r="E91" i="1"/>
  <c r="A91" i="1" a="1"/>
  <c r="A91" i="1" s="1"/>
  <c r="O89" i="1"/>
  <c r="K89" i="1"/>
  <c r="M89" i="1" s="1"/>
  <c r="G89" i="1"/>
  <c r="E89" i="1"/>
  <c r="A89" i="1" a="1"/>
  <c r="A89" i="1" s="1"/>
  <c r="O90" i="1"/>
  <c r="J90" i="1"/>
  <c r="K90" i="1" s="1"/>
  <c r="M90" i="1" s="1"/>
  <c r="G90" i="1"/>
  <c r="E90" i="1"/>
  <c r="A90" i="1" a="1"/>
  <c r="A90" i="1" s="1"/>
  <c r="B90" i="1" s="1"/>
  <c r="Q88" i="1"/>
  <c r="P88" i="1" s="1"/>
  <c r="O88" i="1"/>
  <c r="M88" i="1"/>
  <c r="L88" i="1"/>
  <c r="G88" i="1"/>
  <c r="E88" i="1"/>
  <c r="A88" i="1" a="1"/>
  <c r="A88" i="1" s="1"/>
  <c r="B88" i="1" s="1"/>
  <c r="O87" i="1"/>
  <c r="K87" i="1"/>
  <c r="M87" i="1" s="1"/>
  <c r="G87" i="1"/>
  <c r="E87" i="1"/>
  <c r="A87" i="1" a="1"/>
  <c r="A87" i="1" s="1"/>
  <c r="B87" i="1" s="1"/>
  <c r="O86" i="1"/>
  <c r="K86" i="1"/>
  <c r="Q86" i="1" s="1"/>
  <c r="P86" i="1" s="1"/>
  <c r="G86" i="1"/>
  <c r="E86" i="1"/>
  <c r="A86" i="1" a="1"/>
  <c r="A86" i="1" s="1"/>
  <c r="B86" i="1" s="1"/>
  <c r="Q85" i="1"/>
  <c r="P85" i="1"/>
  <c r="O85" i="1"/>
  <c r="L85" i="1"/>
  <c r="K85" i="1"/>
  <c r="M85" i="1" s="1"/>
  <c r="G85" i="1"/>
  <c r="E85" i="1"/>
  <c r="A85" i="1" a="1"/>
  <c r="A85" i="1" s="1"/>
  <c r="B85" i="1" s="1"/>
  <c r="O83" i="1"/>
  <c r="K83" i="1"/>
  <c r="Q83" i="1" s="1"/>
  <c r="P83" i="1" s="1"/>
  <c r="G83" i="1"/>
  <c r="E83" i="1"/>
  <c r="A83" i="1" a="1"/>
  <c r="A83" i="1" s="1"/>
  <c r="B83" i="1" s="1"/>
  <c r="O84" i="1"/>
  <c r="K84" i="1"/>
  <c r="M84" i="1" s="1"/>
  <c r="G84" i="1"/>
  <c r="E84" i="1"/>
  <c r="A84" i="1" a="1"/>
  <c r="A84" i="1" s="1"/>
  <c r="N84" i="1" s="1"/>
  <c r="Q82" i="1"/>
  <c r="P82" i="1" s="1"/>
  <c r="O82" i="1"/>
  <c r="M82" i="1"/>
  <c r="L82" i="1"/>
  <c r="G82" i="1"/>
  <c r="E82" i="1"/>
  <c r="A82" i="1" a="1"/>
  <c r="A82" i="1" s="1"/>
  <c r="B82" i="1" s="1"/>
  <c r="O81" i="1"/>
  <c r="K81" i="1"/>
  <c r="L81" i="1" s="1"/>
  <c r="G81" i="1"/>
  <c r="E81" i="1"/>
  <c r="A81" i="1" a="1"/>
  <c r="A81" i="1" s="1"/>
  <c r="B81" i="1" s="1"/>
  <c r="Q80" i="1"/>
  <c r="P80" i="1" s="1"/>
  <c r="O80" i="1"/>
  <c r="M80" i="1"/>
  <c r="L80" i="1"/>
  <c r="G80" i="1"/>
  <c r="E80" i="1"/>
  <c r="A80" i="1" a="1"/>
  <c r="A80" i="1" s="1"/>
  <c r="O79" i="1"/>
  <c r="K79" i="1"/>
  <c r="M79" i="1" s="1"/>
  <c r="G79" i="1"/>
  <c r="E79" i="1"/>
  <c r="A79" i="1" a="1"/>
  <c r="A79" i="1" s="1"/>
  <c r="B79" i="1" s="1"/>
  <c r="O78" i="1"/>
  <c r="K78" i="1"/>
  <c r="G78" i="1"/>
  <c r="E78" i="1"/>
  <c r="A78" i="1" a="1"/>
  <c r="A78" i="1" s="1"/>
  <c r="Q77" i="1"/>
  <c r="P77" i="1" s="1"/>
  <c r="O77" i="1"/>
  <c r="M77" i="1"/>
  <c r="L77" i="1"/>
  <c r="K77" i="1"/>
  <c r="G77" i="1"/>
  <c r="E77" i="1"/>
  <c r="A77" i="1" a="1"/>
  <c r="A77" i="1" s="1"/>
  <c r="O76" i="1"/>
  <c r="J76" i="1"/>
  <c r="K76" i="1" s="1"/>
  <c r="L76" i="1" s="1"/>
  <c r="G76" i="1"/>
  <c r="E76" i="1"/>
  <c r="A76" i="1" a="1"/>
  <c r="A76" i="1" s="1"/>
  <c r="B76" i="1" s="1"/>
  <c r="O75" i="1"/>
  <c r="J75" i="1"/>
  <c r="K75" i="1" s="1"/>
  <c r="G75" i="1"/>
  <c r="E75" i="1"/>
  <c r="A75" i="1" a="1"/>
  <c r="A75" i="1" s="1"/>
  <c r="O74" i="1"/>
  <c r="K74" i="1"/>
  <c r="Q74" i="1" s="1"/>
  <c r="P74" i="1" s="1"/>
  <c r="G74" i="1"/>
  <c r="E74" i="1"/>
  <c r="A74" i="1" a="1"/>
  <c r="A74" i="1" s="1"/>
  <c r="O73" i="1"/>
  <c r="K73" i="1"/>
  <c r="Q73" i="1" s="1"/>
  <c r="P73" i="1" s="1"/>
  <c r="G73" i="1"/>
  <c r="E73" i="1"/>
  <c r="A73" i="1" a="1"/>
  <c r="A73" i="1" s="1"/>
  <c r="B73" i="1" s="1"/>
  <c r="O72" i="1"/>
  <c r="J72" i="1"/>
  <c r="K72" i="1" s="1"/>
  <c r="Q72" i="1" s="1"/>
  <c r="P72" i="1" s="1"/>
  <c r="G72" i="1"/>
  <c r="E72" i="1"/>
  <c r="A72" i="1" a="1"/>
  <c r="A72" i="1" s="1"/>
  <c r="N72" i="1" s="1"/>
  <c r="O71" i="1"/>
  <c r="K71" i="1"/>
  <c r="M71" i="1" s="1"/>
  <c r="G71" i="1"/>
  <c r="E71" i="1"/>
  <c r="A71" i="1" a="1"/>
  <c r="A71" i="1" s="1"/>
  <c r="O70" i="1"/>
  <c r="J70" i="1"/>
  <c r="K70" i="1" s="1"/>
  <c r="G70" i="1"/>
  <c r="E70" i="1"/>
  <c r="A70" i="1" a="1"/>
  <c r="A70" i="1" s="1"/>
  <c r="O69" i="1"/>
  <c r="K69" i="1"/>
  <c r="L69" i="1" s="1"/>
  <c r="G69" i="1"/>
  <c r="E69" i="1"/>
  <c r="A69" i="1" a="1"/>
  <c r="A69" i="1" s="1"/>
  <c r="B69" i="1" s="1"/>
  <c r="O68" i="1"/>
  <c r="J68" i="1"/>
  <c r="K68" i="1" s="1"/>
  <c r="G68" i="1"/>
  <c r="E68" i="1"/>
  <c r="A68" i="1" a="1"/>
  <c r="A68" i="1" s="1"/>
  <c r="O66" i="1"/>
  <c r="K66" i="1"/>
  <c r="M66" i="1" s="1"/>
  <c r="G66" i="1"/>
  <c r="E66" i="1"/>
  <c r="A66" i="1" a="1"/>
  <c r="A66" i="1" s="1"/>
  <c r="O67" i="1"/>
  <c r="K67" i="1"/>
  <c r="L67" i="1" s="1"/>
  <c r="G67" i="1"/>
  <c r="E67" i="1"/>
  <c r="A67" i="1" a="1"/>
  <c r="A67" i="1" s="1"/>
  <c r="O65" i="1"/>
  <c r="K65" i="1"/>
  <c r="M65" i="1" s="1"/>
  <c r="G65" i="1"/>
  <c r="E65" i="1"/>
  <c r="A65" i="1" a="1"/>
  <c r="A65" i="1" s="1"/>
  <c r="O64" i="1"/>
  <c r="K64" i="1"/>
  <c r="L64" i="1" s="1"/>
  <c r="G64" i="1"/>
  <c r="E64" i="1"/>
  <c r="A64" i="1" a="1"/>
  <c r="A64" i="1" s="1"/>
  <c r="O63" i="1"/>
  <c r="K63" i="1"/>
  <c r="M63" i="1" s="1"/>
  <c r="G63" i="1"/>
  <c r="E63" i="1"/>
  <c r="A63" i="1" a="1"/>
  <c r="A63" i="1" s="1"/>
  <c r="O62" i="1"/>
  <c r="K62" i="1"/>
  <c r="L62" i="1" s="1"/>
  <c r="G62" i="1"/>
  <c r="E62" i="1"/>
  <c r="A62" i="1" a="1"/>
  <c r="A62" i="1" s="1"/>
  <c r="O61" i="1"/>
  <c r="K61" i="1"/>
  <c r="M61" i="1" s="1"/>
  <c r="G61" i="1"/>
  <c r="E61" i="1"/>
  <c r="A61" i="1" a="1"/>
  <c r="A61" i="1" s="1"/>
  <c r="O60" i="1"/>
  <c r="M60" i="1"/>
  <c r="K60" i="1"/>
  <c r="L60" i="1" s="1"/>
  <c r="G60" i="1"/>
  <c r="E60" i="1"/>
  <c r="A60" i="1" a="1"/>
  <c r="A60" i="1" s="1"/>
  <c r="O59" i="1"/>
  <c r="K59" i="1"/>
  <c r="M59" i="1" s="1"/>
  <c r="G59" i="1"/>
  <c r="E59" i="1"/>
  <c r="A59" i="1" a="1"/>
  <c r="A59" i="1" s="1"/>
  <c r="O58" i="1"/>
  <c r="K58" i="1"/>
  <c r="L58" i="1" s="1"/>
  <c r="G58" i="1"/>
  <c r="E58" i="1"/>
  <c r="A58" i="1" a="1"/>
  <c r="A58" i="1" s="1"/>
  <c r="O57" i="1"/>
  <c r="K57" i="1"/>
  <c r="M57" i="1" s="1"/>
  <c r="G57" i="1"/>
  <c r="E57" i="1"/>
  <c r="A57" i="1" a="1"/>
  <c r="A57" i="1" s="1"/>
  <c r="O56" i="1"/>
  <c r="K56" i="1"/>
  <c r="L56" i="1" s="1"/>
  <c r="G56" i="1"/>
  <c r="E56" i="1"/>
  <c r="A56" i="1" a="1"/>
  <c r="A56" i="1" s="1"/>
  <c r="Q55" i="1"/>
  <c r="P55" i="1" s="1"/>
  <c r="O55" i="1"/>
  <c r="M55" i="1"/>
  <c r="L55" i="1"/>
  <c r="G55" i="1"/>
  <c r="E55" i="1"/>
  <c r="A55" i="1" a="1"/>
  <c r="A55" i="1" s="1"/>
  <c r="Q53" i="1"/>
  <c r="P53" i="1" s="1"/>
  <c r="O53" i="1"/>
  <c r="M53" i="1"/>
  <c r="K53" i="1"/>
  <c r="L53" i="1" s="1"/>
  <c r="G53" i="1"/>
  <c r="E53" i="1"/>
  <c r="A53" i="1" a="1"/>
  <c r="A53" i="1" s="1"/>
  <c r="Q54" i="1"/>
  <c r="P54" i="1" s="1"/>
  <c r="O54" i="1"/>
  <c r="K54" i="1"/>
  <c r="L54" i="1" s="1"/>
  <c r="G54" i="1"/>
  <c r="E54" i="1"/>
  <c r="A54" i="1" a="1"/>
  <c r="A54" i="1" s="1"/>
  <c r="O52" i="1"/>
  <c r="K52" i="1"/>
  <c r="Q52" i="1" s="1"/>
  <c r="P52" i="1" s="1"/>
  <c r="G52" i="1"/>
  <c r="E52" i="1"/>
  <c r="A52" i="1" a="1"/>
  <c r="A52" i="1" s="1"/>
  <c r="O51" i="1"/>
  <c r="K51" i="1"/>
  <c r="L51" i="1" s="1"/>
  <c r="J51" i="1"/>
  <c r="G51" i="1"/>
  <c r="E51" i="1"/>
  <c r="A51" i="1" a="1"/>
  <c r="A51" i="1" s="1"/>
  <c r="O49" i="1"/>
  <c r="K49" i="1"/>
  <c r="L49" i="1" s="1"/>
  <c r="G49" i="1"/>
  <c r="E49" i="1"/>
  <c r="A49" i="1" a="1"/>
  <c r="A49" i="1" s="1"/>
  <c r="O50" i="1"/>
  <c r="K50" i="1"/>
  <c r="Q50" i="1" s="1"/>
  <c r="P50" i="1" s="1"/>
  <c r="G50" i="1"/>
  <c r="E50" i="1"/>
  <c r="A50" i="1" a="1"/>
  <c r="A50" i="1" s="1"/>
  <c r="O48" i="1"/>
  <c r="K48" i="1"/>
  <c r="L48" i="1" s="1"/>
  <c r="G48" i="1"/>
  <c r="E48" i="1"/>
  <c r="A48" i="1" a="1"/>
  <c r="A48" i="1" s="1"/>
  <c r="O47" i="1"/>
  <c r="K47" i="1"/>
  <c r="Q47" i="1" s="1"/>
  <c r="P47" i="1" s="1"/>
  <c r="G47" i="1"/>
  <c r="E47" i="1"/>
  <c r="A47" i="1" a="1"/>
  <c r="A47" i="1" s="1"/>
  <c r="O45" i="1"/>
  <c r="M45" i="1"/>
  <c r="K45" i="1"/>
  <c r="L45" i="1" s="1"/>
  <c r="G45" i="1"/>
  <c r="E45" i="1"/>
  <c r="A45" i="1" a="1"/>
  <c r="A45" i="1" s="1"/>
  <c r="O46" i="1"/>
  <c r="K46" i="1"/>
  <c r="Q46" i="1" s="1"/>
  <c r="P46" i="1" s="1"/>
  <c r="G46" i="1"/>
  <c r="E46" i="1"/>
  <c r="A46" i="1" a="1"/>
  <c r="A46" i="1" s="1"/>
  <c r="O44" i="1"/>
  <c r="K44" i="1"/>
  <c r="Q44" i="1" s="1"/>
  <c r="G44" i="1"/>
  <c r="E44" i="1"/>
  <c r="A44" i="1" a="1"/>
  <c r="A44" i="1" s="1"/>
  <c r="B44" i="1" s="1"/>
  <c r="O42" i="1"/>
  <c r="K42" i="1"/>
  <c r="Q42" i="1" s="1"/>
  <c r="G42" i="1"/>
  <c r="E42" i="1"/>
  <c r="A42" i="1" a="1"/>
  <c r="A42" i="1" s="1"/>
  <c r="B42" i="1" s="1"/>
  <c r="Q43" i="1"/>
  <c r="P43" i="1" s="1"/>
  <c r="O43" i="1"/>
  <c r="M43" i="1"/>
  <c r="L43" i="1"/>
  <c r="G43" i="1"/>
  <c r="E43" i="1"/>
  <c r="A43" i="1" a="1"/>
  <c r="A43" i="1" s="1"/>
  <c r="B43" i="1" s="1"/>
  <c r="O41" i="1"/>
  <c r="K41" i="1"/>
  <c r="G41" i="1"/>
  <c r="E41" i="1"/>
  <c r="A41" i="1" a="1"/>
  <c r="A41" i="1" s="1"/>
  <c r="B41" i="1" s="1"/>
  <c r="O40" i="1"/>
  <c r="K40" i="1"/>
  <c r="M40" i="1" s="1"/>
  <c r="G40" i="1"/>
  <c r="E40" i="1"/>
  <c r="A40" i="1" a="1"/>
  <c r="A40" i="1" s="1"/>
  <c r="O39" i="1"/>
  <c r="K39" i="1"/>
  <c r="G39" i="1"/>
  <c r="E39" i="1"/>
  <c r="A39" i="1" a="1"/>
  <c r="A39" i="1" s="1"/>
  <c r="B39" i="1" s="1"/>
  <c r="Q37" i="1"/>
  <c r="P37" i="1" s="1"/>
  <c r="O37" i="1"/>
  <c r="M37" i="1"/>
  <c r="L37" i="1"/>
  <c r="G37" i="1"/>
  <c r="E37" i="1"/>
  <c r="A37" i="1" a="1"/>
  <c r="A37" i="1" s="1"/>
  <c r="Q38" i="1"/>
  <c r="P38" i="1" s="1"/>
  <c r="O38" i="1"/>
  <c r="M38" i="1"/>
  <c r="K38" i="1"/>
  <c r="L38" i="1" s="1"/>
  <c r="G38" i="1"/>
  <c r="E38" i="1"/>
  <c r="A38" i="1" a="1"/>
  <c r="A38" i="1" s="1"/>
  <c r="O36" i="1"/>
  <c r="K36" i="1"/>
  <c r="L36" i="1" s="1"/>
  <c r="G36" i="1"/>
  <c r="E36" i="1"/>
  <c r="A36" i="1" a="1"/>
  <c r="A36" i="1" s="1"/>
  <c r="B36" i="1" s="1"/>
  <c r="O35" i="1"/>
  <c r="K35" i="1"/>
  <c r="L35" i="1" s="1"/>
  <c r="G35" i="1"/>
  <c r="E35" i="1"/>
  <c r="A35" i="1" a="1"/>
  <c r="A35" i="1" s="1"/>
  <c r="Q34" i="1"/>
  <c r="P34" i="1" s="1"/>
  <c r="O34" i="1"/>
  <c r="M34" i="1"/>
  <c r="L34" i="1"/>
  <c r="G34" i="1"/>
  <c r="E34" i="1"/>
  <c r="A34" i="1" a="1"/>
  <c r="A34" i="1" s="1"/>
  <c r="B34" i="1" s="1"/>
  <c r="O33" i="1"/>
  <c r="K33" i="1"/>
  <c r="L33" i="1" s="1"/>
  <c r="G33" i="1"/>
  <c r="E33" i="1"/>
  <c r="A33" i="1" a="1"/>
  <c r="A33" i="1" s="1"/>
  <c r="Q32" i="1"/>
  <c r="P32" i="1" s="1"/>
  <c r="O32" i="1"/>
  <c r="M32" i="1"/>
  <c r="K32" i="1"/>
  <c r="L32" i="1" s="1"/>
  <c r="G32" i="1"/>
  <c r="E32" i="1"/>
  <c r="A32" i="1" a="1"/>
  <c r="A32" i="1" s="1"/>
  <c r="O31" i="1"/>
  <c r="K31" i="1"/>
  <c r="L31" i="1" s="1"/>
  <c r="G31" i="1"/>
  <c r="E31" i="1"/>
  <c r="A31" i="1" a="1"/>
  <c r="A31" i="1" s="1"/>
  <c r="O30" i="1"/>
  <c r="K30" i="1"/>
  <c r="L30" i="1" s="1"/>
  <c r="G30" i="1"/>
  <c r="E30" i="1"/>
  <c r="A30" i="1" a="1"/>
  <c r="A30" i="1" s="1"/>
  <c r="O29" i="1"/>
  <c r="K29" i="1"/>
  <c r="L29" i="1" s="1"/>
  <c r="G29" i="1"/>
  <c r="E29" i="1"/>
  <c r="A29" i="1" a="1"/>
  <c r="A29" i="1" s="1"/>
  <c r="O26" i="1"/>
  <c r="K26" i="1"/>
  <c r="L26" i="1" s="1"/>
  <c r="G26" i="1"/>
  <c r="E26" i="1"/>
  <c r="A26" i="1" a="1"/>
  <c r="A26" i="1" s="1"/>
  <c r="O28" i="1"/>
  <c r="K28" i="1"/>
  <c r="L28" i="1" s="1"/>
  <c r="G28" i="1"/>
  <c r="E28" i="1"/>
  <c r="A28" i="1" a="1"/>
  <c r="A28" i="1" s="1"/>
  <c r="O27" i="1"/>
  <c r="K27" i="1"/>
  <c r="L27" i="1" s="1"/>
  <c r="G27" i="1"/>
  <c r="E27" i="1"/>
  <c r="A27" i="1" a="1"/>
  <c r="A27" i="1" s="1"/>
  <c r="O25" i="1"/>
  <c r="K25" i="1"/>
  <c r="L25" i="1" s="1"/>
  <c r="G25" i="1"/>
  <c r="E25" i="1"/>
  <c r="A25" i="1" a="1"/>
  <c r="A25" i="1" s="1"/>
  <c r="O24" i="1"/>
  <c r="K24" i="1"/>
  <c r="L24" i="1" s="1"/>
  <c r="G24" i="1"/>
  <c r="E24" i="1"/>
  <c r="A24" i="1" a="1"/>
  <c r="A24" i="1" s="1"/>
  <c r="Q22" i="1"/>
  <c r="P22" i="1" s="1"/>
  <c r="O22" i="1"/>
  <c r="M22" i="1"/>
  <c r="K22" i="1"/>
  <c r="L22" i="1" s="1"/>
  <c r="G22" i="1"/>
  <c r="E22" i="1"/>
  <c r="A22" i="1" a="1"/>
  <c r="A22" i="1" s="1"/>
  <c r="O23" i="1"/>
  <c r="K23" i="1"/>
  <c r="L23" i="1" s="1"/>
  <c r="G23" i="1"/>
  <c r="E23" i="1"/>
  <c r="A23" i="1" a="1"/>
  <c r="A23" i="1" s="1"/>
  <c r="O21" i="1"/>
  <c r="K21" i="1"/>
  <c r="G21" i="1"/>
  <c r="E21" i="1"/>
  <c r="A21" i="1" a="1"/>
  <c r="A21" i="1" s="1"/>
  <c r="O20" i="1"/>
  <c r="K20" i="1"/>
  <c r="Q20" i="1" s="1"/>
  <c r="P20" i="1" s="1"/>
  <c r="G20" i="1"/>
  <c r="E20" i="1"/>
  <c r="A20" i="1" a="1"/>
  <c r="A20" i="1" s="1"/>
  <c r="O19" i="1"/>
  <c r="K19" i="1"/>
  <c r="G19" i="1"/>
  <c r="E19" i="1"/>
  <c r="A19" i="1" a="1"/>
  <c r="A19" i="1" s="1"/>
  <c r="O18" i="1"/>
  <c r="K18" i="1"/>
  <c r="Q18" i="1" s="1"/>
  <c r="P18" i="1" s="1"/>
  <c r="G18" i="1"/>
  <c r="E18" i="1"/>
  <c r="A18" i="1" a="1"/>
  <c r="A18" i="1" s="1"/>
  <c r="O17" i="1"/>
  <c r="K17" i="1"/>
  <c r="G17" i="1"/>
  <c r="E17" i="1"/>
  <c r="A17" i="1" a="1"/>
  <c r="A17" i="1" s="1"/>
  <c r="O374" i="1"/>
  <c r="K374" i="1"/>
  <c r="M374" i="1" s="1"/>
  <c r="G374" i="1"/>
  <c r="E374" i="1"/>
  <c r="A374" i="1" a="1"/>
  <c r="A374" i="1" s="1"/>
  <c r="O16" i="1"/>
  <c r="K16" i="1"/>
  <c r="M16" i="1" s="1"/>
  <c r="G16" i="1"/>
  <c r="E16" i="1"/>
  <c r="A16" i="1" a="1"/>
  <c r="A16" i="1" s="1"/>
  <c r="Q15" i="1"/>
  <c r="P15" i="1" s="1"/>
  <c r="O15" i="1"/>
  <c r="K15" i="1"/>
  <c r="M15" i="1" s="1"/>
  <c r="G15" i="1"/>
  <c r="E15" i="1"/>
  <c r="A15" i="1" a="1"/>
  <c r="A15" i="1" s="1"/>
  <c r="Q14" i="1"/>
  <c r="P14" i="1" s="1"/>
  <c r="O14" i="1"/>
  <c r="K14" i="1"/>
  <c r="M14" i="1" s="1"/>
  <c r="G14" i="1"/>
  <c r="E14" i="1"/>
  <c r="A14" i="1" a="1"/>
  <c r="A14" i="1" s="1"/>
  <c r="O13" i="1"/>
  <c r="K13" i="1"/>
  <c r="M13" i="1" s="1"/>
  <c r="G13" i="1"/>
  <c r="E13" i="1"/>
  <c r="A13" i="1" a="1"/>
  <c r="A13" i="1" s="1"/>
  <c r="O12" i="1"/>
  <c r="K12" i="1"/>
  <c r="M12" i="1" s="1"/>
  <c r="G12" i="1"/>
  <c r="E12" i="1"/>
  <c r="A12" i="1" a="1"/>
  <c r="A12" i="1" s="1"/>
  <c r="O11" i="1"/>
  <c r="K11" i="1"/>
  <c r="M11" i="1" s="1"/>
  <c r="G11" i="1"/>
  <c r="E11" i="1"/>
  <c r="A11" i="1" a="1"/>
  <c r="A11" i="1" s="1"/>
  <c r="O10" i="1"/>
  <c r="K10" i="1"/>
  <c r="M10" i="1" s="1"/>
  <c r="G10" i="1"/>
  <c r="E10" i="1"/>
  <c r="A10" i="1" a="1"/>
  <c r="A10" i="1" s="1"/>
  <c r="O9" i="1"/>
  <c r="K9" i="1"/>
  <c r="M9" i="1" s="1"/>
  <c r="G9" i="1"/>
  <c r="E9" i="1"/>
  <c r="A9" i="1" a="1"/>
  <c r="A9" i="1" s="1"/>
  <c r="O8" i="1"/>
  <c r="K8" i="1"/>
  <c r="M8" i="1" s="1"/>
  <c r="G8" i="1"/>
  <c r="E8" i="1"/>
  <c r="A8" i="1" a="1"/>
  <c r="A8" i="1" s="1"/>
  <c r="O7" i="1"/>
  <c r="J7" i="1"/>
  <c r="K7" i="1" s="1"/>
  <c r="L7" i="1" s="1"/>
  <c r="G7" i="1"/>
  <c r="E7" i="1"/>
  <c r="A7" i="1" a="1"/>
  <c r="A7" i="1" s="1"/>
  <c r="O6" i="1"/>
  <c r="J6" i="1"/>
  <c r="K6" i="1" s="1"/>
  <c r="G6" i="1"/>
  <c r="E6" i="1"/>
  <c r="A6" i="1" a="1"/>
  <c r="A6" i="1" s="1"/>
  <c r="B6" i="1" s="1"/>
  <c r="O5" i="1"/>
  <c r="K5" i="1"/>
  <c r="G5" i="1"/>
  <c r="E5" i="1"/>
  <c r="A5" i="1" a="1"/>
  <c r="A5" i="1" s="1"/>
  <c r="O4" i="1"/>
  <c r="K4" i="1"/>
  <c r="G4" i="1"/>
  <c r="E4" i="1"/>
  <c r="A4" i="1" a="1"/>
  <c r="A4" i="1" s="1"/>
  <c r="Q3" i="1"/>
  <c r="P3" i="1" s="1"/>
  <c r="O3" i="1"/>
  <c r="M3" i="1"/>
  <c r="L3" i="1"/>
  <c r="G3" i="1"/>
  <c r="E3" i="1"/>
  <c r="A3" i="1" a="1"/>
  <c r="A3" i="1" s="1"/>
  <c r="O2" i="1"/>
  <c r="K2" i="1"/>
  <c r="Q2" i="1" s="1"/>
  <c r="G2" i="1"/>
  <c r="E2" i="1"/>
  <c r="A2" i="1" a="1"/>
  <c r="A2" i="1" s="1"/>
  <c r="B2" i="1" s="1"/>
  <c r="M35" i="1" l="1"/>
  <c r="L141" i="1"/>
  <c r="Q28" i="1"/>
  <c r="P28" i="1" s="1"/>
  <c r="Q56" i="1"/>
  <c r="P56" i="1" s="1"/>
  <c r="Q134" i="1"/>
  <c r="P134" i="1" s="1"/>
  <c r="Q142" i="1"/>
  <c r="P142" i="1" s="1"/>
  <c r="M145" i="1"/>
  <c r="M164" i="1"/>
  <c r="N164" i="1" s="1"/>
  <c r="M188" i="1"/>
  <c r="Q232" i="1"/>
  <c r="P232" i="1" s="1"/>
  <c r="Q365" i="1"/>
  <c r="P365" i="1" s="1"/>
  <c r="Q366" i="1"/>
  <c r="P366" i="1" s="1"/>
  <c r="M250" i="1"/>
  <c r="Q262" i="1"/>
  <c r="P262" i="1" s="1"/>
  <c r="M273" i="1"/>
  <c r="Q287" i="1"/>
  <c r="P287" i="1" s="1"/>
  <c r="Q356" i="1"/>
  <c r="P356" i="1" s="1"/>
  <c r="M361" i="1"/>
  <c r="Q13" i="1"/>
  <c r="P13" i="1" s="1"/>
  <c r="M26" i="1"/>
  <c r="N26" i="1" s="1"/>
  <c r="M28" i="1"/>
  <c r="M101" i="1"/>
  <c r="Q98" i="1"/>
  <c r="M114" i="1"/>
  <c r="N114" i="1" s="1"/>
  <c r="M54" i="1"/>
  <c r="Q84" i="1"/>
  <c r="P84" i="1" s="1"/>
  <c r="Q141" i="1"/>
  <c r="P141" i="1" s="1"/>
  <c r="Q189" i="1"/>
  <c r="P189" i="1" s="1"/>
  <c r="Q370" i="1"/>
  <c r="P370" i="1" s="1"/>
  <c r="Q253" i="1"/>
  <c r="P253" i="1" s="1"/>
  <c r="Q247" i="1"/>
  <c r="P247" i="1" s="1"/>
  <c r="N302" i="1"/>
  <c r="Q355" i="1"/>
  <c r="P355" i="1" s="1"/>
  <c r="M94" i="1"/>
  <c r="M166" i="1"/>
  <c r="M195" i="1"/>
  <c r="N247" i="1"/>
  <c r="Q250" i="1"/>
  <c r="P250" i="1" s="1"/>
  <c r="L283" i="1"/>
  <c r="L322" i="1"/>
  <c r="M359" i="1"/>
  <c r="Q364" i="1"/>
  <c r="P364" i="1" s="1"/>
  <c r="L292" i="1"/>
  <c r="L317" i="1"/>
  <c r="L320" i="1"/>
  <c r="L335" i="1"/>
  <c r="L376" i="1"/>
  <c r="M321" i="1"/>
  <c r="M134" i="1"/>
  <c r="M142" i="1"/>
  <c r="M184" i="1"/>
  <c r="L189" i="1"/>
  <c r="L370" i="1"/>
  <c r="M190" i="1"/>
  <c r="N190" i="1" s="1"/>
  <c r="M232" i="1"/>
  <c r="M253" i="1"/>
  <c r="N253" i="1" s="1"/>
  <c r="L247" i="1"/>
  <c r="M365" i="1"/>
  <c r="M366" i="1"/>
  <c r="N366" i="1" s="1"/>
  <c r="M262" i="1"/>
  <c r="L285" i="1"/>
  <c r="L287" i="1"/>
  <c r="L307" i="1"/>
  <c r="Q377" i="1"/>
  <c r="P377" i="1" s="1"/>
  <c r="L329" i="1"/>
  <c r="L350" i="1"/>
  <c r="Q344" i="1"/>
  <c r="P344" i="1" s="1"/>
  <c r="Q349" i="1"/>
  <c r="P349" i="1" s="1"/>
  <c r="M356" i="1"/>
  <c r="Q363" i="1"/>
  <c r="P363" i="1" s="1"/>
  <c r="L364" i="1"/>
  <c r="L362" i="1"/>
  <c r="Q374" i="1"/>
  <c r="P374" i="1" s="1"/>
  <c r="M56" i="1"/>
  <c r="Q9" i="1"/>
  <c r="P9" i="1" s="1"/>
  <c r="Q12" i="1"/>
  <c r="P12" i="1" s="1"/>
  <c r="Q16" i="1"/>
  <c r="P16" i="1" s="1"/>
  <c r="Q26" i="1"/>
  <c r="P26" i="1" s="1"/>
  <c r="L84" i="1"/>
  <c r="Q233" i="1"/>
  <c r="P233" i="1" s="1"/>
  <c r="N271" i="1"/>
  <c r="L273" i="1"/>
  <c r="M285" i="1"/>
  <c r="L308" i="1"/>
  <c r="Q312" i="1"/>
  <c r="P312" i="1" s="1"/>
  <c r="Q343" i="1"/>
  <c r="P343" i="1" s="1"/>
  <c r="M355" i="1"/>
  <c r="Q357" i="1"/>
  <c r="P357" i="1" s="1"/>
  <c r="L361" i="1"/>
  <c r="N266" i="1"/>
  <c r="B266" i="1"/>
  <c r="B260" i="1"/>
  <c r="N186" i="1"/>
  <c r="N256" i="1"/>
  <c r="Q33" i="1"/>
  <c r="P33" i="1" s="1"/>
  <c r="Q57" i="1"/>
  <c r="P57" i="1" s="1"/>
  <c r="Q61" i="1"/>
  <c r="P61" i="1" s="1"/>
  <c r="M69" i="1"/>
  <c r="M103" i="1"/>
  <c r="M110" i="1"/>
  <c r="N110" i="1" s="1"/>
  <c r="L111" i="1"/>
  <c r="L116" i="1"/>
  <c r="M143" i="1"/>
  <c r="N143" i="1" s="1"/>
  <c r="Q60" i="1"/>
  <c r="P60" i="1" s="1"/>
  <c r="Q112" i="1"/>
  <c r="P112" i="1" s="1"/>
  <c r="M116" i="1"/>
  <c r="N116" i="1" s="1"/>
  <c r="N145" i="1"/>
  <c r="Q143" i="1"/>
  <c r="P143" i="1" s="1"/>
  <c r="M27" i="1"/>
  <c r="N27" i="1" s="1"/>
  <c r="L52" i="1"/>
  <c r="L101" i="1"/>
  <c r="Q110" i="1"/>
  <c r="P110" i="1" s="1"/>
  <c r="L161" i="1"/>
  <c r="M197" i="1"/>
  <c r="M52" i="1"/>
  <c r="N52" i="1" s="1"/>
  <c r="N147" i="1"/>
  <c r="M161" i="1"/>
  <c r="N161" i="1" s="1"/>
  <c r="Q10" i="1"/>
  <c r="P10" i="1" s="1"/>
  <c r="L100" i="1"/>
  <c r="L152" i="1"/>
  <c r="M167" i="1"/>
  <c r="M33" i="1"/>
  <c r="Q35" i="1"/>
  <c r="P35" i="1" s="1"/>
  <c r="L61" i="1"/>
  <c r="N90" i="1"/>
  <c r="M92" i="1"/>
  <c r="M25" i="1"/>
  <c r="N25" i="1" s="1"/>
  <c r="Q27" i="1"/>
  <c r="P27" i="1" s="1"/>
  <c r="Q167" i="1"/>
  <c r="P167" i="1" s="1"/>
  <c r="Q23" i="1"/>
  <c r="P23" i="1" s="1"/>
  <c r="Q30" i="1"/>
  <c r="P30" i="1" s="1"/>
  <c r="L57" i="1"/>
  <c r="Q58" i="1"/>
  <c r="P58" i="1" s="1"/>
  <c r="L74" i="1"/>
  <c r="L103" i="1"/>
  <c r="M23" i="1"/>
  <c r="N23" i="1" s="1"/>
  <c r="Q24" i="1"/>
  <c r="P24" i="1" s="1"/>
  <c r="Q8" i="1"/>
  <c r="P8" i="1" s="1"/>
  <c r="L18" i="1"/>
  <c r="Q11" i="1"/>
  <c r="P11" i="1" s="1"/>
  <c r="Q29" i="1"/>
  <c r="P29" i="1" s="1"/>
  <c r="M74" i="1"/>
  <c r="Q114" i="1"/>
  <c r="P114" i="1" s="1"/>
  <c r="B84" i="1"/>
  <c r="M31" i="1"/>
  <c r="Q69" i="1"/>
  <c r="P69" i="1" s="1"/>
  <c r="L86" i="1"/>
  <c r="M24" i="1"/>
  <c r="N24" i="1" s="1"/>
  <c r="Q25" i="1"/>
  <c r="P25" i="1" s="1"/>
  <c r="M30" i="1"/>
  <c r="M29" i="1"/>
  <c r="N29" i="1" s="1"/>
  <c r="Q31" i="1"/>
  <c r="P31" i="1" s="1"/>
  <c r="M86" i="1"/>
  <c r="N100" i="1"/>
  <c r="U380" i="1"/>
  <c r="B161" i="1"/>
  <c r="M224" i="1"/>
  <c r="N224" i="1" s="1"/>
  <c r="L224" i="1"/>
  <c r="B270" i="1"/>
  <c r="N270" i="1"/>
  <c r="B275" i="1"/>
  <c r="N206" i="1"/>
  <c r="B206" i="1"/>
  <c r="M223" i="1"/>
  <c r="N223" i="1" s="1"/>
  <c r="L223" i="1"/>
  <c r="Q223" i="1"/>
  <c r="P223" i="1" s="1"/>
  <c r="N278" i="1"/>
  <c r="B278" i="1"/>
  <c r="M281" i="1"/>
  <c r="L281" i="1"/>
  <c r="Q281" i="1"/>
  <c r="P281" i="1" s="1"/>
  <c r="B283" i="1"/>
  <c r="B116" i="1"/>
  <c r="B139" i="1"/>
  <c r="N139" i="1"/>
  <c r="M252" i="1"/>
  <c r="N252" i="1" s="1"/>
  <c r="Q252" i="1"/>
  <c r="P252" i="1" s="1"/>
  <c r="L252" i="1"/>
  <c r="B144" i="1"/>
  <c r="N285" i="1"/>
  <c r="B285" i="1"/>
  <c r="N292" i="1"/>
  <c r="B292" i="1"/>
  <c r="N370" i="1"/>
  <c r="B370" i="1"/>
  <c r="N273" i="1"/>
  <c r="B273" i="1"/>
  <c r="N378" i="1"/>
  <c r="B378" i="1"/>
  <c r="Q158" i="1"/>
  <c r="P158" i="1" s="1"/>
  <c r="L158" i="1"/>
  <c r="N312" i="1"/>
  <c r="B312" i="1"/>
  <c r="Q36" i="1"/>
  <c r="P36" i="1" s="1"/>
  <c r="M48" i="1"/>
  <c r="N48" i="1" s="1"/>
  <c r="Q59" i="1"/>
  <c r="P59" i="1" s="1"/>
  <c r="Q79" i="1"/>
  <c r="P79" i="1" s="1"/>
  <c r="N85" i="1"/>
  <c r="L92" i="1"/>
  <c r="L94" i="1"/>
  <c r="L95" i="1"/>
  <c r="L99" i="1"/>
  <c r="L109" i="1"/>
  <c r="M117" i="1"/>
  <c r="N117" i="1" s="1"/>
  <c r="M140" i="1"/>
  <c r="N140" i="1" s="1"/>
  <c r="M144" i="1"/>
  <c r="N144" i="1" s="1"/>
  <c r="L145" i="1"/>
  <c r="Q153" i="1"/>
  <c r="P153" i="1" s="1"/>
  <c r="M162" i="1"/>
  <c r="N162" i="1" s="1"/>
  <c r="N178" i="1"/>
  <c r="L182" i="1"/>
  <c r="L183" i="1"/>
  <c r="Q188" i="1"/>
  <c r="P188" i="1" s="1"/>
  <c r="L190" i="1"/>
  <c r="L195" i="1"/>
  <c r="Q198" i="1"/>
  <c r="P198" i="1" s="1"/>
  <c r="N227" i="1"/>
  <c r="B253" i="1"/>
  <c r="L248" i="1"/>
  <c r="L249" i="1"/>
  <c r="L259" i="1"/>
  <c r="B271" i="1"/>
  <c r="M248" i="1"/>
  <c r="M259" i="1"/>
  <c r="N259" i="1" s="1"/>
  <c r="N277" i="1"/>
  <c r="L318" i="1"/>
  <c r="L310" i="1"/>
  <c r="L327" i="1"/>
  <c r="L326" i="1"/>
  <c r="L336" i="1"/>
  <c r="M67" i="1"/>
  <c r="N67" i="1" s="1"/>
  <c r="L66" i="1"/>
  <c r="L73" i="1"/>
  <c r="L87" i="1"/>
  <c r="L93" i="1"/>
  <c r="L96" i="1"/>
  <c r="L97" i="1"/>
  <c r="B114" i="1"/>
  <c r="L146" i="1"/>
  <c r="L156" i="1"/>
  <c r="M192" i="1"/>
  <c r="N192" i="1" s="1"/>
  <c r="M193" i="1"/>
  <c r="N213" i="1"/>
  <c r="L211" i="1"/>
  <c r="N233" i="1"/>
  <c r="Q249" i="1"/>
  <c r="P249" i="1" s="1"/>
  <c r="M268" i="1"/>
  <c r="M269" i="1"/>
  <c r="N269" i="1" s="1"/>
  <c r="L274" i="1"/>
  <c r="B277" i="1"/>
  <c r="M283" i="1"/>
  <c r="N283" i="1" s="1"/>
  <c r="M284" i="1"/>
  <c r="N284" i="1" s="1"/>
  <c r="N313" i="1"/>
  <c r="N338" i="1"/>
  <c r="M20" i="1"/>
  <c r="N20" i="1" s="1"/>
  <c r="M49" i="1"/>
  <c r="N49" i="1" s="1"/>
  <c r="M64" i="1"/>
  <c r="N64" i="1" s="1"/>
  <c r="L65" i="1"/>
  <c r="M73" i="1"/>
  <c r="N73" i="1" s="1"/>
  <c r="N87" i="1"/>
  <c r="L121" i="1"/>
  <c r="M146" i="1"/>
  <c r="N146" i="1" s="1"/>
  <c r="L154" i="1"/>
  <c r="M156" i="1"/>
  <c r="N156" i="1" s="1"/>
  <c r="L157" i="1"/>
  <c r="N184" i="1"/>
  <c r="N195" i="1"/>
  <c r="Q197" i="1"/>
  <c r="P197" i="1" s="1"/>
  <c r="B213" i="1"/>
  <c r="N234" i="1"/>
  <c r="L333" i="1"/>
  <c r="M51" i="1"/>
  <c r="N51" i="1" s="1"/>
  <c r="Q51" i="1"/>
  <c r="P51" i="1" s="1"/>
  <c r="M62" i="1"/>
  <c r="N62" i="1" s="1"/>
  <c r="L63" i="1"/>
  <c r="Q66" i="1"/>
  <c r="P66" i="1" s="1"/>
  <c r="L71" i="1"/>
  <c r="L79" i="1"/>
  <c r="N86" i="1"/>
  <c r="N94" i="1"/>
  <c r="N99" i="1"/>
  <c r="Q100" i="1"/>
  <c r="P100" i="1" s="1"/>
  <c r="N98" i="1"/>
  <c r="L105" i="1"/>
  <c r="M121" i="1"/>
  <c r="N121" i="1" s="1"/>
  <c r="L126" i="1"/>
  <c r="L125" i="1"/>
  <c r="L127" i="1"/>
  <c r="L153" i="1"/>
  <c r="M154" i="1"/>
  <c r="N154" i="1" s="1"/>
  <c r="L155" i="1"/>
  <c r="L367" i="1"/>
  <c r="M179" i="1"/>
  <c r="N179" i="1" s="1"/>
  <c r="Q192" i="1"/>
  <c r="P192" i="1" s="1"/>
  <c r="Q193" i="1"/>
  <c r="P193" i="1" s="1"/>
  <c r="B195" i="1"/>
  <c r="Q211" i="1"/>
  <c r="P211" i="1" s="1"/>
  <c r="M246" i="1"/>
  <c r="Q268" i="1"/>
  <c r="P268" i="1" s="1"/>
  <c r="Q269" i="1"/>
  <c r="P269" i="1" s="1"/>
  <c r="L271" i="1"/>
  <c r="M275" i="1"/>
  <c r="N275" i="1" s="1"/>
  <c r="L276" i="1"/>
  <c r="L377" i="1"/>
  <c r="N337" i="1"/>
  <c r="L20" i="1"/>
  <c r="Q65" i="1"/>
  <c r="P65" i="1" s="1"/>
  <c r="Q67" i="1"/>
  <c r="P67" i="1" s="1"/>
  <c r="Q87" i="1"/>
  <c r="P87" i="1" s="1"/>
  <c r="Q90" i="1"/>
  <c r="N91" i="1"/>
  <c r="N93" i="1"/>
  <c r="N96" i="1"/>
  <c r="N97" i="1"/>
  <c r="N104" i="1"/>
  <c r="N229" i="1"/>
  <c r="M18" i="1"/>
  <c r="N18" i="1" s="1"/>
  <c r="L8" i="1"/>
  <c r="L9" i="1"/>
  <c r="L10" i="1"/>
  <c r="L11" i="1"/>
  <c r="L12" i="1"/>
  <c r="L13" i="1"/>
  <c r="L14" i="1"/>
  <c r="L15" i="1"/>
  <c r="L16" i="1"/>
  <c r="L374" i="1"/>
  <c r="M36" i="1"/>
  <c r="N36" i="1" s="1"/>
  <c r="M58" i="1"/>
  <c r="N58" i="1" s="1"/>
  <c r="L59" i="1"/>
  <c r="Q63" i="1"/>
  <c r="P63" i="1" s="1"/>
  <c r="Q64" i="1"/>
  <c r="P64" i="1" s="1"/>
  <c r="L83" i="1"/>
  <c r="N88" i="1"/>
  <c r="B93" i="1"/>
  <c r="B96" i="1"/>
  <c r="B97" i="1"/>
  <c r="B104" i="1"/>
  <c r="L113" i="1"/>
  <c r="L119" i="1"/>
  <c r="L120" i="1"/>
  <c r="L151" i="1"/>
  <c r="L186" i="1"/>
  <c r="M198" i="1"/>
  <c r="N198" i="1" s="1"/>
  <c r="M208" i="1"/>
  <c r="N208" i="1" s="1"/>
  <c r="M237" i="1"/>
  <c r="N237" i="1" s="1"/>
  <c r="L277" i="1"/>
  <c r="Q62" i="1"/>
  <c r="P62" i="1" s="1"/>
  <c r="M83" i="1"/>
  <c r="N83" i="1" s="1"/>
  <c r="N105" i="1"/>
  <c r="Q105" i="1"/>
  <c r="P105" i="1" s="1"/>
  <c r="N127" i="1"/>
  <c r="B38" i="1"/>
  <c r="N38" i="1"/>
  <c r="B47" i="1"/>
  <c r="B49" i="1"/>
  <c r="B64" i="1"/>
  <c r="B65" i="1"/>
  <c r="N65" i="1"/>
  <c r="N45" i="1"/>
  <c r="B45" i="1"/>
  <c r="B60" i="1"/>
  <c r="N60" i="1"/>
  <c r="B61" i="1"/>
  <c r="N61" i="1"/>
  <c r="B3" i="1"/>
  <c r="N3" i="1"/>
  <c r="M6" i="1"/>
  <c r="N6" i="1" s="1"/>
  <c r="L6" i="1"/>
  <c r="Q6" i="1"/>
  <c r="P6" i="1" s="1"/>
  <c r="B20" i="1"/>
  <c r="B4" i="1"/>
  <c r="Q7" i="1"/>
  <c r="P7" i="1" s="1"/>
  <c r="B18" i="1"/>
  <c r="B21" i="1"/>
  <c r="Q39" i="1"/>
  <c r="P39" i="1" s="1"/>
  <c r="M39" i="1"/>
  <c r="N39" i="1" s="1"/>
  <c r="L39" i="1"/>
  <c r="B50" i="1"/>
  <c r="B58" i="1"/>
  <c r="B59" i="1"/>
  <c r="N59" i="1"/>
  <c r="B77" i="1"/>
  <c r="N77" i="1"/>
  <c r="M19" i="1"/>
  <c r="N19" i="1" s="1"/>
  <c r="L19" i="1"/>
  <c r="Q19" i="1"/>
  <c r="P19" i="1" s="1"/>
  <c r="Q17" i="1"/>
  <c r="P17" i="1" s="1"/>
  <c r="M17" i="1"/>
  <c r="L17" i="1"/>
  <c r="B5" i="1"/>
  <c r="M7" i="1"/>
  <c r="N7" i="1" s="1"/>
  <c r="B23" i="1"/>
  <c r="B22" i="1"/>
  <c r="N22" i="1"/>
  <c r="B24" i="1"/>
  <c r="B25" i="1"/>
  <c r="B27" i="1"/>
  <c r="B28" i="1"/>
  <c r="N28" i="1"/>
  <c r="B26" i="1"/>
  <c r="B29" i="1"/>
  <c r="B30" i="1"/>
  <c r="N30" i="1"/>
  <c r="B31" i="1"/>
  <c r="N31" i="1"/>
  <c r="B32" i="1"/>
  <c r="N32" i="1"/>
  <c r="B33" i="1"/>
  <c r="N33" i="1"/>
  <c r="B35" i="1"/>
  <c r="N35" i="1"/>
  <c r="B62" i="1"/>
  <c r="B63" i="1"/>
  <c r="N63" i="1"/>
  <c r="L68" i="1"/>
  <c r="Q68" i="1"/>
  <c r="P68" i="1" s="1"/>
  <c r="M68" i="1"/>
  <c r="N68" i="1" s="1"/>
  <c r="B71" i="1"/>
  <c r="N71" i="1"/>
  <c r="L75" i="1"/>
  <c r="M75" i="1"/>
  <c r="N75" i="1" s="1"/>
  <c r="Q75" i="1"/>
  <c r="P75" i="1" s="1"/>
  <c r="Q5" i="1"/>
  <c r="P5" i="1" s="1"/>
  <c r="L5" i="1"/>
  <c r="M5" i="1"/>
  <c r="N5" i="1" s="1"/>
  <c r="B8" i="1"/>
  <c r="N8" i="1"/>
  <c r="B9" i="1"/>
  <c r="N9" i="1"/>
  <c r="B10" i="1"/>
  <c r="N10" i="1"/>
  <c r="B11" i="1"/>
  <c r="N11" i="1"/>
  <c r="B12" i="1"/>
  <c r="N12" i="1"/>
  <c r="B13" i="1"/>
  <c r="N13" i="1"/>
  <c r="B14" i="1"/>
  <c r="N14" i="1"/>
  <c r="B15" i="1"/>
  <c r="N15" i="1"/>
  <c r="B16" i="1"/>
  <c r="N16" i="1"/>
  <c r="B374" i="1"/>
  <c r="N374" i="1"/>
  <c r="B19" i="1"/>
  <c r="B56" i="1"/>
  <c r="N56" i="1"/>
  <c r="N57" i="1"/>
  <c r="B57" i="1"/>
  <c r="B70" i="1"/>
  <c r="B7" i="1"/>
  <c r="B17" i="1"/>
  <c r="N17" i="1"/>
  <c r="B46" i="1"/>
  <c r="B48" i="1"/>
  <c r="B53" i="1"/>
  <c r="N53" i="1"/>
  <c r="B55" i="1"/>
  <c r="N55" i="1"/>
  <c r="M4" i="1"/>
  <c r="N4" i="1" s="1"/>
  <c r="L4" i="1"/>
  <c r="Q4" i="1"/>
  <c r="P4" i="1" s="1"/>
  <c r="Q21" i="1"/>
  <c r="P21" i="1" s="1"/>
  <c r="L21" i="1"/>
  <c r="M21" i="1"/>
  <c r="N21" i="1" s="1"/>
  <c r="N34" i="1"/>
  <c r="N40" i="1"/>
  <c r="B40" i="1"/>
  <c r="B51" i="1"/>
  <c r="B52" i="1"/>
  <c r="B54" i="1"/>
  <c r="N54" i="1"/>
  <c r="B68" i="1"/>
  <c r="N37" i="1"/>
  <c r="B37" i="1"/>
  <c r="Q41" i="1"/>
  <c r="P41" i="1" s="1"/>
  <c r="M41" i="1"/>
  <c r="L41" i="1"/>
  <c r="N43" i="1"/>
  <c r="B67" i="1"/>
  <c r="B66" i="1"/>
  <c r="N66" i="1"/>
  <c r="Q70" i="1"/>
  <c r="P70" i="1" s="1"/>
  <c r="L70" i="1"/>
  <c r="M70" i="1"/>
  <c r="N70" i="1" s="1"/>
  <c r="B74" i="1"/>
  <c r="N74" i="1"/>
  <c r="B102" i="1"/>
  <c r="N102" i="1"/>
  <c r="Q108" i="1"/>
  <c r="P108" i="1" s="1"/>
  <c r="M108" i="1"/>
  <c r="N108" i="1" s="1"/>
  <c r="L108" i="1"/>
  <c r="Q124" i="1"/>
  <c r="P124" i="1" s="1"/>
  <c r="M124" i="1"/>
  <c r="N124" i="1" s="1"/>
  <c r="L124" i="1"/>
  <c r="B133" i="1"/>
  <c r="B146" i="1"/>
  <c r="B156" i="1"/>
  <c r="B160" i="1"/>
  <c r="N160" i="1"/>
  <c r="B162" i="1"/>
  <c r="B164" i="1"/>
  <c r="B166" i="1"/>
  <c r="N166" i="1"/>
  <c r="B204" i="1"/>
  <c r="N204" i="1"/>
  <c r="B199" i="1"/>
  <c r="B72" i="1"/>
  <c r="B75" i="1"/>
  <c r="B78" i="1"/>
  <c r="N79" i="1"/>
  <c r="L90" i="1"/>
  <c r="Q89" i="1"/>
  <c r="L89" i="1"/>
  <c r="L91" i="1"/>
  <c r="Q91" i="1"/>
  <c r="B94" i="1"/>
  <c r="B99" i="1"/>
  <c r="B110" i="1"/>
  <c r="B112" i="1"/>
  <c r="N112" i="1"/>
  <c r="N115" i="1"/>
  <c r="B123" i="1"/>
  <c r="B148" i="1"/>
  <c r="N148" i="1"/>
  <c r="B154" i="1"/>
  <c r="B157" i="1"/>
  <c r="B203" i="1"/>
  <c r="B208" i="1"/>
  <c r="Q40" i="1"/>
  <c r="P40" i="1" s="1"/>
  <c r="L46" i="1"/>
  <c r="L47" i="1"/>
  <c r="L50" i="1"/>
  <c r="B121" i="1"/>
  <c r="N126" i="1"/>
  <c r="B126" i="1"/>
  <c r="M150" i="1"/>
  <c r="N150" i="1" s="1"/>
  <c r="L150" i="1"/>
  <c r="Q150" i="1"/>
  <c r="P150" i="1" s="1"/>
  <c r="B153" i="1"/>
  <c r="N153" i="1"/>
  <c r="B155" i="1"/>
  <c r="N369" i="1"/>
  <c r="B182" i="1"/>
  <c r="N182" i="1"/>
  <c r="B214" i="1"/>
  <c r="N41" i="1"/>
  <c r="M46" i="1"/>
  <c r="N46" i="1" s="1"/>
  <c r="Q45" i="1"/>
  <c r="P45" i="1" s="1"/>
  <c r="M47" i="1"/>
  <c r="N47" i="1" s="1"/>
  <c r="Q48" i="1"/>
  <c r="P48" i="1" s="1"/>
  <c r="M50" i="1"/>
  <c r="N50" i="1" s="1"/>
  <c r="Q49" i="1"/>
  <c r="P49" i="1" s="1"/>
  <c r="M81" i="1"/>
  <c r="N81" i="1" s="1"/>
  <c r="N92" i="1"/>
  <c r="N95" i="1"/>
  <c r="N119" i="1"/>
  <c r="B152" i="1"/>
  <c r="B372" i="1"/>
  <c r="M78" i="1"/>
  <c r="N78" i="1" s="1"/>
  <c r="Q78" i="1"/>
  <c r="P78" i="1" s="1"/>
  <c r="N101" i="1"/>
  <c r="B118" i="1"/>
  <c r="N118" i="1"/>
  <c r="Q123" i="1"/>
  <c r="P123" i="1" s="1"/>
  <c r="M123" i="1"/>
  <c r="N123" i="1" s="1"/>
  <c r="L123" i="1"/>
  <c r="B143" i="1"/>
  <c r="B151" i="1"/>
  <c r="N181" i="1"/>
  <c r="B181" i="1"/>
  <c r="B192" i="1"/>
  <c r="B194" i="1"/>
  <c r="N194" i="1"/>
  <c r="B201" i="1"/>
  <c r="B219" i="1"/>
  <c r="L78" i="1"/>
  <c r="N107" i="1"/>
  <c r="B124" i="1"/>
  <c r="B134" i="1"/>
  <c r="N134" i="1"/>
  <c r="B136" i="1"/>
  <c r="N136" i="1"/>
  <c r="N141" i="1"/>
  <c r="B141" i="1"/>
  <c r="B142" i="1"/>
  <c r="N142" i="1"/>
  <c r="B217" i="1"/>
  <c r="L40" i="1"/>
  <c r="N80" i="1"/>
  <c r="N82" i="1"/>
  <c r="B91" i="1"/>
  <c r="B100" i="1"/>
  <c r="N69" i="1"/>
  <c r="Q71" i="1"/>
  <c r="P71" i="1" s="1"/>
  <c r="B80" i="1"/>
  <c r="Q81" i="1"/>
  <c r="P81" i="1" s="1"/>
  <c r="B89" i="1"/>
  <c r="N89" i="1"/>
  <c r="N103" i="1"/>
  <c r="B107" i="1"/>
  <c r="B117" i="1"/>
  <c r="N122" i="1"/>
  <c r="B122" i="1"/>
  <c r="M132" i="1"/>
  <c r="N132" i="1" s="1"/>
  <c r="L132" i="1"/>
  <c r="Q132" i="1"/>
  <c r="P132" i="1" s="1"/>
  <c r="B140" i="1"/>
  <c r="B158" i="1"/>
  <c r="B175" i="1"/>
  <c r="N175" i="1"/>
  <c r="N176" i="1"/>
  <c r="B176" i="1"/>
  <c r="B179" i="1"/>
  <c r="B188" i="1"/>
  <c r="N188" i="1"/>
  <c r="B200" i="1"/>
  <c r="M76" i="1"/>
  <c r="N76" i="1" s="1"/>
  <c r="Q76" i="1"/>
  <c r="P76" i="1" s="1"/>
  <c r="N106" i="1"/>
  <c r="N109" i="1"/>
  <c r="N111" i="1"/>
  <c r="N113" i="1"/>
  <c r="B159" i="1"/>
  <c r="N159" i="1"/>
  <c r="N169" i="1"/>
  <c r="B169" i="1"/>
  <c r="N170" i="1"/>
  <c r="B170" i="1"/>
  <c r="B172" i="1"/>
  <c r="N172" i="1"/>
  <c r="N205" i="1"/>
  <c r="B205" i="1"/>
  <c r="B209" i="1"/>
  <c r="N209" i="1"/>
  <c r="L220" i="1"/>
  <c r="Q220" i="1"/>
  <c r="P220" i="1" s="1"/>
  <c r="M220" i="1"/>
  <c r="N220" i="1" s="1"/>
  <c r="L118" i="1"/>
  <c r="B119" i="1"/>
  <c r="N129" i="1"/>
  <c r="N131" i="1"/>
  <c r="M133" i="1"/>
  <c r="N133" i="1" s="1"/>
  <c r="N137" i="1"/>
  <c r="B145" i="1"/>
  <c r="M151" i="1"/>
  <c r="N151" i="1" s="1"/>
  <c r="M152" i="1"/>
  <c r="N152" i="1" s="1"/>
  <c r="M155" i="1"/>
  <c r="N155" i="1" s="1"/>
  <c r="M157" i="1"/>
  <c r="N157" i="1" s="1"/>
  <c r="M158" i="1"/>
  <c r="N158" i="1" s="1"/>
  <c r="M367" i="1"/>
  <c r="N367" i="1" s="1"/>
  <c r="B369" i="1"/>
  <c r="L174" i="1"/>
  <c r="L180" i="1"/>
  <c r="Q182" i="1"/>
  <c r="P182" i="1" s="1"/>
  <c r="M183" i="1"/>
  <c r="N183" i="1" s="1"/>
  <c r="B184" i="1"/>
  <c r="Q186" i="1"/>
  <c r="P186" i="1" s="1"/>
  <c r="Q199" i="1"/>
  <c r="P199" i="1" s="1"/>
  <c r="M199" i="1"/>
  <c r="N199" i="1" s="1"/>
  <c r="Q203" i="1"/>
  <c r="P203" i="1" s="1"/>
  <c r="M203" i="1"/>
  <c r="N203" i="1" s="1"/>
  <c r="L210" i="1"/>
  <c r="Q219" i="1"/>
  <c r="P219" i="1" s="1"/>
  <c r="M219" i="1"/>
  <c r="N219" i="1" s="1"/>
  <c r="M217" i="1"/>
  <c r="N217" i="1" s="1"/>
  <c r="Q217" i="1"/>
  <c r="P217" i="1" s="1"/>
  <c r="B220" i="1"/>
  <c r="M225" i="1"/>
  <c r="N225" i="1" s="1"/>
  <c r="L225" i="1"/>
  <c r="B228" i="1"/>
  <c r="N228" i="1"/>
  <c r="B229" i="1"/>
  <c r="B230" i="1"/>
  <c r="N230" i="1"/>
  <c r="B240" i="1"/>
  <c r="N240" i="1"/>
  <c r="B241" i="1"/>
  <c r="N245" i="1"/>
  <c r="B245" i="1"/>
  <c r="N254" i="1"/>
  <c r="B254" i="1"/>
  <c r="B255" i="1"/>
  <c r="N255" i="1"/>
  <c r="B262" i="1"/>
  <c r="N262" i="1"/>
  <c r="Q107" i="1"/>
  <c r="P107" i="1" s="1"/>
  <c r="Q369" i="1"/>
  <c r="P369" i="1" s="1"/>
  <c r="N165" i="1"/>
  <c r="Q179" i="1"/>
  <c r="P179" i="1" s="1"/>
  <c r="M180" i="1"/>
  <c r="N180" i="1" s="1"/>
  <c r="Q184" i="1"/>
  <c r="P184" i="1" s="1"/>
  <c r="N191" i="1"/>
  <c r="Q194" i="1"/>
  <c r="P194" i="1" s="1"/>
  <c r="N207" i="1"/>
  <c r="Q209" i="1"/>
  <c r="P209" i="1" s="1"/>
  <c r="M210" i="1"/>
  <c r="N210" i="1" s="1"/>
  <c r="B223" i="1"/>
  <c r="B231" i="1"/>
  <c r="N231" i="1"/>
  <c r="B234" i="1"/>
  <c r="B235" i="1"/>
  <c r="N235" i="1"/>
  <c r="B236" i="1"/>
  <c r="N236" i="1"/>
  <c r="B238" i="1"/>
  <c r="N238" i="1"/>
  <c r="B365" i="1"/>
  <c r="N365" i="1"/>
  <c r="B257" i="1"/>
  <c r="M258" i="1"/>
  <c r="N258" i="1" s="1"/>
  <c r="L258" i="1"/>
  <c r="Q258" i="1"/>
  <c r="P258" i="1" s="1"/>
  <c r="Q93" i="1"/>
  <c r="P93" i="1" s="1"/>
  <c r="Q96" i="1"/>
  <c r="P96" i="1" s="1"/>
  <c r="Q97" i="1"/>
  <c r="P97" i="1" s="1"/>
  <c r="Q109" i="1"/>
  <c r="P109" i="1" s="1"/>
  <c r="Q111" i="1"/>
  <c r="P111" i="1" s="1"/>
  <c r="Q113" i="1"/>
  <c r="P113" i="1" s="1"/>
  <c r="Q115" i="1"/>
  <c r="P115" i="1" s="1"/>
  <c r="Q119" i="1"/>
  <c r="P119" i="1" s="1"/>
  <c r="M120" i="1"/>
  <c r="N120" i="1" s="1"/>
  <c r="Q126" i="1"/>
  <c r="P126" i="1" s="1"/>
  <c r="M125" i="1"/>
  <c r="N125" i="1" s="1"/>
  <c r="Q127" i="1"/>
  <c r="P127" i="1" s="1"/>
  <c r="L128" i="1"/>
  <c r="L130" i="1"/>
  <c r="L135" i="1"/>
  <c r="L138" i="1"/>
  <c r="N174" i="1"/>
  <c r="N185" i="1"/>
  <c r="Q191" i="1"/>
  <c r="M200" i="1"/>
  <c r="N200" i="1" s="1"/>
  <c r="Q200" i="1"/>
  <c r="P200" i="1" s="1"/>
  <c r="M214" i="1"/>
  <c r="N214" i="1" s="1"/>
  <c r="Q214" i="1"/>
  <c r="P214" i="1" s="1"/>
  <c r="Q218" i="1"/>
  <c r="P218" i="1" s="1"/>
  <c r="M218" i="1"/>
  <c r="N218" i="1" s="1"/>
  <c r="Q225" i="1"/>
  <c r="P225" i="1" s="1"/>
  <c r="B227" i="1"/>
  <c r="B250" i="1"/>
  <c r="N250" i="1"/>
  <c r="M128" i="1"/>
  <c r="N128" i="1" s="1"/>
  <c r="Q129" i="1"/>
  <c r="P129" i="1" s="1"/>
  <c r="M130" i="1"/>
  <c r="N130" i="1" s="1"/>
  <c r="Q131" i="1"/>
  <c r="P131" i="1" s="1"/>
  <c r="M135" i="1"/>
  <c r="N135" i="1" s="1"/>
  <c r="Q137" i="1"/>
  <c r="P137" i="1" s="1"/>
  <c r="M138" i="1"/>
  <c r="N138" i="1" s="1"/>
  <c r="Q162" i="1"/>
  <c r="P162" i="1" s="1"/>
  <c r="Q164" i="1"/>
  <c r="P164" i="1" s="1"/>
  <c r="N168" i="1"/>
  <c r="Q166" i="1"/>
  <c r="P166" i="1" s="1"/>
  <c r="Q172" i="1"/>
  <c r="P172" i="1" s="1"/>
  <c r="N187" i="1"/>
  <c r="N196" i="1"/>
  <c r="B226" i="1"/>
  <c r="Q241" i="1"/>
  <c r="M241" i="1"/>
  <c r="N241" i="1" s="1"/>
  <c r="B244" i="1"/>
  <c r="B248" i="1"/>
  <c r="N248" i="1"/>
  <c r="B259" i="1"/>
  <c r="L107" i="1"/>
  <c r="Q133" i="1"/>
  <c r="P133" i="1" s="1"/>
  <c r="L369" i="1"/>
  <c r="N163" i="1"/>
  <c r="N171" i="1"/>
  <c r="N167" i="1"/>
  <c r="N173" i="1"/>
  <c r="N177" i="1"/>
  <c r="B180" i="1"/>
  <c r="N189" i="1"/>
  <c r="N193" i="1"/>
  <c r="N197" i="1"/>
  <c r="M372" i="1"/>
  <c r="N372" i="1" s="1"/>
  <c r="Q201" i="1"/>
  <c r="P201" i="1" s="1"/>
  <c r="M201" i="1"/>
  <c r="N201" i="1" s="1"/>
  <c r="L209" i="1"/>
  <c r="Q215" i="1"/>
  <c r="P215" i="1" s="1"/>
  <c r="M215" i="1"/>
  <c r="N215" i="1" s="1"/>
  <c r="B216" i="1"/>
  <c r="M221" i="1"/>
  <c r="N221" i="1" s="1"/>
  <c r="L221" i="1"/>
  <c r="L241" i="1"/>
  <c r="M222" i="1"/>
  <c r="N222" i="1" s="1"/>
  <c r="Q222" i="1"/>
  <c r="P222" i="1" s="1"/>
  <c r="L227" i="1"/>
  <c r="Q227" i="1"/>
  <c r="P227" i="1" s="1"/>
  <c r="N243" i="1"/>
  <c r="B243" i="1"/>
  <c r="B252" i="1"/>
  <c r="L129" i="1"/>
  <c r="L131" i="1"/>
  <c r="L137" i="1"/>
  <c r="L172" i="1"/>
  <c r="L191" i="1"/>
  <c r="M202" i="1"/>
  <c r="N202" i="1" s="1"/>
  <c r="Q202" i="1"/>
  <c r="P202" i="1" s="1"/>
  <c r="Q208" i="1"/>
  <c r="P208" i="1" s="1"/>
  <c r="N211" i="1"/>
  <c r="M212" i="1"/>
  <c r="N212" i="1" s="1"/>
  <c r="Q212" i="1"/>
  <c r="P212" i="1" s="1"/>
  <c r="Q226" i="1"/>
  <c r="P226" i="1" s="1"/>
  <c r="M226" i="1"/>
  <c r="N226" i="1" s="1"/>
  <c r="Q244" i="1"/>
  <c r="P244" i="1" s="1"/>
  <c r="M244" i="1"/>
  <c r="N244" i="1" s="1"/>
  <c r="B258" i="1"/>
  <c r="Q261" i="1"/>
  <c r="P261" i="1" s="1"/>
  <c r="M261" i="1"/>
  <c r="N261" i="1" s="1"/>
  <c r="L261" i="1"/>
  <c r="Q372" i="1"/>
  <c r="P372" i="1" s="1"/>
  <c r="L202" i="1"/>
  <c r="Q216" i="1"/>
  <c r="P216" i="1" s="1"/>
  <c r="M216" i="1"/>
  <c r="N216" i="1" s="1"/>
  <c r="B237" i="1"/>
  <c r="B232" i="1"/>
  <c r="N232" i="1"/>
  <c r="B246" i="1"/>
  <c r="N246" i="1"/>
  <c r="B247" i="1"/>
  <c r="M257" i="1"/>
  <c r="N257" i="1" s="1"/>
  <c r="N264" i="1"/>
  <c r="L265" i="1"/>
  <c r="B274" i="1"/>
  <c r="N379" i="1"/>
  <c r="B379" i="1"/>
  <c r="B288" i="1"/>
  <c r="N288" i="1"/>
  <c r="N289" i="1"/>
  <c r="B289" i="1"/>
  <c r="B290" i="1"/>
  <c r="N290" i="1"/>
  <c r="N308" i="1"/>
  <c r="B308" i="1"/>
  <c r="N324" i="1"/>
  <c r="B324" i="1"/>
  <c r="B321" i="1"/>
  <c r="N321" i="1"/>
  <c r="N373" i="1"/>
  <c r="B373" i="1"/>
  <c r="B363" i="1"/>
  <c r="N363" i="1"/>
  <c r="M360" i="1"/>
  <c r="N360" i="1" s="1"/>
  <c r="L360" i="1"/>
  <c r="Q360" i="1"/>
  <c r="P360" i="1" s="1"/>
  <c r="L246" i="1"/>
  <c r="N371" i="1"/>
  <c r="B264" i="1"/>
  <c r="Q264" i="1"/>
  <c r="P264" i="1" s="1"/>
  <c r="M265" i="1"/>
  <c r="N265" i="1" s="1"/>
  <c r="B267" i="1"/>
  <c r="N294" i="1"/>
  <c r="B294" i="1"/>
  <c r="M354" i="1"/>
  <c r="L354" i="1"/>
  <c r="Q354" i="1"/>
  <c r="P354" i="1" s="1"/>
  <c r="B357" i="1"/>
  <c r="N357" i="1"/>
  <c r="Q224" i="1"/>
  <c r="P224" i="1" s="1"/>
  <c r="Q243" i="1"/>
  <c r="P243" i="1" s="1"/>
  <c r="L263" i="1"/>
  <c r="B268" i="1"/>
  <c r="N268" i="1"/>
  <c r="B269" i="1"/>
  <c r="B282" i="1"/>
  <c r="N282" i="1"/>
  <c r="B319" i="1"/>
  <c r="B311" i="1"/>
  <c r="N314" i="1"/>
  <c r="B314" i="1"/>
  <c r="N328" i="1"/>
  <c r="B328" i="1"/>
  <c r="B356" i="1"/>
  <c r="N356" i="1"/>
  <c r="B364" i="1"/>
  <c r="N364" i="1"/>
  <c r="B362" i="1"/>
  <c r="Q238" i="1"/>
  <c r="P238" i="1" s="1"/>
  <c r="M242" i="1"/>
  <c r="M251" i="1"/>
  <c r="N251" i="1" s="1"/>
  <c r="B355" i="1"/>
  <c r="N355" i="1"/>
  <c r="B361" i="1"/>
  <c r="N361" i="1"/>
  <c r="N239" i="1"/>
  <c r="N242" i="1"/>
  <c r="N249" i="1"/>
  <c r="Q257" i="1"/>
  <c r="P257" i="1" s="1"/>
  <c r="N279" i="1"/>
  <c r="N280" i="1"/>
  <c r="B284" i="1"/>
  <c r="B293" i="1"/>
  <c r="M306" i="1"/>
  <c r="N306" i="1" s="1"/>
  <c r="L306" i="1"/>
  <c r="Q306" i="1"/>
  <c r="P306" i="1" s="1"/>
  <c r="N318" i="1"/>
  <c r="B318" i="1"/>
  <c r="N310" i="1"/>
  <c r="B310" i="1"/>
  <c r="Q323" i="1"/>
  <c r="P323" i="1" s="1"/>
  <c r="M323" i="1"/>
  <c r="N323" i="1" s="1"/>
  <c r="L323" i="1"/>
  <c r="N263" i="1"/>
  <c r="L264" i="1"/>
  <c r="N287" i="1"/>
  <c r="N296" i="1"/>
  <c r="N300" i="1"/>
  <c r="N304" i="1"/>
  <c r="B317" i="1"/>
  <c r="N317" i="1"/>
  <c r="N334" i="1"/>
  <c r="B341" i="1"/>
  <c r="B345" i="1"/>
  <c r="N345" i="1"/>
  <c r="B251" i="1"/>
  <c r="B261" i="1"/>
  <c r="B263" i="1"/>
  <c r="B307" i="1"/>
  <c r="B309" i="1"/>
  <c r="B320" i="1"/>
  <c r="N320" i="1"/>
  <c r="B335" i="1"/>
  <c r="N335" i="1"/>
  <c r="N325" i="1"/>
  <c r="B325" i="1"/>
  <c r="P375" i="1"/>
  <c r="B344" i="1"/>
  <c r="N344" i="1"/>
  <c r="B351" i="1"/>
  <c r="N351" i="1"/>
  <c r="B352" i="1"/>
  <c r="B354" i="1"/>
  <c r="N354" i="1"/>
  <c r="B359" i="1"/>
  <c r="N359" i="1"/>
  <c r="B281" i="1"/>
  <c r="N281" i="1"/>
  <c r="N291" i="1"/>
  <c r="B291" i="1"/>
  <c r="B376" i="1"/>
  <c r="N376" i="1"/>
  <c r="B377" i="1"/>
  <c r="N377" i="1"/>
  <c r="N331" i="1"/>
  <c r="B343" i="1"/>
  <c r="N343" i="1"/>
  <c r="N346" i="1"/>
  <c r="B346" i="1"/>
  <c r="B347" i="1"/>
  <c r="N347" i="1"/>
  <c r="B348" i="1"/>
  <c r="N348" i="1"/>
  <c r="B349" i="1"/>
  <c r="N349" i="1"/>
  <c r="B358" i="1"/>
  <c r="N358" i="1"/>
  <c r="M272" i="1"/>
  <c r="N272" i="1" s="1"/>
  <c r="M274" i="1"/>
  <c r="N274" i="1" s="1"/>
  <c r="M276" i="1"/>
  <c r="N276" i="1" s="1"/>
  <c r="M286" i="1"/>
  <c r="N286" i="1" s="1"/>
  <c r="L293" i="1"/>
  <c r="L295" i="1"/>
  <c r="B296" i="1"/>
  <c r="L297" i="1"/>
  <c r="B298" i="1"/>
  <c r="L299" i="1"/>
  <c r="B300" i="1"/>
  <c r="L301" i="1"/>
  <c r="B302" i="1"/>
  <c r="L303" i="1"/>
  <c r="B304" i="1"/>
  <c r="L305" i="1"/>
  <c r="B306" i="1"/>
  <c r="B313" i="1"/>
  <c r="N330" i="1"/>
  <c r="L321" i="1"/>
  <c r="B322" i="1"/>
  <c r="N340" i="1"/>
  <c r="N342" i="1"/>
  <c r="N368" i="1"/>
  <c r="Q291" i="1"/>
  <c r="P291" i="1" s="1"/>
  <c r="M293" i="1"/>
  <c r="N293" i="1" s="1"/>
  <c r="Q294" i="1"/>
  <c r="P294" i="1" s="1"/>
  <c r="M295" i="1"/>
  <c r="N295" i="1" s="1"/>
  <c r="Q296" i="1"/>
  <c r="P296" i="1" s="1"/>
  <c r="M297" i="1"/>
  <c r="N297" i="1" s="1"/>
  <c r="Q298" i="1"/>
  <c r="P298" i="1" s="1"/>
  <c r="M299" i="1"/>
  <c r="N299" i="1" s="1"/>
  <c r="Q300" i="1"/>
  <c r="P300" i="1" s="1"/>
  <c r="M301" i="1"/>
  <c r="N301" i="1" s="1"/>
  <c r="Q302" i="1"/>
  <c r="P302" i="1" s="1"/>
  <c r="M303" i="1"/>
  <c r="N303" i="1" s="1"/>
  <c r="Q304" i="1"/>
  <c r="P304" i="1" s="1"/>
  <c r="M305" i="1"/>
  <c r="N305" i="1" s="1"/>
  <c r="N332" i="1"/>
  <c r="M307" i="1"/>
  <c r="N307" i="1" s="1"/>
  <c r="Q318" i="1"/>
  <c r="P318" i="1" s="1"/>
  <c r="M319" i="1"/>
  <c r="N319" i="1" s="1"/>
  <c r="Q308" i="1"/>
  <c r="P308" i="1" s="1"/>
  <c r="M309" i="1"/>
  <c r="N309" i="1" s="1"/>
  <c r="Q310" i="1"/>
  <c r="P310" i="1" s="1"/>
  <c r="M311" i="1"/>
  <c r="N311" i="1" s="1"/>
  <c r="M327" i="1"/>
  <c r="N327" i="1" s="1"/>
  <c r="Q314" i="1"/>
  <c r="P314" i="1" s="1"/>
  <c r="L315" i="1"/>
  <c r="L316" i="1"/>
  <c r="Q325" i="1"/>
  <c r="P325" i="1" s="1"/>
  <c r="M326" i="1"/>
  <c r="N326" i="1" s="1"/>
  <c r="Q328" i="1"/>
  <c r="P328" i="1" s="1"/>
  <c r="M329" i="1"/>
  <c r="N329" i="1" s="1"/>
  <c r="Q331" i="1"/>
  <c r="P331" i="1" s="1"/>
  <c r="M333" i="1"/>
  <c r="N333" i="1" s="1"/>
  <c r="Q334" i="1"/>
  <c r="P334" i="1" s="1"/>
  <c r="M336" i="1"/>
  <c r="N336" i="1" s="1"/>
  <c r="Q337" i="1"/>
  <c r="P337" i="1" s="1"/>
  <c r="M350" i="1"/>
  <c r="N350" i="1" s="1"/>
  <c r="Q338" i="1"/>
  <c r="P338" i="1" s="1"/>
  <c r="M339" i="1"/>
  <c r="N339" i="1" s="1"/>
  <c r="L341" i="1"/>
  <c r="L375" i="1"/>
  <c r="L352" i="1"/>
  <c r="M315" i="1"/>
  <c r="N315" i="1" s="1"/>
  <c r="Q330" i="1"/>
  <c r="P330" i="1" s="1"/>
  <c r="M316" i="1"/>
  <c r="N316" i="1" s="1"/>
  <c r="Q340" i="1"/>
  <c r="P340" i="1" s="1"/>
  <c r="M341" i="1"/>
  <c r="N341" i="1" s="1"/>
  <c r="Q342" i="1"/>
  <c r="P342" i="1" s="1"/>
  <c r="M375" i="1"/>
  <c r="N375" i="1" s="1"/>
  <c r="M352" i="1"/>
  <c r="N352" i="1" s="1"/>
  <c r="Q368" i="1"/>
  <c r="P368" i="1" s="1"/>
  <c r="M362" i="1"/>
  <c r="N362" i="1" s="1"/>
  <c r="L291" i="1"/>
  <c r="L294" i="1"/>
  <c r="L296" i="1"/>
  <c r="L298" i="1"/>
  <c r="L300" i="1"/>
  <c r="L302" i="1"/>
  <c r="L304" i="1"/>
  <c r="L325" i="1"/>
  <c r="L328" i="1"/>
  <c r="L331" i="1"/>
  <c r="L334" i="1"/>
  <c r="L337" i="1"/>
  <c r="L338" i="1"/>
  <c r="L330" i="1"/>
  <c r="L340" i="1"/>
  <c r="L342" i="1"/>
  <c r="L368" i="1"/>
  <c r="P191" i="1" l="1"/>
  <c r="V38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<sst xmlns="http://schemas.openxmlformats.org/spreadsheetml/2006/main" count="1083" uniqueCount="949">
  <si>
    <t>FECHA INICIAL</t>
  </si>
  <si>
    <t>MES</t>
  </si>
  <si>
    <t>CODIGO</t>
  </si>
  <si>
    <t>NOMBRE</t>
  </si>
  <si>
    <t>NOMBRE2</t>
  </si>
  <si>
    <t>Activo</t>
  </si>
  <si>
    <t>57</t>
  </si>
  <si>
    <t>NUMERO</t>
  </si>
  <si>
    <t>POR COMIDA</t>
  </si>
  <si>
    <t>AL DIA</t>
  </si>
  <si>
    <t>POR PEDIDO</t>
  </si>
  <si>
    <t>TOTAL PORCIONES</t>
  </si>
  <si>
    <t>DURACION DEL PEDIDO</t>
  </si>
  <si>
    <t>PROXIMA  ENTREGA</t>
  </si>
  <si>
    <t>30</t>
  </si>
  <si>
    <t>VALOR KG</t>
  </si>
  <si>
    <t>gramos por pedido</t>
  </si>
  <si>
    <t>valor pedido</t>
  </si>
  <si>
    <t>Direccion</t>
  </si>
  <si>
    <t>Cordenadas</t>
  </si>
  <si>
    <t>abastos</t>
  </si>
  <si>
    <t>4.62998632005301, -74.15657084812713</t>
  </si>
  <si>
    <t>AcicalArte PELUQUERÍA ESPECIALIAZADA CANINA Y FELINA</t>
  </si>
  <si>
    <t>No</t>
  </si>
  <si>
    <t>Cl. 8a Bis #79c-25, Bogotá</t>
  </si>
  <si>
    <t xml:space="preserve">Adolfo Cuéllar </t>
  </si>
  <si>
    <t>Calle14a#15-49</t>
  </si>
  <si>
    <t>Adriana Baron</t>
  </si>
  <si>
    <t>calle 108 # 45-20 Edificio paralelo 108</t>
  </si>
  <si>
    <t>4.695977452205739, -74.05682435357036</t>
  </si>
  <si>
    <t>Adriana Esperanza Morales Sierra 215</t>
  </si>
  <si>
    <t>Avenida chilacos 01-74 torres de Santa Ana - TorreA  Apto 204</t>
  </si>
  <si>
    <t>4.866371978696169, -74.04588065541797</t>
  </si>
  <si>
    <t>Adriana Esperanza Morales Sierra 235</t>
  </si>
  <si>
    <t>Adriana Melo</t>
  </si>
  <si>
    <t>cra 5#1-72  Casa 11 Chía</t>
  </si>
  <si>
    <t>Adriana Rubiano</t>
  </si>
  <si>
    <t>Kra 72q # 41c-71 sur bloque c3 apto 301</t>
  </si>
  <si>
    <t>4.612505952134297, -74.15197111878172</t>
  </si>
  <si>
    <t>Adriana Sanchez Torres</t>
  </si>
  <si>
    <t>Calle 25 C # 37-15 apto 101 Barrio el recuerdo</t>
  </si>
  <si>
    <t>4.631892258902334, -74.08604273244006</t>
  </si>
  <si>
    <t>Alejandra Gonzalez</t>
  </si>
  <si>
    <t>transversal 88 # 19a - 60 int 5 apto 501 portal de capellania</t>
  </si>
  <si>
    <t>4.66577792742034, -74.13394339029902</t>
  </si>
  <si>
    <t>alejandra vargas</t>
  </si>
  <si>
    <t>cra 87c #22-15 apto 402  edificio cabrera</t>
  </si>
  <si>
    <t>4.667683360401374, -74.13146130360366</t>
  </si>
  <si>
    <t>Alejandro González</t>
  </si>
  <si>
    <t>carrera 58b # 130 - 61  torre 3 apto 208</t>
  </si>
  <si>
    <t>4.72069752144112, -74.06901756162243</t>
  </si>
  <si>
    <t>Alejandro Monsalve</t>
  </si>
  <si>
    <t>calle 56a sur # 33-88</t>
  </si>
  <si>
    <t>4.582007970015482, -74.14271219045742</t>
  </si>
  <si>
    <t>Alejandro Morales</t>
  </si>
  <si>
    <t>diagonal 75bis # 20-68</t>
  </si>
  <si>
    <t>4.66360988513184, -74.06191221459417</t>
  </si>
  <si>
    <t>Alexander Sanabria</t>
  </si>
  <si>
    <t>Cl 66A Sur No 66-81 Apto 420</t>
  </si>
  <si>
    <t>4.587646479142535, -74.15614310627866</t>
  </si>
  <si>
    <t>Alison Muñoz Vanegas</t>
  </si>
  <si>
    <t>cra 69 12 a 95 torre 1 apto 1401 conjunto la almeria</t>
  </si>
  <si>
    <t>4.631623295350846, -74.19052020395281</t>
  </si>
  <si>
    <t>Alison Muñoz Vanegas Olarte</t>
  </si>
  <si>
    <t>Cl. 57 Sur # 71d-81, olarte</t>
  </si>
  <si>
    <t>Alisson Caballero Jordan 200</t>
  </si>
  <si>
    <t>Si</t>
  </si>
  <si>
    <t>Carrera 68 G # 9C-51 Conjunto Villa veronica etapa 1 Torre 6-501</t>
  </si>
  <si>
    <t>Alisson Caballero Ralph 140</t>
  </si>
  <si>
    <t>Tv. 72 #44f-15 sur</t>
  </si>
  <si>
    <t>4.596423659368091, -74.14602056162254</t>
  </si>
  <si>
    <t>Alisson Caballero Sheep 80</t>
  </si>
  <si>
    <t>Cra 69 c # 64a-80 sur</t>
  </si>
  <si>
    <t>4.586822, -74.159378</t>
  </si>
  <si>
    <t>Alisson Nicole Sarmiento</t>
  </si>
  <si>
    <t>CL 95 #71 - 87 torre 2 Apartamento 1312 - Conjunto Miradores de Pontevedra</t>
  </si>
  <si>
    <t>4.69627614467526, -74.08395152640621</t>
  </si>
  <si>
    <t>Amparo Gallo</t>
  </si>
  <si>
    <t>Cl. 163 #54-15 Conjunto Residencial Prados De Sotavento 1 casa 37</t>
  </si>
  <si>
    <t>4.745861976025535, -74.05446081894829</t>
  </si>
  <si>
    <t>Ana Martinez</t>
  </si>
  <si>
    <t>Calle 2 sur No 2 _ 100 conjunto  el molino cajica Torre 13 Apto 207</t>
  </si>
  <si>
    <t>4.913115574843137, -74.0253814213841</t>
  </si>
  <si>
    <t>Andrea Quintero 54</t>
  </si>
  <si>
    <t>Cll 22D sur #1-32 este, san Cristóbal, granada sur</t>
  </si>
  <si>
    <t>Andrea Quintero 75</t>
  </si>
  <si>
    <t>Andrea Rodríguez</t>
  </si>
  <si>
    <t>Calle 10 # 3 -94. Conjunto colmena II bloque 4 101 ENTRADA PRINCIPAL por la autopista SOACHA</t>
  </si>
  <si>
    <t>4.577715068820262, -74.22047303883579</t>
  </si>
  <si>
    <t>Andreina Molinares Acosta 200</t>
  </si>
  <si>
    <t>Cra 9na via Chía -Cajicá, Conjunto Residencial Fique, Casa 109</t>
  </si>
  <si>
    <t>4.876696205080426, -74.0501751904573</t>
  </si>
  <si>
    <t>Andreina Molinares Acosta 450</t>
  </si>
  <si>
    <t>Andres Felipe Aguilar Cadena</t>
  </si>
  <si>
    <t>CALLE 52 SUR # 95 A 30 conjunto Terranova, TORRE 11 APTO 243.</t>
  </si>
  <si>
    <t>Andres Sanchez</t>
  </si>
  <si>
    <t>peluqueria o CRA 65-58-20 sur piso 401</t>
  </si>
  <si>
    <t>angela andrea castañeda</t>
  </si>
  <si>
    <t>Calle 12A # 71B-61 Torre 4 Apto 103 Mirador de Castilla 2</t>
  </si>
  <si>
    <t>Angela Barreto</t>
  </si>
  <si>
    <t>calle 65B # 88-27 int.13 apto 401 Torrecampo 1</t>
  </si>
  <si>
    <t>4.6902647747600055, -74.11171200627811</t>
  </si>
  <si>
    <t>Angela Carvajal</t>
  </si>
  <si>
    <t>Dg 49 c sur # 11b-66 Torre 2 apto 709 Conjunto terrazas de molinos</t>
  </si>
  <si>
    <t>4.561590898946261, -74.12013355774785</t>
  </si>
  <si>
    <t>Angie Caterine Rodriguez Sanchez</t>
  </si>
  <si>
    <t>CR 55 18 23 sur barrio Milenta casa primer piso</t>
  </si>
  <si>
    <t>4.613004853342377, -74.1249706899264</t>
  </si>
  <si>
    <t>Angie Paola Rincon Alvarez</t>
  </si>
  <si>
    <t>Calle 53AN #7C1-50 Barrio altos de menga cali valle del cauca</t>
  </si>
  <si>
    <t>4.654742451267124, -74.11454706162246</t>
  </si>
  <si>
    <t xml:space="preserve">Anizoara Morales Diaz </t>
  </si>
  <si>
    <t xml:space="preserve">Calle 66a sur #73-05 Perdomo </t>
  </si>
  <si>
    <t>Argelio Gasca</t>
  </si>
  <si>
    <t>Carrera 40b #2d 37</t>
  </si>
  <si>
    <t>4.611555659787453, -74.11217414612213</t>
  </si>
  <si>
    <t>Arnulfo Bocanegra</t>
  </si>
  <si>
    <t>Cra 81j#57-19 sur barrio Vegas de santa ana, Kennedy Drogas rebaratas</t>
  </si>
  <si>
    <t>4.617731745661825, -74.1809003036039</t>
  </si>
  <si>
    <t>Aura Poveda Poveda</t>
  </si>
  <si>
    <t>Calle 70 # 96-34 casa 65 plazuelas de Alamos 1</t>
  </si>
  <si>
    <t>4.69889012916669, -74.11659146127603</t>
  </si>
  <si>
    <t>Aymara Mendoza</t>
  </si>
  <si>
    <t>Calle 3#1-25</t>
  </si>
  <si>
    <t>4.587900379057081, -74.0743031751179</t>
  </si>
  <si>
    <t>Bernardo Alfonso Hidalgo Franco</t>
  </si>
  <si>
    <t>Calle 19a # 68D-65, Mistral de 4 vientos, Apartamento 906 torre 1</t>
  </si>
  <si>
    <t>4.647440477632912, -74.11749546965223</t>
  </si>
  <si>
    <t>Billy Dog</t>
  </si>
  <si>
    <t>Calle 62d sur #66 b - 20, madelena</t>
  </si>
  <si>
    <t>4.5895822376055975, -74.15708090367336</t>
  </si>
  <si>
    <t>Bolsa de vacio</t>
  </si>
  <si>
    <t>Cra 67 # 3 _14</t>
  </si>
  <si>
    <t>4.624152323222417, -74.12366948987753</t>
  </si>
  <si>
    <t>Bolsa para cafe</t>
  </si>
  <si>
    <t>4.624956303311876, -74.1226240084341</t>
  </si>
  <si>
    <t>Burbujas de Chanel</t>
  </si>
  <si>
    <t>Calle 16b sur # 24b-31 Barrio Restrepo</t>
  </si>
  <si>
    <t>4.5883366622782935, -74.1026044612766</t>
  </si>
  <si>
    <t>Cami Garcia 150 yako</t>
  </si>
  <si>
    <t>Cra 6 # 11 - 265 conjunto residencial Rivera del Valle Torre 25 apto 501</t>
  </si>
  <si>
    <t>4.739203093660988, -74.06301691767194</t>
  </si>
  <si>
    <t>Cami Garcia 75 moli</t>
  </si>
  <si>
    <t>Dig 2b # 84 - 22 María Paz 4.639274, -74.157135</t>
  </si>
  <si>
    <t>4.639289284034746, -74.15711592741656</t>
  </si>
  <si>
    <t>Camila Geraldine Velandia Peláez</t>
  </si>
  <si>
    <t xml:space="preserve">Av boyaca #75a-60 casa </t>
  </si>
  <si>
    <t>4.691614213686974, -74.0919048204488</t>
  </si>
  <si>
    <t>Camila moreno AM</t>
  </si>
  <si>
    <t>Camila Vásquez Ramón manchas 100</t>
  </si>
  <si>
    <t>Calle 19 sur # 40 b 58 MAPA4.603598, -74.119283</t>
  </si>
  <si>
    <t>4.603661474413004, -74.11930454127115</t>
  </si>
  <si>
    <t>Camila Vásquez Ramón panela 90</t>
  </si>
  <si>
    <t>Carlos Alberto Rodriguez Sandoval</t>
  </si>
  <si>
    <t>Kra 54b #119-10 Apto 101</t>
  </si>
  <si>
    <t>4.703958620082202, -74.06460400395274</t>
  </si>
  <si>
    <t>Carlos makauslan</t>
  </si>
  <si>
    <t>Calle 67 #57-48</t>
  </si>
  <si>
    <t xml:space="preserve">Carolina Álvarez </t>
  </si>
  <si>
    <t>Calle 59 sur #64-51</t>
  </si>
  <si>
    <t>Carolina Bueno</t>
  </si>
  <si>
    <t>Carrera 96f No 22K -40 interior 6 apartamento 504</t>
  </si>
  <si>
    <t>4.674728817149605, -74.13507540379283</t>
  </si>
  <si>
    <t>Carolina Cabrera</t>
  </si>
  <si>
    <t>Calle 161 # 54-87 Corinto Torre 3 apto 504</t>
  </si>
  <si>
    <t>4.742942381913108, -74.05643696127584</t>
  </si>
  <si>
    <t>Carolina Castro Kiara Bosa</t>
  </si>
  <si>
    <t>Calle 71b bis a sur # 87 L 11 4.621553,-74.199161</t>
  </si>
  <si>
    <t>4.621499774285737, -74.19912321516243</t>
  </si>
  <si>
    <t>Carolina Castro Toby castilla</t>
  </si>
  <si>
    <t>calle 6 c # 82 a 57 conjunto residencial ciprés de Castilla torre 5 apto 1005</t>
  </si>
  <si>
    <t>4.642000928429342, -74.15356497116373</t>
  </si>
  <si>
    <t>Carolina Gutiérrez</t>
  </si>
  <si>
    <t xml:space="preserve">CRA 74 # 152 B -70 Int 2 Apto 1806 Conjunto Residencial Natura Living </t>
  </si>
  <si>
    <t>Cesar monsalve 110</t>
  </si>
  <si>
    <t>calle 59 sur n 64 21</t>
  </si>
  <si>
    <t>Cesar monsalve 240</t>
  </si>
  <si>
    <t>chefibio donaciones</t>
  </si>
  <si>
    <t>Christian Camilo Torres Cabezas</t>
  </si>
  <si>
    <t>Carrera 68B #96-70 Torre 5 Apto 604</t>
  </si>
  <si>
    <t>4.688875337883929, -74.07516069093464</t>
  </si>
  <si>
    <t>Christian Gerena</t>
  </si>
  <si>
    <t xml:space="preserve">Cra 72b 5b 93 edificio mandalay 504 </t>
  </si>
  <si>
    <t>4.629970531665668, -74.1393939003318</t>
  </si>
  <si>
    <t>Claudia Mahecha AM</t>
  </si>
  <si>
    <t>Claudia Patricia Alaguna</t>
  </si>
  <si>
    <t>casa Calle 158 n 7 b 68 apartamento 402</t>
  </si>
  <si>
    <t>4.733350544346832, -74.02503043167215</t>
  </si>
  <si>
    <t xml:space="preserve">Claudia Patricia Alaguna gato </t>
  </si>
  <si>
    <t>Claudia Patricia Torres</t>
  </si>
  <si>
    <t>Av calle 12 # 79A - 61 bodega 13</t>
  </si>
  <si>
    <t>4.648657334970687, -74.13762089905774</t>
  </si>
  <si>
    <t xml:space="preserve">Claudia yazmin Giraldo Castañeda </t>
  </si>
  <si>
    <t>Calle 53A 71C 19 Apto 201A  Normandía</t>
  </si>
  <si>
    <t>4.67131748078517, -74.10597633208882</t>
  </si>
  <si>
    <t>Cristian Gamba</t>
  </si>
  <si>
    <t>calle 151 # 109a -25 torre 3 apto 1103</t>
  </si>
  <si>
    <t>4.751887999259434, -74.09746147846529</t>
  </si>
  <si>
    <t>Daniel Emilio Quijano</t>
  </si>
  <si>
    <t>TV 17 45 d 60</t>
  </si>
  <si>
    <t>4.634779778486796, -74.0711493438239</t>
  </si>
  <si>
    <t>Daniel Latorre</t>
  </si>
  <si>
    <t>calle 69 # 6-02 edificio versalles apto 301</t>
  </si>
  <si>
    <t>4.651742245771939, -74.05627470379291</t>
  </si>
  <si>
    <t>Daniel Martinez 185</t>
  </si>
  <si>
    <t>Daniel Martinez 260</t>
  </si>
  <si>
    <t>Daniel Orlando García Celeita MOCCA</t>
  </si>
  <si>
    <t xml:space="preserve">Si </t>
  </si>
  <si>
    <t>Cra 96f 22k 40 Hayuelos reservado 2 Torre 13 apto 503</t>
  </si>
  <si>
    <t>4.674650651419689, -74.13472633666177</t>
  </si>
  <si>
    <t>Daniel Orlando García Celeita NATAN</t>
  </si>
  <si>
    <t>Daniel Valencia</t>
  </si>
  <si>
    <t>Calle 3#1-25 Lourdes centro</t>
  </si>
  <si>
    <t>4.587778702707617, -74.07442593630475</t>
  </si>
  <si>
    <t>Daniela Gomez Neira 105</t>
  </si>
  <si>
    <t>Carrera 38 # 25 a - 37 El recuerdo- teusaquillo casa Mapa 4.631717, -74.087740</t>
  </si>
  <si>
    <t>4.631460344120077, -74.08770781709494</t>
  </si>
  <si>
    <t>Daniela Gomez Neira 265</t>
  </si>
  <si>
    <t>Daniela Ortiz</t>
  </si>
  <si>
    <t>calle 173 #7-95 torre 2 apto 1706</t>
  </si>
  <si>
    <t>4.7512330112948495, -74.02469599288764</t>
  </si>
  <si>
    <t>Darly Duarte</t>
  </si>
  <si>
    <t>Conjunto Residencial Altos de Ipanema calle 26 sur #93D-60 kennedy</t>
  </si>
  <si>
    <t>4.610606795766916, -74.17025903396352</t>
  </si>
  <si>
    <t>David Bermudez</t>
  </si>
  <si>
    <t>Cll 87# 102-60 int 22 apt 302</t>
  </si>
  <si>
    <t>4.719624844432396, -74.10695100360338</t>
  </si>
  <si>
    <t>David Max</t>
  </si>
  <si>
    <t>Edificio caracas central  carrera 14#34-34 sur</t>
  </si>
  <si>
    <t>4.576380622254042, -74.11569066405299</t>
  </si>
  <si>
    <t>diana ardila</t>
  </si>
  <si>
    <t>av.calle100#21-46</t>
  </si>
  <si>
    <t xml:space="preserve"> apto 103 Ed las fuentes  barrio chico navarra</t>
  </si>
  <si>
    <t>Diana constanza Ruiz</t>
  </si>
  <si>
    <t>cra59a # 134-15 torre 1 apto 304</t>
  </si>
  <si>
    <t>4.726421551624025, -74.06924266146363</t>
  </si>
  <si>
    <t>Diana Guzmán ruiz</t>
  </si>
  <si>
    <t>Calle 14b#119a-20 Solsticio etapa 3 torre 6 apartamento 301</t>
  </si>
  <si>
    <t>4.680142028603279, -74.16543437904419</t>
  </si>
  <si>
    <t>Diana Maria Guzman Becerra</t>
  </si>
  <si>
    <t>Diagonal 6 b 79 b 80</t>
  </si>
  <si>
    <t>4.632547569384527, -74.14768720731172</t>
  </si>
  <si>
    <t>Diana tejedor</t>
  </si>
  <si>
    <t>Cr 78 16d 48 izola zentral torre 2 apto 1111</t>
  </si>
  <si>
    <t>4.6519423847272074, -74.13077727511782</t>
  </si>
  <si>
    <t>Diana Zambrano 180</t>
  </si>
  <si>
    <t>Km 2,5 vía Cajica tabio Conjunto campestre verde vivo Interior 15 casa 2</t>
  </si>
  <si>
    <t>4.925037301104707, -74.04688899618674</t>
  </si>
  <si>
    <t>Diana Zambrano 300 violeta</t>
  </si>
  <si>
    <t>Diana Zambrano 350</t>
  </si>
  <si>
    <t>Dilan Felipe Asencio Perez 58</t>
  </si>
  <si>
    <t>Calle 77b #120a-40, Torre 2 apto 310</t>
  </si>
  <si>
    <t>4.723739150762986, -74.13277440436983</t>
  </si>
  <si>
    <t>Dilan Felipe Asencio Perez 90</t>
  </si>
  <si>
    <t>Dog sano Adriana del Pilar Romero Cortés</t>
  </si>
  <si>
    <t>Cra 86 17-96 torre 10 apto 205</t>
  </si>
  <si>
    <t>Dog Sano Carolina Ayala</t>
  </si>
  <si>
    <t>Calle 72a sur #87j- 72</t>
  </si>
  <si>
    <t>4.6215283266250955, -74.19889364457022</t>
  </si>
  <si>
    <t>Dog Sano Daniela mora</t>
  </si>
  <si>
    <t>Calle 6a #18-33 torre 1 16-06 aruma MAPA 4.600148, -74.087898</t>
  </si>
  <si>
    <t>4.6003618808373, -74.08785508825885</t>
  </si>
  <si>
    <t>Dog Sano Gisela Ortiz</t>
  </si>
  <si>
    <t>TV 71B # 9D - 90  Torre 5 apartamento 301 conjunto Bosques del Ferrol</t>
  </si>
  <si>
    <t>Dog sano Janeth Eslava Garcia 170</t>
  </si>
  <si>
    <t>Calle 49dbis sur #5×-09 molinos primer sector. Casa o Cl. 55 Sur #24-44, Bogotá torre 6 apto 201</t>
  </si>
  <si>
    <t>4.574891072461519, -74.13688606127648</t>
  </si>
  <si>
    <t>Dog Sano Jeferson Pardo Ospina</t>
  </si>
  <si>
    <t>Cra 50b # 36-39 sur</t>
  </si>
  <si>
    <t>4.599181723104157, -74.12597219699857</t>
  </si>
  <si>
    <t>Dog Sano Johan Mora</t>
  </si>
  <si>
    <t>CR 66 # 19 72 Torre 3 Apto 1905</t>
  </si>
  <si>
    <t>4.642677907662424, -74.11089412736996</t>
  </si>
  <si>
    <t>Dog sano Karol Nerieth Leon Blue 205</t>
  </si>
  <si>
    <t>Calle 44b 55-89 Barrio La Esmeralda</t>
  </si>
  <si>
    <t>4.647099566734777, -74.09178360028368</t>
  </si>
  <si>
    <t>Dog sano Karol Nerieth Leon Jacobo 165</t>
  </si>
  <si>
    <t>Dog Sano Paola Acosta</t>
  </si>
  <si>
    <t>Calle 51 sur #79-40 portería 3.</t>
  </si>
  <si>
    <t>4.615152394560068, -74.16965974727977</t>
  </si>
  <si>
    <t>Dog Sano Paola Forero</t>
  </si>
  <si>
    <t>Diagonal 62 G sur # 71 C 15 Perdomo (valvanera)-</t>
  </si>
  <si>
    <t>4.589039373134773, -74.16549094593142</t>
  </si>
  <si>
    <t>Dog Sano pet o vet</t>
  </si>
  <si>
    <t>calle 2 b 52c 064.613453, -74.116477</t>
  </si>
  <si>
    <t>4.613995375560051, -74.11654317680546</t>
  </si>
  <si>
    <t>Dog sano Sharon Gissel Ramírez Silva</t>
  </si>
  <si>
    <t>Calle 24 sur # 8-37 Apto 202</t>
  </si>
  <si>
    <t>4.572723550166102, -74.09547511704011</t>
  </si>
  <si>
    <t>Dog Sano Suanny Cando coky</t>
  </si>
  <si>
    <t>Carrera 19D# 28A16 sur-4°34'49.6"N 74°06'33.4"W</t>
  </si>
  <si>
    <t>4.5804309954018665, -74.10880020638328</t>
  </si>
  <si>
    <t>Dog Sano Suanny Cando frida</t>
  </si>
  <si>
    <t>4.5806769704799875, -74.10922936209916</t>
  </si>
  <si>
    <t>Dog Sano Suanny Cando luna</t>
  </si>
  <si>
    <t>Dog Sano Suanny Cando sol</t>
  </si>
  <si>
    <t xml:space="preserve">Dog Sano Suanny Cando teo </t>
  </si>
  <si>
    <t>Dog sano Yina Rios Akamaru</t>
  </si>
  <si>
    <t>CARRERA 28 BIS 12 09 RICAURTE</t>
  </si>
  <si>
    <t>4.611342514774538, -74.09212130631697</t>
  </si>
  <si>
    <t>Dog sano Yina Rios Bolt</t>
  </si>
  <si>
    <t>Dog Sano Yina Rios Polar</t>
  </si>
  <si>
    <t>Doggy Lunch Camila Roma</t>
  </si>
  <si>
    <t>Calle 22 sur #29b - 35. Av 1 de mayo</t>
  </si>
  <si>
    <t>4.592904377526779, -74.11162946820983</t>
  </si>
  <si>
    <t>Doggy Lunch Dora Gomez</t>
  </si>
  <si>
    <t>Cra 72 N Bis A 40 F 89 sur int 10 apto 110 Agrupacion de Vivienda Timiza L2</t>
  </si>
  <si>
    <t>4.610025696304934, -74.15155908776686</t>
  </si>
  <si>
    <t>Doggy Lunch Fabián Restrepo</t>
  </si>
  <si>
    <t>Calle 65 No. 5 - 23 AP 203</t>
  </si>
  <si>
    <t>4.648558591948758, -74.05815306646903</t>
  </si>
  <si>
    <t>Doggy Lunch Orlando Lancheros</t>
  </si>
  <si>
    <t>calle 45asur 52 A 45 Venecia</t>
  </si>
  <si>
    <t>Doggy Lunch Ricardo</t>
  </si>
  <si>
    <t xml:space="preserve">CRA 71a # 49 a -19 </t>
  </si>
  <si>
    <t>4.667602760433639, -74.1084210902991</t>
  </si>
  <si>
    <t xml:space="preserve">Doris Cortés Urrea </t>
  </si>
  <si>
    <t>Calle 65 # 5-23 apto 203</t>
  </si>
  <si>
    <t>4.648468572715817, -74.05819934021515</t>
  </si>
  <si>
    <t>Eddinson Rodríguez Bonilla</t>
  </si>
  <si>
    <t>CRA.13 #93-40 OFC 411 (dejar el paquete a nombre de Cesar Moreno)</t>
  </si>
  <si>
    <t>4.676180818111013, -74.04932688906102</t>
  </si>
  <si>
    <t>Eduardo Arias Garcia</t>
  </si>
  <si>
    <t>Madelena conjunto urbano 2 Torre 2 apto 2103</t>
  </si>
  <si>
    <t>4.593444477299046, -74.15859931709521</t>
  </si>
  <si>
    <t>Edwin Romero</t>
  </si>
  <si>
    <t>cra 80 #8c-85 torre 3 apto 412</t>
  </si>
  <si>
    <t>4.643162912064931, -74.14388720947512</t>
  </si>
  <si>
    <t>Eleonora Mutis</t>
  </si>
  <si>
    <t>cr19 # 37-73 apto 401</t>
  </si>
  <si>
    <t>4.627109, -74.073053</t>
  </si>
  <si>
    <t>Eliana Turrini</t>
  </si>
  <si>
    <t>313 8013032</t>
  </si>
  <si>
    <t>Vereda La Moya Camellón de las flores Finca Villa Mulata Cota Cundinamarca</t>
  </si>
  <si>
    <t>4.8209137196074066, -74.10416672815097</t>
  </si>
  <si>
    <t>Enith Tarazona Ardila</t>
  </si>
  <si>
    <t xml:space="preserve">calle 46a sur # 23c -10 casa piso 2 tunal </t>
  </si>
  <si>
    <t>4.5785353902572306, -74.1277340036041</t>
  </si>
  <si>
    <t>Ericka Núñez</t>
  </si>
  <si>
    <t>CRA 79 número 10 D 95, Parque de Castilla etapa 4 apatamento 2-502</t>
  </si>
  <si>
    <t>4.645646792759222, -74.13996086891275</t>
  </si>
  <si>
    <t>Erika Sofia Bautista Nieves</t>
  </si>
  <si>
    <t>tv 53 # 2a-56 barrio el sol puente aranda</t>
  </si>
  <si>
    <t>4.614563902647698, -74.116936569635</t>
  </si>
  <si>
    <t>Erika Villamizar bruno</t>
  </si>
  <si>
    <t>Kra 80 No 8b-37 apto 202 etapa 1 bosques de bavaria</t>
  </si>
  <si>
    <t>4.6429977679291365, -74.14437876127617</t>
  </si>
  <si>
    <t>Esperanza Calderon</t>
  </si>
  <si>
    <t>Kra 79G número 13A 64. Barrio Visión Colombia Casa Tercer piso.</t>
  </si>
  <si>
    <t>4.651484728052012, -74.13569018815174</t>
  </si>
  <si>
    <t>Evelin Herrera</t>
  </si>
  <si>
    <t>Cra 3 bis 127b 45</t>
  </si>
  <si>
    <t>Fabiola Delgado Montalbo</t>
  </si>
  <si>
    <t>calle 58 sur #66a-79 apartamento 504</t>
  </si>
  <si>
    <t>4.5947627599408145, -74.1577771899266</t>
  </si>
  <si>
    <t>Fanny Duque Guinard</t>
  </si>
  <si>
    <t>Calle 10 #6-08 en Chia</t>
  </si>
  <si>
    <t>Fernando Monroy</t>
  </si>
  <si>
    <t>Condominio Residencial Quintas del Bosque casa 5 4.883240, -74.043068</t>
  </si>
  <si>
    <t>4.88327499297058, -74.04370694592993</t>
  </si>
  <si>
    <t>gabriela ramirez caro</t>
  </si>
  <si>
    <t>calle 150a #45-55 apto 511</t>
  </si>
  <si>
    <t>4.73279125652287, -74.0505135616888</t>
  </si>
  <si>
    <t>Geraldin Bustamante</t>
  </si>
  <si>
    <t>4.594354612932832, -74.15685287443354</t>
  </si>
  <si>
    <t>Giovanny Andrés Gómez</t>
  </si>
  <si>
    <t xml:space="preserve"> CR68C #77-43 EDIFICIO MPH APTO 1010</t>
  </si>
  <si>
    <t>4.683986787634647, -74.08283800360363</t>
  </si>
  <si>
    <t>Gladis Baquero</t>
  </si>
  <si>
    <t>RIOJA TORRE 3-APT-03-2110 CRA 7 A # 172 A 30 BOGOTA DC</t>
  </si>
  <si>
    <t>Gloria Ines Ayala Baquero</t>
  </si>
  <si>
    <t>Calle 128 a # 54 b 56 torre 3 apto 1401. Conjunto mirador de cordoba</t>
  </si>
  <si>
    <t>4.714469453465674, -74.06347543226849</t>
  </si>
  <si>
    <t>Gloria Muriel Botero</t>
  </si>
  <si>
    <t>Calle 175 # 76- 50casa 3  conjunto Rodamontes</t>
  </si>
  <si>
    <t>4.766272507907867, -74.06505028491672</t>
  </si>
  <si>
    <t>Gloria patricia peña 100</t>
  </si>
  <si>
    <t>carrera1 # 15 -90 El bejucal cajicá. casa 19</t>
  </si>
  <si>
    <t>Gloria patricia peña 110</t>
  </si>
  <si>
    <t>Gloria patricia peña 180</t>
  </si>
  <si>
    <t>Guillermo Gonzalez</t>
  </si>
  <si>
    <t>Carrera 100C#129C-18 ,primer piso barrio lagos de Suba maps, 4.729876, -74.097900</t>
  </si>
  <si>
    <t>4.730116225796329, -74.0979339216216</t>
  </si>
  <si>
    <t>Gustavo Ferro</t>
  </si>
  <si>
    <t>Conjunto Residencial Mazuren 1, Cra. 55 #152b 68  torre  5 apto 205</t>
  </si>
  <si>
    <t>4.738810556051121, -74.05683121929226</t>
  </si>
  <si>
    <t>Gustavo Toro</t>
  </si>
  <si>
    <t>carrera 49d #87-13</t>
  </si>
  <si>
    <t>4.678582461768557, -74.06532282883626</t>
  </si>
  <si>
    <t>Hair Muñoz 250</t>
  </si>
  <si>
    <t>Calle 108B 6-24 Apt 101</t>
  </si>
  <si>
    <t>4.6891039337260265, -74.03434806293835</t>
  </si>
  <si>
    <t>Happy Pets Paradise</t>
  </si>
  <si>
    <t>Cra 55c # 159-10 int 13 piso 1</t>
  </si>
  <si>
    <t>4.741744116405488, -74.05803109045735</t>
  </si>
  <si>
    <t>harinas</t>
  </si>
  <si>
    <t>4.6258357299643835, -74.15924837835799</t>
  </si>
  <si>
    <t>Harley Irene Monsalve</t>
  </si>
  <si>
    <t>Carrera 66# 60a 50 sur Papeleria vacesan</t>
  </si>
  <si>
    <t>Hector Lizarazo</t>
  </si>
  <si>
    <t>Hacienda Fontanar km 2.5 via Chia-Cajica. Conj. Ficus casa 5.</t>
  </si>
  <si>
    <t>Helena Mojica</t>
  </si>
  <si>
    <t>Carrera 7 A 145-41 edif torrealba apto 601 torre 1</t>
  </si>
  <si>
    <t>4.721054927159062, -74.02755301803784</t>
  </si>
  <si>
    <t>Ingrid Natalia Beltrán Ramírez</t>
  </si>
  <si>
    <t xml:space="preserve">Cr 71 58 a 60 sur Int 28 apto 202 </t>
  </si>
  <si>
    <t>4.593907765896521, -74.16337814007746</t>
  </si>
  <si>
    <t>Ingrid Vanessa Pinzón Sánchez</t>
  </si>
  <si>
    <t>Carrera 73 # 66 06 Sur - Perdomo, peñón del Cortijo</t>
  </si>
  <si>
    <t>Isabel Gómez</t>
  </si>
  <si>
    <t>Calle 25C # 37-15 apto 101</t>
  </si>
  <si>
    <t>Ivonne Aguirre</t>
  </si>
  <si>
    <t>Cra 79 #19-88 t2 apto1301</t>
  </si>
  <si>
    <t>4.6571368504368635, -74.12890961691315</t>
  </si>
  <si>
    <t>Jaime Rolando Ayala Garcia</t>
  </si>
  <si>
    <t>Calle 159 n. 54 69 torre 4 apto 1005 Portus Alejandría</t>
  </si>
  <si>
    <t>4.740989740976053, -74.05634276417832</t>
  </si>
  <si>
    <t>Jairo Rosas Hernandez</t>
  </si>
  <si>
    <t>carrera 71 B Bis #12A-40 Torre 1 Apto 402</t>
  </si>
  <si>
    <t>4.640225789141522, -74.12661062537795</t>
  </si>
  <si>
    <t>Javier Diaz</t>
  </si>
  <si>
    <t>Cra 78 # 16D - 71 conjunto residencial Zajarí zentral. Torre 3 apto 1118</t>
  </si>
  <si>
    <t>4.650551363017958, -74.13142174326917</t>
  </si>
  <si>
    <t xml:space="preserve">Jeimmy pinzon </t>
  </si>
  <si>
    <t>Carrera 30 # 48-30 Apto 702 edificio portal de Belalcazar Bogotá</t>
  </si>
  <si>
    <t>4.638731644019474, -74.07890854612201</t>
  </si>
  <si>
    <t>Jerson David Ortiz Puentes AURI</t>
  </si>
  <si>
    <t xml:space="preserve">Pinar de novalena </t>
  </si>
  <si>
    <t>Jerson David Ortiz Puentes DULCE</t>
  </si>
  <si>
    <t>Jessica Cabrera</t>
  </si>
  <si>
    <t>carrera 73 a # 167-91 casa 27 conjunto portales del norte 1 manzana 4</t>
  </si>
  <si>
    <t>4.752905548881764, -74.06569836084948</t>
  </si>
  <si>
    <t>Jessica Moreno 48</t>
  </si>
  <si>
    <t>Calle 79 #10 d 95 parques de castilla 4 trr 2 apto 504</t>
  </si>
  <si>
    <t>4.645752167091152, -74.13871486786599</t>
  </si>
  <si>
    <t>Jessica Ortega</t>
  </si>
  <si>
    <t>Cra 97 B bis # 38-53 sur</t>
  </si>
  <si>
    <t>4.647953411511247, -74.17355170343387</t>
  </si>
  <si>
    <t>Jhilmar jhobany sierra mahecha</t>
  </si>
  <si>
    <t>oficina zipaquira</t>
  </si>
  <si>
    <t>Jhoan Camilo Sanchez Valderrama</t>
  </si>
  <si>
    <t>Conjunto Residencial PRIMAVERA 639, etapa 1,  Torre 6 apto 2105</t>
  </si>
  <si>
    <t>Jhon Bocanegra</t>
  </si>
  <si>
    <t>calle 56 # 38-23 apt 501 edificio Flamingo. Barrio Nicolás de Federman</t>
  </si>
  <si>
    <t>4.646226941285722, -74.08315565961584</t>
  </si>
  <si>
    <t>Jhon Fredy Meneses Leal</t>
  </si>
  <si>
    <t>Calle 72F #114 A - 40 Torre 9 apto 502</t>
  </si>
  <si>
    <t>4.716550522906735, -74.12923650360332</t>
  </si>
  <si>
    <t>Jimmy Puentes 230</t>
  </si>
  <si>
    <t>calle 63 sur # 64-90 conjunto el jardin interior 10 apto 552</t>
  </si>
  <si>
    <t>4.584726085541368, -74.1572640919668</t>
  </si>
  <si>
    <t>Jineth veronica florez gonzalez</t>
  </si>
  <si>
    <t>Calle34abis#88c-4</t>
  </si>
  <si>
    <t>Johan Ochoa Gaviria</t>
  </si>
  <si>
    <t>Calle 13 SUR 2-82 finca El Triunfo, Cajicá, Cundinamarca ,(Por Camino Buena Suerte, en Maps buscar Alkisofia)</t>
  </si>
  <si>
    <t>Johanna Echeverri Nuggets</t>
  </si>
  <si>
    <t>Transversal 78i Bis &amp; Calle 41b Sur</t>
  </si>
  <si>
    <t>4.61453716457459, -74.15660020037102</t>
  </si>
  <si>
    <t>John Barbosa hernandez</t>
  </si>
  <si>
    <t>Cra 27 # 1 a 21</t>
  </si>
  <si>
    <t>4.617954163516737, -74.15791058870259</t>
  </si>
  <si>
    <t>John Beltrán</t>
  </si>
  <si>
    <t xml:space="preserve"> Kr 8d 160 94 casa puerta dorada</t>
  </si>
  <si>
    <t>John Bernal Castañeda VS</t>
  </si>
  <si>
    <t>318 8972079</t>
  </si>
  <si>
    <t>Calle 97 # 70 c 95, Portal de Pontevedra 5, Torre 4 apto 602</t>
  </si>
  <si>
    <t>4.694953400917142, -74.08017647266468</t>
  </si>
  <si>
    <t>John Fernando Rivera Rincón</t>
  </si>
  <si>
    <t>Carrera 2b #25c -54 barrio Porvenir Soacha. Tercer piso MAPS 4.582859155301195, -74.20853815434148</t>
  </si>
  <si>
    <t>4.583084186034461, -74.20855403244018</t>
  </si>
  <si>
    <t>John Hernandez</t>
  </si>
  <si>
    <t>4.617953875836762, -74.15793037349941</t>
  </si>
  <si>
    <t>John Hernandez Nuggets</t>
  </si>
  <si>
    <t>John Miranda</t>
  </si>
  <si>
    <t>Kr 97# 24 32 Int 7 Apto 201</t>
  </si>
  <si>
    <t>4.680020121967063, -74.13183899011234</t>
  </si>
  <si>
    <t>Jonathan Lopez Puerta</t>
  </si>
  <si>
    <t>cra 74a #168a-50 int 2 apto 708 conjunto residencial takali del monte</t>
  </si>
  <si>
    <t>4.753394316208846, -74.06694386429551</t>
  </si>
  <si>
    <t>Jorge Patarroyo 140</t>
  </si>
  <si>
    <t>cr 96g #16i 18 casa tercer piso</t>
  </si>
  <si>
    <t>4.67586985789617, -74.1347842747673</t>
  </si>
  <si>
    <t>Jorge Quispe</t>
  </si>
  <si>
    <t>Carrera 80c#13a-32 barrio adalucia conjunto residencial gerona del vergel torre 4 apto 201</t>
  </si>
  <si>
    <t>4.652748900035442, -74.13636127145675</t>
  </si>
  <si>
    <t>jose alejandro paez</t>
  </si>
  <si>
    <t>Calle 57a número 67 15 sur villa del rio</t>
  </si>
  <si>
    <t>jose alfonso garzon cedeño</t>
  </si>
  <si>
    <t>Terminal, direccion Calle 54 # 94-24, T1 Apto 8,1 cali</t>
  </si>
  <si>
    <t>Jose Jaime López Velandia</t>
  </si>
  <si>
    <t>terminal salitre: Calle 66#39B10 barrio las colinas Manizales Caldas</t>
  </si>
  <si>
    <t>Jose Luis Barrios 115</t>
  </si>
  <si>
    <t>calle 58N #4B-45 Apto 904 B unidad residencial divento barrio la flora</t>
  </si>
  <si>
    <t>Jose Luis Barrios 175</t>
  </si>
  <si>
    <t>José María Robayo 30</t>
  </si>
  <si>
    <t>Calle 145 13A-96 Apartamento 204 Edificio Parque del Cedro.</t>
  </si>
  <si>
    <t>José María Robayo 45</t>
  </si>
  <si>
    <t>José odair Suárez</t>
  </si>
  <si>
    <t>Calle 22a 83 61 Mallorca 4 casa 3</t>
  </si>
  <si>
    <t>4.6662458995654035, -74.12910456127624</t>
  </si>
  <si>
    <t>Juan Andres Restrepo</t>
  </si>
  <si>
    <t>Calle 65 #22-13 edificio arko I apto 302</t>
  </si>
  <si>
    <t>4.655924333960473, -74.07024587751926</t>
  </si>
  <si>
    <t>Juan Carlos Arango Castano 150</t>
  </si>
  <si>
    <t>Cr 69B # 96 -18. Barrio Julio Flórez</t>
  </si>
  <si>
    <t>4.69079956042075, -74.07749960395277</t>
  </si>
  <si>
    <t>Juan Carlos Arango Castano 200</t>
  </si>
  <si>
    <t>Juan Carlos Ospina Arango</t>
  </si>
  <si>
    <t>Tv 42a # 5a 82 piso 1</t>
  </si>
  <si>
    <t>4.61868895731389, -74.10774600627855</t>
  </si>
  <si>
    <t>Juan esteban ramirez</t>
  </si>
  <si>
    <t>Kra 78a #48 sur 22</t>
  </si>
  <si>
    <t>4.611792199567547, -74.16528084607128</t>
  </si>
  <si>
    <t>Juan esteban ramirez 125</t>
  </si>
  <si>
    <t>JUAN OLAEZ CARDONA</t>
  </si>
  <si>
    <t>DIRECCIÓN: CALLE 137  #  91-40.  INTERIOR 1.  APARTAMENTO 204.  CONJUNTO RESIDENCIAL "SAUCES DE SUBA".</t>
  </si>
  <si>
    <t>Juan sebastian prieto pinzón</t>
  </si>
  <si>
    <t>Calle 23abis#83-25 Apto 612 Modelia 88</t>
  </si>
  <si>
    <t>4.667719300480578, -74.12609091111949</t>
  </si>
  <si>
    <t>Juan Sebastian Tintinago</t>
  </si>
  <si>
    <t>Calle 160 #58-75 torre 6 apto 404 conjunto residencial Dalí . Barrio Gilmar</t>
  </si>
  <si>
    <t>4.742819869302704, -74.0612282556726</t>
  </si>
  <si>
    <t>Juanita Valencia</t>
  </si>
  <si>
    <t>ac 100 #64-51 t3 apto 204</t>
  </si>
  <si>
    <t>4.689970037819654, -74.06848814686923</t>
  </si>
  <si>
    <t xml:space="preserve">Julia Cubides Cardeña </t>
  </si>
  <si>
    <t>Calle 138 D #153 C-14 Bogotá, Suba, barrio Santa Rita</t>
  </si>
  <si>
    <t>Juliana Sofia Torres Osorio</t>
  </si>
  <si>
    <t>Calle 37#29-18 soledad (casa)</t>
  </si>
  <si>
    <t>4.626149354965175, -74.07948722528062</t>
  </si>
  <si>
    <t>Julieth Gutierrez</t>
  </si>
  <si>
    <t>Carrera 7h no 151-53 apt 102</t>
  </si>
  <si>
    <t>Karen dayana castro poveda</t>
  </si>
  <si>
    <t>carrera 95J # 91A - 73</t>
  </si>
  <si>
    <t>Karen Forero</t>
  </si>
  <si>
    <t>Calle 42g # 87c 11 casa</t>
  </si>
  <si>
    <t>4.632403129468985, -74.17221232199272</t>
  </si>
  <si>
    <t>Karen Sofía bolívar Triviño</t>
  </si>
  <si>
    <t>3223632200</t>
  </si>
  <si>
    <t xml:space="preserve">Calle 77 sur # 81H - 20 Bosa San José conjunto residencial parque tuparro torre 14 apto 301 </t>
  </si>
  <si>
    <t>4.614739893020716, -74.20230600185388</t>
  </si>
  <si>
    <t>Katherine Padilla Mosquera</t>
  </si>
  <si>
    <t>Calle 22c #29a-47 Int 16 apto 16-41</t>
  </si>
  <si>
    <t>4.62203128639481, -74.08436503244015</t>
  </si>
  <si>
    <t xml:space="preserve">Kevin Leonardo Quevedo Ardila </t>
  </si>
  <si>
    <t>Carrera 81B #6B 85 casa 156</t>
  </si>
  <si>
    <t>4.639582572339472, -74.15160373225525</t>
  </si>
  <si>
    <t>La Tienda De Mechas Y Sus Amigos</t>
  </si>
  <si>
    <t>Cl. 33 Sur #40-10 Local 1, Puente Aranda, Bogotá</t>
  </si>
  <si>
    <t>4.5980253436331155, -74.12245293831056</t>
  </si>
  <si>
    <t>Lady Johanna Camargo Cardona</t>
  </si>
  <si>
    <t>calle 31 sur # 23a- 82 bloque 14 apto 102 conjunto Santa Catalina</t>
  </si>
  <si>
    <t>4.583071912770926, -74.11260368006542</t>
  </si>
  <si>
    <t>Laura Alejandra Torres Granados</t>
  </si>
  <si>
    <t>Ak 68 # 5-17 porto americas club residencial T2 Apto 2410</t>
  </si>
  <si>
    <t>4.626204732075657, -74.12383972627607</t>
  </si>
  <si>
    <t>Laura Cristina Sanabria moreno</t>
  </si>
  <si>
    <t>carrera 103 f #140c 16</t>
  </si>
  <si>
    <t>4.74403591313081, -74.09632900627781</t>
  </si>
  <si>
    <t>laura fernanda gomez ramirez</t>
  </si>
  <si>
    <t>carrera 66 79 a 82 unidad 1 interior q apto 103.</t>
  </si>
  <si>
    <t>4.681998103982473, -74.07902123600776</t>
  </si>
  <si>
    <t>Laura Marcela Niño Rojas</t>
  </si>
  <si>
    <t>Calle 3 # 78B-62 Mandalay casa</t>
  </si>
  <si>
    <t>4.6278449015320575, -74.14634393168953</t>
  </si>
  <si>
    <t>Laura Marcela Rojas Diaz</t>
  </si>
  <si>
    <t>Transversal 53d #129-67 torre A apto 405</t>
  </si>
  <si>
    <t>4.717782708246917, -74.06146983250915</t>
  </si>
  <si>
    <t>Laura Posso</t>
  </si>
  <si>
    <t>Laura Solano-paola garcia</t>
  </si>
  <si>
    <t>Cl. 9c Bis #68g-29 torre 10 apto 301 reserva de las americas 2</t>
  </si>
  <si>
    <t>4.634163883096187, -74.12573786395023</t>
  </si>
  <si>
    <t>Leidy Bayona Saganome 113</t>
  </si>
  <si>
    <t>Calle 7 sur 6-15</t>
  </si>
  <si>
    <t>Leidy Bayona Saganome 150</t>
  </si>
  <si>
    <t>leidy Gaviria</t>
  </si>
  <si>
    <t>EL EDEN</t>
  </si>
  <si>
    <t>Leidy Johana Murcia</t>
  </si>
  <si>
    <t>cra78h#56a 20 sur</t>
  </si>
  <si>
    <t>4.60929862379699, -74.17203389325242</t>
  </si>
  <si>
    <t>Leonardo Ferrer</t>
  </si>
  <si>
    <t>Cra 14c 148-46 casa 12 cedro bolivar</t>
  </si>
  <si>
    <t>4.73070252558352, -74.04008401124113</t>
  </si>
  <si>
    <t>Lida Fernanda Lizo</t>
  </si>
  <si>
    <t>Cll 163#59a-10 torre 2 Apt 1712</t>
  </si>
  <si>
    <t>4.747170111978072, -74.06180453225485</t>
  </si>
  <si>
    <t>Liliana Andrea Sánchez Cristancho Chiripa</t>
  </si>
  <si>
    <t>Calle 5ta sur # 3 - 44. Al lado de helados san Jerónimo</t>
  </si>
  <si>
    <t>4.909398784536354, -74.0277348160555</t>
  </si>
  <si>
    <t>Liliana Andrea Sánchez Cristancho Manolo</t>
  </si>
  <si>
    <t>Liliana Andrea Sánchez Cristancho Mia</t>
  </si>
  <si>
    <t>Liliana Andrea Sánchez Cristancho Milo</t>
  </si>
  <si>
    <t>Liliana Andrea Sánchez Cristancho Ramon</t>
  </si>
  <si>
    <t>Liliana Andrea Sánchez Cristancho Tostao</t>
  </si>
  <si>
    <t>Liliana Andrea Sánchez Cristancho Trufa</t>
  </si>
  <si>
    <t>Liliana Gomez</t>
  </si>
  <si>
    <t>315 3284218</t>
  </si>
  <si>
    <t>Calle 2 A sur # 78k 32 Bloque K44 apto 301 Conjunto Residencial Banderas Porteria 5</t>
  </si>
  <si>
    <t>4.628511293194937, -74.15018964142273</t>
  </si>
  <si>
    <t>Lina Bustos 140</t>
  </si>
  <si>
    <t>Cl. 17A #7A-27, Funza, Cundinamarca. Torre 9 apto 401</t>
  </si>
  <si>
    <t>4.713036239029747, -74.20631575942217</t>
  </si>
  <si>
    <t>Lina Bustos 190</t>
  </si>
  <si>
    <t>Lina Bustos 240</t>
  </si>
  <si>
    <t xml:space="preserve">Lina Marcela Vasquez </t>
  </si>
  <si>
    <t>Cra 19 a # 173-70 torre 4 apto 604, Conjunto Tamesis 175</t>
  </si>
  <si>
    <t>4.754602549356499, -74.0410181802793</t>
  </si>
  <si>
    <t>lina rincón</t>
  </si>
  <si>
    <t>⁠Carrera 123a#77b-85 torre 1 apto 30 conjunto Tinguazul gran granada</t>
  </si>
  <si>
    <t>Lory Johanna Choconta</t>
  </si>
  <si>
    <t xml:space="preserve">cra 64 # 67a -05 casa 1 </t>
  </si>
  <si>
    <t>4.671262760858861, -74.08574118768465</t>
  </si>
  <si>
    <t>Luis Alonso</t>
  </si>
  <si>
    <t>cl 25 b # 71-18 apt 1405 torre 3a</t>
  </si>
  <si>
    <t>4.6635935300873355, -74.11233458433273</t>
  </si>
  <si>
    <t>Luis Fernando Galvis Osorio GAIA</t>
  </si>
  <si>
    <t>carrera 73 a # 167-91 casa 19 conjunto portales del norte 1 manzana 4</t>
  </si>
  <si>
    <t>4.752128992837613, -74.06569656719068</t>
  </si>
  <si>
    <t>Luis Fernando Galvis Osorio THOR</t>
  </si>
  <si>
    <t>Luisa fernanda Barbosa</t>
  </si>
  <si>
    <t>Carrera 89 bis A # 59 C 15 sur Conjunto atalay del recreo torre 4- 414</t>
  </si>
  <si>
    <t>4.628813329606383, -74.19413888134949</t>
  </si>
  <si>
    <t>Luisa Fernanda Duque Barreiro</t>
  </si>
  <si>
    <t>CR 31 # 15-119 sur T 16 AP 402 - Ciudad verde, Soacha</t>
  </si>
  <si>
    <t>4.601569985099832, -74.21905865092434</t>
  </si>
  <si>
    <t>Luna Tobón Valencia</t>
  </si>
  <si>
    <t>cll 29 N. 17-40 apto 201</t>
  </si>
  <si>
    <t>4.619181111207877, -74.0742012689129</t>
  </si>
  <si>
    <t>Luvier Fernando Lugo 130</t>
  </si>
  <si>
    <t xml:space="preserve"> conjunto Rincón de Fonqueta, casa 38, Chia - Cundinamarca</t>
  </si>
  <si>
    <t>4.86588861414571, -74.07063125862813</t>
  </si>
  <si>
    <t>Luvier Fernando Lugo 200</t>
  </si>
  <si>
    <t>Luz marina Monroy 25</t>
  </si>
  <si>
    <t>Cra 80 # 8 11 torre 2 apto 715 torres de Santa Bárbara 
Barrio Castilla</t>
  </si>
  <si>
    <t>4.641173534238557, -74.14550865906736</t>
  </si>
  <si>
    <t>Luz marina Monroy 34</t>
  </si>
  <si>
    <t>Luz Mery Camen</t>
  </si>
  <si>
    <t>Cra 156a #132-11 barrio lisboa santa cecilia suba</t>
  </si>
  <si>
    <t>4.7412053669056755, -74.1258837597783</t>
  </si>
  <si>
    <t>magda juliana serna Lopez</t>
  </si>
  <si>
    <t>calle 33 # 37-63 cojunto Residencial Guadual ciudad verde Torre 10 apto 103</t>
  </si>
  <si>
    <t>4.610220828371852, -74.2197307960625</t>
  </si>
  <si>
    <t>Marcela Diaz</t>
  </si>
  <si>
    <t xml:space="preserve">Calle 63 sur No 70d-75 torre 12 apto 402 Parque central bonavista 1 </t>
  </si>
  <si>
    <t>4.588889172702214, -74.16288712197868</t>
  </si>
  <si>
    <t>Marcela Hernandez</t>
  </si>
  <si>
    <t>María Alejandra Morales</t>
  </si>
  <si>
    <t>CRA 48 #163b-58 Apto 606, edificio la Giralda I</t>
  </si>
  <si>
    <t>4.745829682663627, -74.04936191709444</t>
  </si>
  <si>
    <t>Maria Alejandra Reina 145</t>
  </si>
  <si>
    <t>Kra 78#69B 04 sur MAPA 4.600822, -74.190267</t>
  </si>
  <si>
    <t>4.601046574908509, -74.19024554860681</t>
  </si>
  <si>
    <t>Maria Alejandra Reina 170</t>
  </si>
  <si>
    <t>Maria Alejandra Wilches</t>
  </si>
  <si>
    <t>Calle 8 # 3 - 38 Este barrio el misterio Cajica</t>
  </si>
  <si>
    <t>4.923074470867486, -74.0228870589368</t>
  </si>
  <si>
    <t>María Angélica Márquez Rozo</t>
  </si>
  <si>
    <t>Cra 50 # 104 B - 34 Apto 210</t>
  </si>
  <si>
    <t>4.69390853307671, -74.06063705411367</t>
  </si>
  <si>
    <t>María Claudia Muriel Botero</t>
  </si>
  <si>
    <t>Calle 183# 76-35 conjunto Socieg</t>
  </si>
  <si>
    <t>4.770821078518771, -74.06132445541856</t>
  </si>
  <si>
    <t>Maria consuelo Ruiz</t>
  </si>
  <si>
    <t>Cra. 52b # 43-32, Puente Aranda, Bogotá, D.C., Bogotá, Bogotá, D.C.</t>
  </si>
  <si>
    <t>4.596246753764753, -74.13533808845139</t>
  </si>
  <si>
    <t>Maria Magdalena Saavedra</t>
  </si>
  <si>
    <t>Calle 69asur #104 18 recreo de San Ignacio casa 243</t>
  </si>
  <si>
    <t>4.638481988215988, -74.20358390627841</t>
  </si>
  <si>
    <t>María Paula Buchely Jiménez</t>
  </si>
  <si>
    <t>carrera 65 número 103 - 52 porto bello 2 Apt 1203-4.692169, -74.067734</t>
  </si>
  <si>
    <t>4.692356534366625, -74.06797926637209</t>
  </si>
  <si>
    <t>Maria Rosa Gallego</t>
  </si>
  <si>
    <t>calle 98 # 68-63 apto 1103 torre 3</t>
  </si>
  <si>
    <t>4.688796580312861, -74.07458367559103</t>
  </si>
  <si>
    <t>mariana jimenez</t>
  </si>
  <si>
    <t>monteria</t>
  </si>
  <si>
    <t>Maribel Vidal</t>
  </si>
  <si>
    <t>Cra 73A 168-91 casa 31 portales de el norte 1 manzana 4</t>
  </si>
  <si>
    <t>4.7525178526431375, -74.06570307260061</t>
  </si>
  <si>
    <t xml:space="preserve">Marina Higuera </t>
  </si>
  <si>
    <t>Carrera 17a #175-82 Torre1 Apto802 Conjunto Mirador de la Alameda Bogota</t>
  </si>
  <si>
    <t>4.756255057391694, -74.03835844812696</t>
  </si>
  <si>
    <t>Martha Cecilia Romero</t>
  </si>
  <si>
    <t>Calle 74a #97-04</t>
  </si>
  <si>
    <t>4.705227534220869, -74.11309403225496</t>
  </si>
  <si>
    <t>Martha Salgado pet o vet</t>
  </si>
  <si>
    <t>Cra 71d # 3-18</t>
  </si>
  <si>
    <t>4.6261043791708385, -74.13653546127631</t>
  </si>
  <si>
    <t>Mauricio Antonio Bernal Torre</t>
  </si>
  <si>
    <t>Calle 86a 49c 18</t>
  </si>
  <si>
    <t>4.676918095640377, -74.06597773292691</t>
  </si>
  <si>
    <t>Mauricio Valero</t>
  </si>
  <si>
    <t>Calle 11 No 33-250 etapa 3 casa 61 Conjunto Residencial La Toscana</t>
  </si>
  <si>
    <t>Mauricio Vargas 270</t>
  </si>
  <si>
    <t>Carrera 78K # 0 59 Bloque K40 apto 502- MAPS  4.629449, -74.148735</t>
  </si>
  <si>
    <t>4.629382247652597, -74.14875553944059</t>
  </si>
  <si>
    <t>Mauricio Vargas 350</t>
  </si>
  <si>
    <t>Maye Delgado</t>
  </si>
  <si>
    <t>calle 70 #97-40 casa 138, barrio alamos norte, conjunto residencial plazuelas de alamos 2</t>
  </si>
  <si>
    <t>4.6996967505875284, -74.11762789029906</t>
  </si>
  <si>
    <t>Melissa Ortiz</t>
  </si>
  <si>
    <t>Carrera 46 # 22A 27, apartamento 602, Edificio Nancy</t>
  </si>
  <si>
    <t>4.634978486104471, -74.09700613696569</t>
  </si>
  <si>
    <t>Mercedes Paez</t>
  </si>
  <si>
    <t>Diagonal 46 sur #52a 94, Drogueria henrys</t>
  </si>
  <si>
    <t>4.593527793033712, -74.13656636841732</t>
  </si>
  <si>
    <t>Miguel David Avellaneda Mendoza</t>
  </si>
  <si>
    <t>Carrera 64#68-19 Ap 202 Barrio San Fernando Occidental</t>
  </si>
  <si>
    <t>4.674265006443609, -74.08330358725438</t>
  </si>
  <si>
    <t>Miguel torres</t>
  </si>
  <si>
    <t>Calle 6c # 72 b 45 int 7 apto 401</t>
  </si>
  <si>
    <t>Milena Castillo</t>
  </si>
  <si>
    <t>calle 59 sur madalena urapanes</t>
  </si>
  <si>
    <t>4.5943899745748995, -74.15481964232745</t>
  </si>
  <si>
    <t>Milena Roldan</t>
  </si>
  <si>
    <t>Calle 38 D #72Q-06 sur  casa esquina verde /3er piso</t>
  </si>
  <si>
    <t>4.614849806182161, -74.14832118425504</t>
  </si>
  <si>
    <t xml:space="preserve">Mireya Gaitán </t>
  </si>
  <si>
    <t>Kra 102b #151/15 apto 1308 Torre 2 Conjunto residencial yakali</t>
  </si>
  <si>
    <t>Monica Calderon Urrego</t>
  </si>
  <si>
    <t>Cra. 18#15-36 T2 apto 1912, Torre Estación</t>
  </si>
  <si>
    <t>4.608045701891649, -74.08196817511796</t>
  </si>
  <si>
    <t>Monica Rodriguez  Márquez</t>
  </si>
  <si>
    <t>Calle 149 #50-17 apto  207 edificio ombu</t>
  </si>
  <si>
    <t>Mónica Romero</t>
  </si>
  <si>
    <t>carrera 136 a # 145-31 Inter 127</t>
  </si>
  <si>
    <t>4.755450303550137, -74.10973373348429</t>
  </si>
  <si>
    <t>Nancy Romero</t>
  </si>
  <si>
    <t xml:space="preserve">Calle 47A sur # 29-20 Barrio CLARET </t>
  </si>
  <si>
    <t>4.584531751895948, -74.13032365430328</t>
  </si>
  <si>
    <t>Narda Mendez</t>
  </si>
  <si>
    <t>Trv 70D bis A 68-75 sur T2 Apto 2404</t>
  </si>
  <si>
    <t>4.586313219453256, -74.16126460408648</t>
  </si>
  <si>
    <t>Natalia Duran</t>
  </si>
  <si>
    <t>Calle 70 #25-15</t>
  </si>
  <si>
    <t>4.66093711599299, -74.06956752162189</t>
  </si>
  <si>
    <t>Nayiver Rincon Diaz</t>
  </si>
  <si>
    <t>Calle 89#95b-08 int. 106</t>
  </si>
  <si>
    <t>4.715644230686625, -74.10161930341928</t>
  </si>
  <si>
    <t>Neidy Kekhan Reyes</t>
  </si>
  <si>
    <t>Calle 43a sur #72g-74 casa 62</t>
  </si>
  <si>
    <t>4.602926974313372, -74.14856830627855</t>
  </si>
  <si>
    <t>Nestor Gonzalez</t>
  </si>
  <si>
    <t>Calle 23a#83-25 Apto 408 modelia MAPS-4°40'03.5"N 74°07'34.0"W</t>
  </si>
  <si>
    <t>4.667652061988113, -74.12611472264274</t>
  </si>
  <si>
    <t>Nestor Guzman</t>
  </si>
  <si>
    <t>AC 32 13-83 T 6 apt 1404 Conjunti Residencial Bávaro</t>
  </si>
  <si>
    <t>Nestor Valderrama</t>
  </si>
  <si>
    <t>Calle 32 # 13-52 apto 1304 torre 1 en caja</t>
  </si>
  <si>
    <t>4.619120860860289, -74.06902158645543</t>
  </si>
  <si>
    <t>Nicol rico</t>
  </si>
  <si>
    <t>cra 70c # 55r-75 torre 3 1401</t>
  </si>
  <si>
    <t>NOHORA PADILLA hellen 60</t>
  </si>
  <si>
    <t>KR 85L 63f-10 casa 118</t>
  </si>
  <si>
    <t>4.684314298788494, -74.1121750465771</t>
  </si>
  <si>
    <t>Nubia Constanza Rodriguez</t>
  </si>
  <si>
    <t>Carrera 20 83 a 25 portería barrio el Polo</t>
  </si>
  <si>
    <t>4.671926409759139, -74.06029231536252</t>
  </si>
  <si>
    <t>Nubia Galindo</t>
  </si>
  <si>
    <t>Paola Andrea Ossa</t>
  </si>
  <si>
    <t xml:space="preserve">Av Villavicencio #53 A- 75 </t>
  </si>
  <si>
    <t>4.6036982029200475, -74.16220866251274</t>
  </si>
  <si>
    <t>Paola Franco 100</t>
  </si>
  <si>
    <t>CALLE 33A SUR # 73d -39 casa esquinera apto 201</t>
  </si>
  <si>
    <t>4.623415943633715, -74.14622520896391</t>
  </si>
  <si>
    <t>Paola Franco 350</t>
  </si>
  <si>
    <t>Call 9 C Bis No. 68g 29 Reserva de las americas etapa 2 torre 2 Apto 503</t>
  </si>
  <si>
    <t>Paola González 124</t>
  </si>
  <si>
    <t>calle 54A # 78f - 51 sur casa esquinera  gris</t>
  </si>
  <si>
    <t>4.610542695354071, -74.16995679047922</t>
  </si>
  <si>
    <t>Paola González 160</t>
  </si>
  <si>
    <t>Paola Torres Silva</t>
  </si>
  <si>
    <t>torres de bellavista t4 1005</t>
  </si>
  <si>
    <t>Patricia Esguerra Velo 75</t>
  </si>
  <si>
    <t>vereda Rio Frio Occidental Finca Santa Clara. Interrapidisimo</t>
  </si>
  <si>
    <t>Patricia Esguerra Velo 85</t>
  </si>
  <si>
    <t>Patricia Lopez</t>
  </si>
  <si>
    <t>Calle 167 74-32, Takali de piedemonte, Torre 4 313</t>
  </si>
  <si>
    <t>Patricia Lopez Coco</t>
  </si>
  <si>
    <t>Patricia Lopez Polly</t>
  </si>
  <si>
    <t>Plastico empresariales</t>
  </si>
  <si>
    <t>Ricardo Andrés Paredes G</t>
  </si>
  <si>
    <t>Carrera 87a #53-42 sur apto 102. Bosa Chicala</t>
  </si>
  <si>
    <t>4.682566227942207, -74.15720183225503</t>
  </si>
  <si>
    <t>Ricardo Blanco 110</t>
  </si>
  <si>
    <t>CRA 103b-73-73 Bogotá</t>
  </si>
  <si>
    <t>4.70750514083432, -74.11759347744223</t>
  </si>
  <si>
    <t xml:space="preserve">Ricardo Mayorga </t>
  </si>
  <si>
    <t>Cra 85a 89 20</t>
  </si>
  <si>
    <t>Richard Rincón dobby</t>
  </si>
  <si>
    <t>Carrera 85D # 46A-38</t>
  </si>
  <si>
    <t>Richard Rincón Gema</t>
  </si>
  <si>
    <t>Richard Rincón tonny</t>
  </si>
  <si>
    <t>Richard Rincón Ugo</t>
  </si>
  <si>
    <t>Rigoberto londoño</t>
  </si>
  <si>
    <t>Casa 50 urapanes</t>
  </si>
  <si>
    <t>Rocio Linares</t>
  </si>
  <si>
    <t>Calle 42 g sur 74 30 Torre 1 Apto 810</t>
  </si>
  <si>
    <t>4.6110590835036644, -74.15820403278772</t>
  </si>
  <si>
    <t xml:space="preserve">Ronald Cruz </t>
  </si>
  <si>
    <t>Carrera21a#64-90sur</t>
  </si>
  <si>
    <t>Sandra Galvis</t>
  </si>
  <si>
    <t>carrera 73 a # 167-91 casa 25 conjunto portales del norte 1 manzana 4</t>
  </si>
  <si>
    <t>Sandra Lucia Muñoz Mosquera</t>
  </si>
  <si>
    <t>Carrera 78 11 C 21 Bosques de Alsacia ApTto 603 Torre 3</t>
  </si>
  <si>
    <t>4.64783964035972, -74.13505818478414</t>
  </si>
  <si>
    <t>Sandra Milena Lara García</t>
  </si>
  <si>
    <t xml:space="preserve"> Calle 44C # 45 53 int. 4 apto 201, Rafael Núñez, primera etapa. Bogotá Colombia</t>
  </si>
  <si>
    <t>4.642432048009622, -74.08868726930255</t>
  </si>
  <si>
    <t>Sandra Milena Sandoval Osorio</t>
  </si>
  <si>
    <t>Carrera 87c#69a-80sur Colegio mixto villa Carolina</t>
  </si>
  <si>
    <t>Sandra milena villamizar 180</t>
  </si>
  <si>
    <t>Kr 85L #63f-10 Casa 7</t>
  </si>
  <si>
    <t>Sandra milena villamizar 60</t>
  </si>
  <si>
    <t>Sandra Romero</t>
  </si>
  <si>
    <t>Calle 6c 82a-91 Conjunto aralia de Castilla Apartamento 1201 torre 5</t>
  </si>
  <si>
    <t>4.64222062444922, -74.15375246465743</t>
  </si>
  <si>
    <t>Sandra Sotelo</t>
  </si>
  <si>
    <t>Calle 6 # 1A-102E, Torre 14 Apto 301, Conjunto residencial El Solar, Madrid, Cundinamarca-MAPS 4.725965, -74.257071</t>
  </si>
  <si>
    <t>4.726259188241475, -74.25705982415317</t>
  </si>
  <si>
    <t>Sandra Yaneth Beltrán Vera 115</t>
  </si>
  <si>
    <t>Clle 6b #81b-51 torre 3 , apto 409, conjunto tierra del sol</t>
  </si>
  <si>
    <t>4.639292424886029, -74.15340283511436</t>
  </si>
  <si>
    <t>Santiago Medina Vega</t>
  </si>
  <si>
    <t>Calle 22 b #63-24 conjunto el refugio torre 5 apto 402</t>
  </si>
  <si>
    <t>4.6449741226887165, -74.1049758972419</t>
  </si>
  <si>
    <t>Sara Sanabria 100</t>
  </si>
  <si>
    <t>Calle 22b #54-21 Conjunto residencial reserva del salitre 6-403</t>
  </si>
  <si>
    <t>4.639698901396669, -74.10112141947207</t>
  </si>
  <si>
    <t>Sara Sanabria 234</t>
  </si>
  <si>
    <t>Saraya Bonilla Lozada</t>
  </si>
  <si>
    <t>Carrera 16 #28a-38 apto 401</t>
  </si>
  <si>
    <t>4.617521188491324, -74.07321654698045</t>
  </si>
  <si>
    <t>Sebastian Alfonso Martin VS</t>
  </si>
  <si>
    <t>Cra 68b # 96-70 Torre 4 Apto 903</t>
  </si>
  <si>
    <t>4.6882055423928035, -74.07520210594326</t>
  </si>
  <si>
    <t>Sergio cañon</t>
  </si>
  <si>
    <t>Calle 12a # 71c-61 torre 15 apto 403</t>
  </si>
  <si>
    <t>4.642703168943996, -74.12975927298073</t>
  </si>
  <si>
    <t>Simon Guillermo La Torre Buitrago</t>
  </si>
  <si>
    <t xml:space="preserve">calle 22d #72-41 Conjunto residencial la cascada torre 2 apto 401 </t>
  </si>
  <si>
    <t>4.658845010241058, -74.1192486638704</t>
  </si>
  <si>
    <t>Sofia Poveda</t>
  </si>
  <si>
    <t>Condominios tierra buena etapa I, Carrera 97f #34a sur-30Interior 58 apto 202, frente a la Drogeria Conder TB</t>
  </si>
  <si>
    <t>4.650554613850914, -74.1723172197738</t>
  </si>
  <si>
    <t>SPA VETERINARIO SMOKY pet o vet</t>
  </si>
  <si>
    <t>Calle 60a #65-2 Madelena</t>
  </si>
  <si>
    <t>4.592933694301946, -74.15596074593147</t>
  </si>
  <si>
    <t>Sthephany Ortiz</t>
  </si>
  <si>
    <t>Carrera 74#152b-70
Conjunto residencial natura living 
Torre 1 apto 310</t>
  </si>
  <si>
    <t>4.742889581747047, -74.06880832730717</t>
  </si>
  <si>
    <t>Sthephany Ortiz 90</t>
  </si>
  <si>
    <t>Tatiana Quitian</t>
  </si>
  <si>
    <t xml:space="preserve">Cra 131 No 132b 38 </t>
  </si>
  <si>
    <t>4.742861701207069, -74.11349669361789</t>
  </si>
  <si>
    <t>Tatiana Urrea Obando 165</t>
  </si>
  <si>
    <t>Calle 52a sur 77k 35 piso 1 puerta garaje</t>
  </si>
  <si>
    <t>4.606191929395528, -74.16850673066534</t>
  </si>
  <si>
    <t>Tatiana Urrea Obando 75</t>
  </si>
  <si>
    <t xml:space="preserve">Valentina Oviedo </t>
  </si>
  <si>
    <t>Carrera 53#134A-71, edificio capinuri apto 203</t>
  </si>
  <si>
    <t>Valentina Perez Uribe 240</t>
  </si>
  <si>
    <t>Calle 18 # 67-74 Prados de Mallorca apto 214 la hacienda cali</t>
  </si>
  <si>
    <t>Valentina Perez Uribe 265</t>
  </si>
  <si>
    <t>Vanesa Montoya</t>
  </si>
  <si>
    <t>Cra 69 # 105-28 casa 28k Barrio la floresta</t>
  </si>
  <si>
    <t>4.693901366659413, -74.07117479045719</t>
  </si>
  <si>
    <t xml:space="preserve">Vanesa Sanchez </t>
  </si>
  <si>
    <t xml:space="preserve"> transversal 74 A#81F12. Barrio minuto de dios</t>
  </si>
  <si>
    <t>Vanesa Sanchez alicante de suba</t>
  </si>
  <si>
    <t>Calle  144c # 141a - 48 bloque 8 casa 3, alicante de suba</t>
  </si>
  <si>
    <t>4.753501044342211, -74.11295169079612</t>
  </si>
  <si>
    <t>Vanesa Sanchez santa margarita</t>
  </si>
  <si>
    <t>calle 104 b # 47 a - 29 Apto. 406 Edificio Balcones de Santa Margarita</t>
  </si>
  <si>
    <t>4.692966417015601, -74.05906776394997</t>
  </si>
  <si>
    <t>variplast</t>
  </si>
  <si>
    <t>Veronica Buendia 150</t>
  </si>
  <si>
    <t>carrera 119# 77-50 Rincon de Granada 7. Apto 103 torre 1</t>
  </si>
  <si>
    <t>4.7214851273150655, -74.1306274483296</t>
  </si>
  <si>
    <t>Veronica Ruiz 250</t>
  </si>
  <si>
    <t>305 8888999</t>
  </si>
  <si>
    <t xml:space="preserve">Cra. 67 #65-22 sur  torre 16 462 Caminos de san jorge </t>
  </si>
  <si>
    <t>4.588565273291484, -74.15703227476784</t>
  </si>
  <si>
    <t>Victoria Olano</t>
  </si>
  <si>
    <t>urapanes</t>
  </si>
  <si>
    <t>Viviana Solorzano Lia</t>
  </si>
  <si>
    <t>Ak 68 #5 -17 torre 6 apto 2028 portoamericas</t>
  </si>
  <si>
    <t>Wilton Arley Castro Lopez</t>
  </si>
  <si>
    <t>carrera 7 no 27 - 75 soacha san mateo</t>
  </si>
  <si>
    <t>4.585704562347466, -74.20804021929233</t>
  </si>
  <si>
    <t>Ximena Hernandez Hernandez</t>
  </si>
  <si>
    <t>Cra 83 #145-77 apto 202 Torre 5 Conjunto Altamonte MAPS4.736189, -74.079853</t>
  </si>
  <si>
    <t>4.735875587453905, -74.07932556843542</t>
  </si>
  <si>
    <t xml:space="preserve">Yaneth Ceron </t>
  </si>
  <si>
    <t xml:space="preserve">Carrera 49A número 15-40 Apto 302 TorreA Conjunto altos de la Macarena Barrio las granjas </t>
  </si>
  <si>
    <t>3.4071275360391904, -76.52720640443523</t>
  </si>
  <si>
    <t>Yarissa Perea motato</t>
  </si>
  <si>
    <t>CARRERA 10#89-29 EDIFICIO NEOS APTO 603</t>
  </si>
  <si>
    <t>4.671717212577802, -74.04846593463184</t>
  </si>
  <si>
    <t>Yeimmy Johanna Esteban</t>
  </si>
  <si>
    <t>Calle 49b sur #9A94 torre 1 204</t>
  </si>
  <si>
    <t>4.559647087936828, -74.11843526891333</t>
  </si>
  <si>
    <t xml:space="preserve">Yeimy cadena </t>
  </si>
  <si>
    <t>Cll 52 sur #95a30 Bosa porvenir Conjunto Terranova Diagonal universidad distrital</t>
  </si>
  <si>
    <t>4.639679, -74.186546</t>
  </si>
  <si>
    <t>Yeiny Pinzon 180</t>
  </si>
  <si>
    <t>Calle 148 # 7b 22 casa</t>
  </si>
  <si>
    <t>4.724674786463461, -74.0270814978259</t>
  </si>
  <si>
    <t>Yeiny Pinzon 50</t>
  </si>
  <si>
    <t>Yeison Peñuela</t>
  </si>
  <si>
    <t>Cra 12 # 146-44 Apto 104</t>
  </si>
  <si>
    <t>Yilmary Hernandez</t>
  </si>
  <si>
    <t>carrera 91 # 22B-34 barrio Capellania</t>
  </si>
  <si>
    <t>Yolanda Fernández</t>
  </si>
  <si>
    <t>Calle 23 A #58-40 apto 203 torre 4 conjunto residencial Loira real</t>
  </si>
  <si>
    <t>4.642974361568187, -74.10242405541936</t>
  </si>
  <si>
    <t>Yolanda Matiz Vasquez</t>
  </si>
  <si>
    <t>CRA 105 # 238-55 Hacienda San Sebastián Agrupación Las Begonias - Casa 10.</t>
  </si>
  <si>
    <t>4.821851175965991, -74.05693922658263</t>
  </si>
  <si>
    <t>Yury Mora</t>
  </si>
  <si>
    <t>torres de bellavista, t3 apto1405</t>
  </si>
  <si>
    <t>Zharith Meliza Velandia Hernández</t>
  </si>
  <si>
    <t>Calle 43sur #68h 69 barrio villa nueva</t>
  </si>
  <si>
    <t>4.601317904569977, -74.14289464544176</t>
  </si>
  <si>
    <t>Zippol</t>
  </si>
  <si>
    <t>4.611824489469801, -74.13854213278778</t>
  </si>
  <si>
    <t>Dog Sano Katerin liz 200</t>
  </si>
  <si>
    <t>Carrera38#10a_206, torre 5 6018 soacha ciudad verde Conjunto cala</t>
  </si>
  <si>
    <t>4.609821160362725, -74.22642193225545</t>
  </si>
  <si>
    <t>Gonzalo Tellez Oviedo</t>
  </si>
  <si>
    <t>Avenida calle 183 # 8a -10 Torre A Apartamento 403</t>
  </si>
  <si>
    <t>saldo abandonado</t>
  </si>
  <si>
    <t>Intereses</t>
  </si>
  <si>
    <t>andrea fuquene</t>
  </si>
  <si>
    <t>Carrera 14B # 163-29 parque del Samán apto 1202</t>
  </si>
  <si>
    <t>ivonne Ávila</t>
  </si>
  <si>
    <t>calle 65 sur # 68 c -30 Madelena 2 casa 24</t>
  </si>
  <si>
    <t>Anizoara Morales Diaz 160</t>
  </si>
  <si>
    <t>diana homez</t>
  </si>
  <si>
    <t>cra 67 # 57R - 05 sur, Madelena conjunto Ankara</t>
  </si>
  <si>
    <t xml:space="preserve">Liseth Daniela Jimenez </t>
  </si>
  <si>
    <t>Cra 10 # 8 09 en La Calera Cundinamarca</t>
  </si>
  <si>
    <t>4.724458312482748, -73.97173966904953</t>
  </si>
  <si>
    <t>dennis escobar</t>
  </si>
  <si>
    <t>Cra 26 #46c -67 Refugio del virrey pH 501</t>
  </si>
  <si>
    <t>Kristell Escobar</t>
  </si>
  <si>
    <t>transversal 88B#23D-81 torre 2 apartamento 403 conjunto modelia real</t>
  </si>
  <si>
    <t>SALDO</t>
  </si>
  <si>
    <t>DEUDA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</si>
</sst>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dd/mm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4">
    <xf numFmtId="0" fontId="0" fillId="0" borderId="0" xfId="0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2" fillId="0" borderId="0" xfId="2" applyNumberFormat="1" applyFont="1" applyFill="1" applyBorder="1" applyAlignment="1">
      <alignment horizontal="left"/>
    </xf>
    <xf numFmtId="164" fontId="2" fillId="0" borderId="0" xfId="1" applyNumberFormat="1" applyFont="1" applyFill="1" applyBorder="1" applyAlignment="1">
      <alignment vertical="top"/>
    </xf>
    <xf numFmtId="164" fontId="2" fillId="0" borderId="0" xfId="1" applyNumberFormat="1" applyFont="1" applyFill="1" applyBorder="1" applyAlignment="1">
      <alignment horizontal="left"/>
    </xf>
    <xf numFmtId="14" fontId="3" fillId="2" borderId="0" xfId="0" applyNumberFormat="1" applyFont="1" applyFill="1" applyAlignment="1">
      <alignment horizontal="left"/>
    </xf>
    <xf numFmtId="0" fontId="0" fillId="2" borderId="0" xfId="0" applyFill="1"/>
    <xf numFmtId="1" fontId="3" fillId="2" borderId="0" xfId="0" applyNumberFormat="1" applyFont="1" applyFill="1" applyAlignment="1">
      <alignment horizontal="left" vertical="top"/>
    </xf>
    <xf numFmtId="0" fontId="1" fillId="2" borderId="0" xfId="0" applyFont="1" applyFill="1"/>
    <xf numFmtId="0" fontId="0" fillId="2" borderId="0" xfId="0" applyFill="1" applyAlignment="1">
      <alignment horizontal="left"/>
    </xf>
    <xf numFmtId="1" fontId="0" fillId="2" borderId="0" xfId="0" applyNumberFormat="1" applyFill="1" applyAlignment="1">
      <alignment horizontal="left"/>
    </xf>
    <xf numFmtId="0" fontId="3" fillId="2" borderId="0" xfId="0" applyFon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1" fontId="3" fillId="2" borderId="0" xfId="2" applyNumberFormat="1" applyFont="1" applyFill="1" applyBorder="1" applyAlignment="1">
      <alignment horizontal="left"/>
    </xf>
    <xf numFmtId="165" fontId="0" fillId="2" borderId="0" xfId="0" applyNumberFormat="1" applyFill="1" applyAlignment="1">
      <alignment horizontal="left"/>
    </xf>
    <xf numFmtId="164" fontId="0" fillId="2" borderId="0" xfId="0" applyNumberFormat="1" applyFill="1"/>
    <xf numFmtId="164" fontId="0" fillId="2" borderId="0" xfId="1" applyNumberFormat="1" applyFont="1" applyFill="1" applyBorder="1" applyAlignment="1">
      <alignment horizontal="left"/>
    </xf>
    <xf numFmtId="14" fontId="3" fillId="3" borderId="0" xfId="0" applyNumberFormat="1" applyFont="1" applyFill="1" applyAlignment="1">
      <alignment horizontal="left"/>
    </xf>
    <xf numFmtId="0" fontId="0" fillId="3" borderId="0" xfId="0" applyFill="1"/>
    <xf numFmtId="1" fontId="3" fillId="3" borderId="0" xfId="0" applyNumberFormat="1" applyFont="1" applyFill="1" applyAlignment="1">
      <alignment horizontal="left" vertical="top"/>
    </xf>
    <xf numFmtId="0" fontId="0" fillId="3" borderId="0" xfId="0" applyFill="1" applyAlignment="1">
      <alignment horizontal="left"/>
    </xf>
    <xf numFmtId="1" fontId="0" fillId="3" borderId="0" xfId="0" applyNumberFormat="1" applyFill="1" applyAlignment="1">
      <alignment horizontal="left"/>
    </xf>
    <xf numFmtId="164" fontId="0" fillId="3" borderId="0" xfId="0" applyNumberFormat="1" applyFill="1"/>
    <xf numFmtId="164" fontId="0" fillId="3" borderId="0" xfId="1" applyNumberFormat="1" applyFont="1" applyFill="1" applyBorder="1" applyAlignment="1">
      <alignment horizontal="left"/>
    </xf>
    <xf numFmtId="165" fontId="0" fillId="3" borderId="0" xfId="0" applyNumberFormat="1" applyFill="1" applyAlignment="1">
      <alignment horizontal="left"/>
    </xf>
    <xf numFmtId="164" fontId="3" fillId="2" borderId="0" xfId="1" applyNumberFormat="1" applyFont="1" applyFill="1" applyBorder="1" applyAlignment="1">
      <alignment horizontal="left"/>
    </xf>
    <xf numFmtId="164" fontId="0" fillId="3" borderId="0" xfId="1" applyNumberFormat="1" applyFont="1" applyFill="1"/>
    <xf numFmtId="164" fontId="3" fillId="3" borderId="0" xfId="1" applyNumberFormat="1" applyFont="1" applyFill="1" applyBorder="1" applyAlignment="1">
      <alignment horizontal="left"/>
    </xf>
    <xf numFmtId="0" fontId="1" fillId="3" borderId="0" xfId="0" applyFont="1" applyFill="1"/>
    <xf numFmtId="0" fontId="3" fillId="3" borderId="0" xfId="0" applyFont="1" applyFill="1" applyAlignment="1">
      <alignment horizontal="left"/>
    </xf>
    <xf numFmtId="1" fontId="3" fillId="3" borderId="0" xfId="0" applyNumberFormat="1" applyFont="1" applyFill="1" applyAlignment="1">
      <alignment horizontal="left"/>
    </xf>
    <xf numFmtId="1" fontId="3" fillId="3" borderId="0" xfId="2" applyNumberFormat="1" applyFont="1" applyFill="1" applyBorder="1" applyAlignment="1">
      <alignment horizontal="left"/>
    </xf>
    <xf numFmtId="0" fontId="0" fillId="2" borderId="0" xfId="0" applyFill="1" applyAlignment="1">
      <alignment wrapText="1"/>
    </xf>
    <xf numFmtId="14" fontId="4" fillId="3" borderId="0" xfId="0" applyNumberFormat="1" applyFont="1" applyFill="1" applyAlignment="1">
      <alignment horizontal="left"/>
    </xf>
    <xf numFmtId="0" fontId="5" fillId="3" borderId="0" xfId="0" applyFont="1" applyFill="1"/>
    <xf numFmtId="1" fontId="4" fillId="3" borderId="0" xfId="0" applyNumberFormat="1" applyFont="1" applyFill="1" applyAlignment="1">
      <alignment horizontal="left" vertical="top"/>
    </xf>
    <xf numFmtId="0" fontId="5" fillId="3" borderId="0" xfId="0" applyFont="1" applyFill="1" applyAlignment="1">
      <alignment horizontal="left"/>
    </xf>
    <xf numFmtId="1" fontId="5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1" fontId="4" fillId="3" borderId="0" xfId="0" applyNumberFormat="1" applyFont="1" applyFill="1" applyAlignment="1">
      <alignment horizontal="left"/>
    </xf>
    <xf numFmtId="1" fontId="4" fillId="3" borderId="0" xfId="2" applyNumberFormat="1" applyFont="1" applyFill="1" applyBorder="1" applyAlignment="1">
      <alignment horizontal="left"/>
    </xf>
    <xf numFmtId="165" fontId="5" fillId="3" borderId="0" xfId="0" applyNumberFormat="1" applyFont="1" applyFill="1" applyAlignment="1">
      <alignment horizontal="left"/>
    </xf>
    <xf numFmtId="164" fontId="5" fillId="3" borderId="0" xfId="0" applyNumberFormat="1" applyFont="1" applyFill="1"/>
    <xf numFmtId="164" fontId="5" fillId="3" borderId="0" xfId="1" applyNumberFormat="1" applyFont="1" applyFill="1" applyBorder="1" applyAlignment="1">
      <alignment horizontal="left"/>
    </xf>
    <xf numFmtId="14" fontId="3" fillId="4" borderId="0" xfId="0" applyNumberFormat="1" applyFont="1" applyFill="1" applyAlignment="1">
      <alignment horizontal="left"/>
    </xf>
    <xf numFmtId="0" fontId="0" fillId="4" borderId="0" xfId="0" applyFill="1"/>
    <xf numFmtId="1" fontId="3" fillId="4" borderId="0" xfId="0" applyNumberFormat="1" applyFont="1" applyFill="1" applyAlignment="1">
      <alignment horizontal="left" vertical="top"/>
    </xf>
    <xf numFmtId="0" fontId="0" fillId="4" borderId="0" xfId="0" applyFill="1" applyAlignment="1">
      <alignment horizontal="left"/>
    </xf>
    <xf numFmtId="1" fontId="0" fillId="4" borderId="0" xfId="0" applyNumberFormat="1" applyFill="1" applyAlignment="1">
      <alignment horizontal="left"/>
    </xf>
    <xf numFmtId="165" fontId="0" fillId="4" borderId="0" xfId="0" applyNumberFormat="1" applyFill="1" applyAlignment="1">
      <alignment horizontal="left"/>
    </xf>
    <xf numFmtId="164" fontId="0" fillId="4" borderId="0" xfId="0" applyNumberFormat="1" applyFill="1"/>
    <xf numFmtId="164" fontId="0" fillId="4" borderId="0" xfId="1" applyNumberFormat="1" applyFont="1" applyFill="1" applyBorder="1" applyAlignment="1">
      <alignment horizontal="left"/>
    </xf>
    <xf numFmtId="19" fontId="5" fillId="2" borderId="0" xfId="0" applyNumberFormat="1" applyFont="1" applyFill="1"/>
    <xf numFmtId="1" fontId="0" fillId="3" borderId="0" xfId="0" applyNumberFormat="1" applyFill="1"/>
    <xf numFmtId="1" fontId="3" fillId="4" borderId="0" xfId="0" applyNumberFormat="1" applyFont="1" applyFill="1" applyAlignment="1">
      <alignment horizontal="left"/>
    </xf>
    <xf numFmtId="1" fontId="3" fillId="4" borderId="0" xfId="2" applyNumberFormat="1" applyFont="1" applyFill="1" applyBorder="1" applyAlignment="1">
      <alignment horizontal="left"/>
    </xf>
    <xf numFmtId="0" fontId="6" fillId="2" borderId="0" xfId="0" applyFont="1" applyFill="1"/>
    <xf numFmtId="0" fontId="1" fillId="4" borderId="0" xfId="0" applyFont="1" applyFill="1"/>
    <xf numFmtId="0" fontId="3" fillId="4" borderId="0" xfId="0" applyFont="1" applyFill="1" applyAlignment="1">
      <alignment horizontal="left"/>
    </xf>
    <xf numFmtId="1" fontId="0" fillId="2" borderId="0" xfId="0" applyNumberFormat="1" applyFill="1"/>
    <xf numFmtId="164" fontId="2" fillId="3" borderId="0" xfId="0" applyNumberFormat="1" applyFont="1" applyFill="1"/>
    <xf numFmtId="14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 vertical="top"/>
    </xf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" fontId="3" fillId="0" borderId="0" xfId="2" applyNumberFormat="1" applyFont="1" applyFill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0" borderId="0" xfId="0" applyNumberFormat="1"/>
    <xf numFmtId="164" fontId="0" fillId="0" borderId="0" xfId="1" applyNumberFormat="1" applyFont="1" applyFill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" xfId="0" applyBorder="1"/>
    <xf numFmtId="164" fontId="3" fillId="0" borderId="0" xfId="1" applyNumberFormat="1" applyFont="1" applyFill="1" applyBorder="1" applyAlignment="1">
      <alignment horizontal="left"/>
    </xf>
    <xf numFmtId="43" fontId="0" fillId="0" borderId="0" xfId="1" applyFont="1"/>
    <xf numFmtId="43" fontId="2" fillId="0" borderId="0" xfId="1" applyFont="1"/>
    <xf numFmtId="43" fontId="0" fillId="0" borderId="0" xfId="0" applyNumberFormat="1" applyFont="1"/>
    <xf numFmtId="0" fontId="0" fillId="3" borderId="0" xfId="0" applyFill="1" applyBorder="1"/>
    <xf numFmtId="0" fontId="0" fillId="2" borderId="1" xfId="0" applyFill="1" applyBorder="1" applyAlignment="1">
      <alignment horizontal="left"/>
    </xf>
  </cellXfs>
  <cellStyles count="3">
    <cellStyle name="Millares" xfId="1" builtinId="3"/>
    <cellStyle name="Millares [0]" xfId="2" builtinId="6"/>
    <cellStyle name="Normal" xfId="0" builtinId="0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</dxf>
    <dxf>
      <numFmt numFmtId="164" formatCode="_-* #,##0_-;\-* #,##0_-;_-* &quot;-&quot;??_-;_-@_-"/>
      <alignment horizontal="left" vertical="bottom" textRotation="0" wrapText="0" indent="0" justifyLastLine="0" shrinkToFit="0" readingOrder="0"/>
    </dxf>
    <dxf>
      <numFmt numFmtId="164" formatCode="_-* #,##0_-;\-* #,##0_-;_-* &quot;-&quot;??_-;_-@_-"/>
    </dxf>
    <dxf>
      <alignment horizontal="left" vertical="bottom" textRotation="0" wrapText="0" indent="0" justifyLastLine="0" shrinkToFit="0" readingOrder="0"/>
    </dxf>
    <dxf>
      <numFmt numFmtId="165" formatCode="dd/mm/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/mm/yyyy"/>
      <alignment horizontal="left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numFmt numFmtId="0" formatCode="General"/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65" formatCode="dd/mm/yyyy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rgb="FF000000"/>
        </left>
      </border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ervidor\chefibio\ARCHIVOS%202026\OPERACI&#211;N\PORCIONADA\PORCIONADA%202026.xlsx" TargetMode="External"/><Relationship Id="rId1" Type="http://schemas.openxmlformats.org/officeDocument/2006/relationships/externalLinkPath" Target="OPERACI&#211;N/PORCIONADA/PORCIONADA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s"/>
      <sheetName val="maestro"/>
      <sheetName val="Clientes activos"/>
      <sheetName val="codigo de barras"/>
      <sheetName val="Clientes Inactivos"/>
    </sheetNames>
    <sheetDataSet>
      <sheetData sheetId="0"/>
      <sheetData sheetId="1">
        <row r="1">
          <cell r="B1" t="str">
            <v>FECHA</v>
          </cell>
          <cell r="I1" t="str">
            <v>TELEFONO</v>
          </cell>
        </row>
        <row r="2">
          <cell r="B2"/>
          <cell r="I2" t="str">
            <v/>
          </cell>
        </row>
        <row r="3">
          <cell r="B3" t="str">
            <v>FECHA</v>
          </cell>
          <cell r="I3" t="str">
            <v>TELEFONO</v>
          </cell>
        </row>
        <row r="4">
          <cell r="B4">
            <v>46034</v>
          </cell>
          <cell r="I4">
            <v>3223073853</v>
          </cell>
        </row>
        <row r="5">
          <cell r="B5">
            <v>46034</v>
          </cell>
          <cell r="I5">
            <v>3157943245</v>
          </cell>
        </row>
        <row r="6">
          <cell r="B6">
            <v>46034</v>
          </cell>
          <cell r="I6">
            <v>3223073853</v>
          </cell>
        </row>
        <row r="7">
          <cell r="B7">
            <v>46034</v>
          </cell>
          <cell r="I7">
            <v>3102701974</v>
          </cell>
        </row>
        <row r="8">
          <cell r="B8">
            <v>46034</v>
          </cell>
          <cell r="I8">
            <v>3003622282</v>
          </cell>
        </row>
        <row r="9">
          <cell r="B9">
            <v>46034</v>
          </cell>
          <cell r="I9">
            <v>3170661732</v>
          </cell>
        </row>
        <row r="10">
          <cell r="B10">
            <v>46034</v>
          </cell>
          <cell r="I10">
            <v>3187283298</v>
          </cell>
        </row>
        <row r="11">
          <cell r="B11">
            <v>46034</v>
          </cell>
          <cell r="I11">
            <v>3157943245</v>
          </cell>
        </row>
        <row r="12">
          <cell r="B12">
            <v>46034</v>
          </cell>
          <cell r="I12">
            <v>3043765289</v>
          </cell>
        </row>
        <row r="13">
          <cell r="B13">
            <v>46034</v>
          </cell>
          <cell r="I13">
            <v>3157943245</v>
          </cell>
        </row>
        <row r="14">
          <cell r="B14">
            <v>46034</v>
          </cell>
          <cell r="I14">
            <v>3204477576</v>
          </cell>
        </row>
        <row r="15">
          <cell r="B15">
            <v>46034</v>
          </cell>
          <cell r="I15">
            <v>3205179480</v>
          </cell>
        </row>
        <row r="16">
          <cell r="B16">
            <v>46034</v>
          </cell>
          <cell r="I16">
            <v>3118438157</v>
          </cell>
        </row>
        <row r="17">
          <cell r="B17">
            <v>46034</v>
          </cell>
          <cell r="I17">
            <v>3166198371</v>
          </cell>
        </row>
        <row r="18">
          <cell r="B18">
            <v>46034</v>
          </cell>
          <cell r="I18">
            <v>3134939137</v>
          </cell>
        </row>
        <row r="19">
          <cell r="B19">
            <v>46034</v>
          </cell>
          <cell r="I19">
            <v>3027051451</v>
          </cell>
        </row>
        <row r="20">
          <cell r="B20">
            <v>46034</v>
          </cell>
          <cell r="I20">
            <v>3223747738</v>
          </cell>
        </row>
        <row r="21">
          <cell r="B21">
            <v>46034</v>
          </cell>
          <cell r="I21">
            <v>3157943245</v>
          </cell>
        </row>
        <row r="22">
          <cell r="B22">
            <v>46034</v>
          </cell>
          <cell r="I22">
            <v>3222505832</v>
          </cell>
        </row>
        <row r="23">
          <cell r="B23">
            <v>46034</v>
          </cell>
          <cell r="I23">
            <v>3144130865</v>
          </cell>
        </row>
        <row r="24">
          <cell r="B24">
            <v>46034</v>
          </cell>
          <cell r="I24">
            <v>3134339849</v>
          </cell>
        </row>
        <row r="25">
          <cell r="B25">
            <v>46034</v>
          </cell>
          <cell r="I25">
            <v>3134339849</v>
          </cell>
        </row>
        <row r="26">
          <cell r="B26">
            <v>46034</v>
          </cell>
          <cell r="I26" t="str">
            <v>313 8013032</v>
          </cell>
        </row>
        <row r="27">
          <cell r="B27">
            <v>46034</v>
          </cell>
          <cell r="I27">
            <v>3208834012</v>
          </cell>
        </row>
        <row r="28">
          <cell r="B28">
            <v>46034</v>
          </cell>
          <cell r="I28">
            <v>3208834012</v>
          </cell>
        </row>
        <row r="29">
          <cell r="B29">
            <v>46034</v>
          </cell>
          <cell r="I29">
            <v>3133420908</v>
          </cell>
        </row>
        <row r="30">
          <cell r="B30">
            <v>46034</v>
          </cell>
          <cell r="I30">
            <v>3112877626</v>
          </cell>
        </row>
        <row r="31">
          <cell r="B31">
            <v>46034</v>
          </cell>
          <cell r="I31">
            <v>3123733590</v>
          </cell>
        </row>
        <row r="32">
          <cell r="B32">
            <v>46034</v>
          </cell>
          <cell r="I32">
            <v>3157943245</v>
          </cell>
        </row>
        <row r="33">
          <cell r="B33">
            <v>46034</v>
          </cell>
          <cell r="I33">
            <v>3106892868</v>
          </cell>
        </row>
        <row r="34">
          <cell r="B34">
            <v>46034</v>
          </cell>
          <cell r="I34">
            <v>3138503358</v>
          </cell>
        </row>
        <row r="35">
          <cell r="B35">
            <v>46034</v>
          </cell>
          <cell r="I35">
            <v>3123733590</v>
          </cell>
        </row>
        <row r="36">
          <cell r="B36">
            <v>46034</v>
          </cell>
          <cell r="I36">
            <v>3003622282</v>
          </cell>
        </row>
        <row r="37">
          <cell r="B37">
            <v>46034</v>
          </cell>
          <cell r="I37">
            <v>3183623443</v>
          </cell>
        </row>
        <row r="38">
          <cell r="B38">
            <v>46034</v>
          </cell>
          <cell r="I38">
            <v>3232336182</v>
          </cell>
        </row>
        <row r="39">
          <cell r="B39">
            <v>46034</v>
          </cell>
          <cell r="I39">
            <v>3232336182</v>
          </cell>
        </row>
        <row r="40">
          <cell r="B40">
            <v>46034</v>
          </cell>
          <cell r="I40">
            <v>3154842369</v>
          </cell>
        </row>
        <row r="41">
          <cell r="B41">
            <v>46034</v>
          </cell>
          <cell r="I41">
            <v>3154842369</v>
          </cell>
        </row>
        <row r="42">
          <cell r="B42">
            <v>46034</v>
          </cell>
          <cell r="I42">
            <v>3124298893</v>
          </cell>
        </row>
        <row r="43">
          <cell r="B43">
            <v>46034</v>
          </cell>
          <cell r="I43">
            <v>3007205916</v>
          </cell>
        </row>
        <row r="44">
          <cell r="B44">
            <v>46034</v>
          </cell>
          <cell r="I44" t="e">
            <v>#N/A</v>
          </cell>
        </row>
        <row r="45">
          <cell r="B45">
            <v>46034</v>
          </cell>
          <cell r="I45">
            <v>3218940510</v>
          </cell>
        </row>
        <row r="46">
          <cell r="B46">
            <v>46034</v>
          </cell>
          <cell r="I46">
            <v>3054066396</v>
          </cell>
        </row>
        <row r="47">
          <cell r="B47">
            <v>46034</v>
          </cell>
          <cell r="I47">
            <v>3054066396</v>
          </cell>
        </row>
        <row r="48">
          <cell r="B48">
            <v>46034</v>
          </cell>
          <cell r="I48">
            <v>3112675200</v>
          </cell>
        </row>
        <row r="49">
          <cell r="B49">
            <v>46034</v>
          </cell>
          <cell r="I49">
            <v>3225394262</v>
          </cell>
        </row>
        <row r="50">
          <cell r="B50">
            <v>46034</v>
          </cell>
          <cell r="I50">
            <v>3225394262</v>
          </cell>
        </row>
        <row r="51">
          <cell r="B51">
            <v>46034</v>
          </cell>
          <cell r="I51">
            <v>3225394262</v>
          </cell>
        </row>
        <row r="52">
          <cell r="B52">
            <v>46034</v>
          </cell>
          <cell r="I52">
            <v>3225394262</v>
          </cell>
        </row>
        <row r="53">
          <cell r="B53">
            <v>46034</v>
          </cell>
          <cell r="I53">
            <v>3225394262</v>
          </cell>
        </row>
        <row r="54">
          <cell r="B54">
            <v>46034</v>
          </cell>
          <cell r="I54">
            <v>3225394262</v>
          </cell>
        </row>
        <row r="55">
          <cell r="B55">
            <v>46034</v>
          </cell>
          <cell r="I55">
            <v>3123577008</v>
          </cell>
        </row>
        <row r="56">
          <cell r="B56">
            <v>46034</v>
          </cell>
          <cell r="I56">
            <v>3112199430</v>
          </cell>
        </row>
        <row r="57">
          <cell r="B57">
            <v>46034</v>
          </cell>
          <cell r="I57">
            <v>3017139465</v>
          </cell>
        </row>
        <row r="58">
          <cell r="B58">
            <v>46034</v>
          </cell>
          <cell r="I58">
            <v>3176485204</v>
          </cell>
        </row>
        <row r="59">
          <cell r="B59">
            <v>46035</v>
          </cell>
          <cell r="I59">
            <v>3017910738</v>
          </cell>
        </row>
        <row r="60">
          <cell r="B60">
            <v>46035</v>
          </cell>
          <cell r="I60">
            <v>3123176445</v>
          </cell>
        </row>
        <row r="61">
          <cell r="B61">
            <v>46035</v>
          </cell>
          <cell r="I61">
            <v>3229473612</v>
          </cell>
        </row>
        <row r="62">
          <cell r="B62">
            <v>46035</v>
          </cell>
          <cell r="I62">
            <v>3153084029</v>
          </cell>
        </row>
        <row r="63">
          <cell r="B63">
            <v>46035</v>
          </cell>
          <cell r="I63">
            <v>3046003432</v>
          </cell>
        </row>
        <row r="64">
          <cell r="B64">
            <v>46035</v>
          </cell>
          <cell r="I64">
            <v>3195945515</v>
          </cell>
        </row>
        <row r="65">
          <cell r="B65">
            <v>46035</v>
          </cell>
          <cell r="I65">
            <v>3017910738</v>
          </cell>
        </row>
        <row r="66">
          <cell r="B66">
            <v>46035</v>
          </cell>
          <cell r="I66">
            <v>3046003432</v>
          </cell>
        </row>
        <row r="67">
          <cell r="B67">
            <v>46035</v>
          </cell>
          <cell r="I67">
            <v>3153084029</v>
          </cell>
        </row>
        <row r="68">
          <cell r="B68">
            <v>46035</v>
          </cell>
          <cell r="I68">
            <v>3057202444</v>
          </cell>
        </row>
        <row r="69">
          <cell r="B69">
            <v>46035</v>
          </cell>
          <cell r="I69">
            <v>3123538879</v>
          </cell>
        </row>
        <row r="70">
          <cell r="B70">
            <v>46035</v>
          </cell>
          <cell r="I70">
            <v>3123538879</v>
          </cell>
        </row>
        <row r="71">
          <cell r="B71">
            <v>46035</v>
          </cell>
          <cell r="I71">
            <v>3183725754</v>
          </cell>
        </row>
        <row r="72">
          <cell r="B72">
            <v>46035</v>
          </cell>
          <cell r="I72">
            <v>3183725754</v>
          </cell>
        </row>
        <row r="73">
          <cell r="B73">
            <v>46035</v>
          </cell>
          <cell r="I73">
            <v>3046129451</v>
          </cell>
        </row>
        <row r="74">
          <cell r="B74">
            <v>46036</v>
          </cell>
          <cell r="I74">
            <v>3505658503</v>
          </cell>
        </row>
        <row r="75">
          <cell r="B75">
            <v>46036</v>
          </cell>
          <cell r="I75">
            <v>3203909420</v>
          </cell>
        </row>
        <row r="76">
          <cell r="B76">
            <v>46036</v>
          </cell>
          <cell r="I76">
            <v>3204743810</v>
          </cell>
        </row>
        <row r="77">
          <cell r="B77">
            <v>46036</v>
          </cell>
          <cell r="I77">
            <v>3108677744</v>
          </cell>
        </row>
        <row r="78">
          <cell r="B78">
            <v>46036</v>
          </cell>
          <cell r="I78">
            <v>3114755232</v>
          </cell>
        </row>
        <row r="79">
          <cell r="B79">
            <v>46036</v>
          </cell>
          <cell r="I79">
            <v>3016627101</v>
          </cell>
        </row>
        <row r="80">
          <cell r="B80">
            <v>46036</v>
          </cell>
          <cell r="I80">
            <v>3227137325</v>
          </cell>
        </row>
        <row r="81">
          <cell r="B81">
            <v>46036</v>
          </cell>
          <cell r="I81">
            <v>3114755232</v>
          </cell>
        </row>
        <row r="82">
          <cell r="B82">
            <v>46036</v>
          </cell>
          <cell r="I82">
            <v>3022930654</v>
          </cell>
        </row>
        <row r="83">
          <cell r="B83">
            <v>46036</v>
          </cell>
          <cell r="I83">
            <v>3016627101</v>
          </cell>
        </row>
        <row r="84">
          <cell r="B84">
            <v>46036</v>
          </cell>
          <cell r="I84">
            <v>3014357581</v>
          </cell>
        </row>
        <row r="85">
          <cell r="B85">
            <v>46036</v>
          </cell>
          <cell r="I85">
            <v>3114755232</v>
          </cell>
        </row>
        <row r="86">
          <cell r="B86">
            <v>46036</v>
          </cell>
          <cell r="I86">
            <v>3114755232</v>
          </cell>
        </row>
        <row r="87">
          <cell r="B87">
            <v>46036</v>
          </cell>
          <cell r="I87">
            <v>3123570114</v>
          </cell>
        </row>
        <row r="88">
          <cell r="B88">
            <v>46036</v>
          </cell>
          <cell r="I88">
            <v>3225394262</v>
          </cell>
        </row>
        <row r="89">
          <cell r="B89">
            <v>46036</v>
          </cell>
          <cell r="I89">
            <v>3123775027</v>
          </cell>
        </row>
        <row r="90">
          <cell r="B90">
            <v>46036</v>
          </cell>
          <cell r="I90">
            <v>3114755232</v>
          </cell>
        </row>
        <row r="91">
          <cell r="B91">
            <v>46036</v>
          </cell>
          <cell r="I91">
            <v>3114755232</v>
          </cell>
        </row>
        <row r="92">
          <cell r="B92">
            <v>46036</v>
          </cell>
          <cell r="I92">
            <v>3123570114</v>
          </cell>
        </row>
        <row r="93">
          <cell r="B93">
            <v>46036</v>
          </cell>
          <cell r="I93">
            <v>3143690333</v>
          </cell>
        </row>
        <row r="94">
          <cell r="B94">
            <v>46036</v>
          </cell>
          <cell r="I94">
            <v>3014357581</v>
          </cell>
        </row>
        <row r="95">
          <cell r="B95">
            <v>46036</v>
          </cell>
          <cell r="I95">
            <v>3114755232</v>
          </cell>
        </row>
        <row r="96">
          <cell r="B96">
            <v>46036</v>
          </cell>
          <cell r="I96">
            <v>3114755232</v>
          </cell>
        </row>
        <row r="97">
          <cell r="B97">
            <v>46036</v>
          </cell>
          <cell r="I97">
            <v>3144789566</v>
          </cell>
        </row>
        <row r="98">
          <cell r="B98">
            <v>46036</v>
          </cell>
          <cell r="I98">
            <v>3225394262</v>
          </cell>
        </row>
        <row r="99">
          <cell r="B99">
            <v>46036</v>
          </cell>
          <cell r="I99">
            <v>3133420908</v>
          </cell>
        </row>
        <row r="100">
          <cell r="B100">
            <v>46036</v>
          </cell>
          <cell r="I100">
            <v>3208294365</v>
          </cell>
        </row>
        <row r="101">
          <cell r="B101">
            <v>46036</v>
          </cell>
          <cell r="I101">
            <v>3208294365</v>
          </cell>
        </row>
        <row r="102">
          <cell r="B102">
            <v>46036</v>
          </cell>
          <cell r="I102">
            <v>3143690333</v>
          </cell>
        </row>
        <row r="103">
          <cell r="B103">
            <v>46036</v>
          </cell>
          <cell r="I103">
            <v>3187528202</v>
          </cell>
        </row>
        <row r="104">
          <cell r="B104">
            <v>46036</v>
          </cell>
          <cell r="I104">
            <v>3057672267</v>
          </cell>
        </row>
        <row r="105">
          <cell r="B105">
            <v>46036</v>
          </cell>
          <cell r="I105">
            <v>3212341101</v>
          </cell>
        </row>
        <row r="106">
          <cell r="B106">
            <v>46036</v>
          </cell>
          <cell r="I106">
            <v>3017866042</v>
          </cell>
        </row>
        <row r="107">
          <cell r="B107">
            <v>46036</v>
          </cell>
          <cell r="I107">
            <v>3212166664</v>
          </cell>
        </row>
        <row r="108">
          <cell r="B108">
            <v>46036</v>
          </cell>
          <cell r="I108">
            <v>3225394262</v>
          </cell>
        </row>
        <row r="109">
          <cell r="B109">
            <v>46036</v>
          </cell>
          <cell r="I109">
            <v>3225394262</v>
          </cell>
        </row>
        <row r="110">
          <cell r="B110">
            <v>46036</v>
          </cell>
          <cell r="I110">
            <v>3225394262</v>
          </cell>
        </row>
        <row r="111">
          <cell r="B111">
            <v>46036</v>
          </cell>
          <cell r="I111">
            <v>3212166664</v>
          </cell>
        </row>
        <row r="112">
          <cell r="B112">
            <v>46036</v>
          </cell>
          <cell r="I112">
            <v>3212166664</v>
          </cell>
        </row>
        <row r="113">
          <cell r="B113">
            <v>46036</v>
          </cell>
          <cell r="I113">
            <v>3225394262</v>
          </cell>
        </row>
        <row r="114">
          <cell r="B114">
            <v>46036</v>
          </cell>
          <cell r="I114">
            <v>3143690333</v>
          </cell>
        </row>
        <row r="115">
          <cell r="B115">
            <v>46036</v>
          </cell>
          <cell r="I115">
            <v>3023735213</v>
          </cell>
        </row>
        <row r="116">
          <cell r="B116">
            <v>46036</v>
          </cell>
          <cell r="I116">
            <v>3225394262</v>
          </cell>
        </row>
        <row r="117">
          <cell r="B117">
            <v>46036</v>
          </cell>
          <cell r="I117">
            <v>3112877626</v>
          </cell>
        </row>
        <row r="118">
          <cell r="B118">
            <v>46036</v>
          </cell>
          <cell r="I118">
            <v>3214527779</v>
          </cell>
        </row>
        <row r="119">
          <cell r="B119">
            <v>46036</v>
          </cell>
          <cell r="I119">
            <v>3226140150</v>
          </cell>
        </row>
        <row r="120">
          <cell r="B120">
            <v>46036</v>
          </cell>
          <cell r="I120">
            <v>3212496807</v>
          </cell>
        </row>
        <row r="121">
          <cell r="B121">
            <v>46036</v>
          </cell>
          <cell r="I121">
            <v>3173755513</v>
          </cell>
        </row>
        <row r="122">
          <cell r="B122">
            <v>46036</v>
          </cell>
          <cell r="I122">
            <v>3502149870</v>
          </cell>
        </row>
        <row r="123">
          <cell r="B123">
            <v>46036</v>
          </cell>
          <cell r="I123">
            <v>3016627101</v>
          </cell>
        </row>
        <row r="124">
          <cell r="B124">
            <v>46036</v>
          </cell>
          <cell r="I124">
            <v>3222549449</v>
          </cell>
        </row>
        <row r="125">
          <cell r="B125">
            <v>46037</v>
          </cell>
          <cell r="I125">
            <v>3209504332</v>
          </cell>
        </row>
        <row r="126">
          <cell r="B126">
            <v>46037</v>
          </cell>
          <cell r="I126">
            <v>3123705496</v>
          </cell>
        </row>
        <row r="127">
          <cell r="B127">
            <v>46037</v>
          </cell>
          <cell r="I127">
            <v>3125248122</v>
          </cell>
        </row>
        <row r="128">
          <cell r="B128">
            <v>46037</v>
          </cell>
          <cell r="I128">
            <v>3146640759</v>
          </cell>
        </row>
        <row r="129">
          <cell r="B129">
            <v>46037</v>
          </cell>
          <cell r="I129">
            <v>3123705496</v>
          </cell>
        </row>
        <row r="130">
          <cell r="B130">
            <v>46037</v>
          </cell>
          <cell r="I130">
            <v>3187091632</v>
          </cell>
        </row>
        <row r="131">
          <cell r="B131">
            <v>46037</v>
          </cell>
          <cell r="I131">
            <v>3107986133</v>
          </cell>
        </row>
        <row r="132">
          <cell r="B132">
            <v>46037</v>
          </cell>
          <cell r="I132">
            <v>3002104747</v>
          </cell>
        </row>
        <row r="133">
          <cell r="B133">
            <v>46037</v>
          </cell>
          <cell r="I133">
            <v>3012055862</v>
          </cell>
        </row>
        <row r="134">
          <cell r="B134">
            <v>46037</v>
          </cell>
          <cell r="I134">
            <v>3194667470</v>
          </cell>
        </row>
        <row r="135">
          <cell r="B135">
            <v>46037</v>
          </cell>
          <cell r="I135">
            <v>3157198061</v>
          </cell>
        </row>
        <row r="136">
          <cell r="B136">
            <v>46037</v>
          </cell>
          <cell r="I136">
            <v>3138121836</v>
          </cell>
        </row>
        <row r="137">
          <cell r="B137">
            <v>46037</v>
          </cell>
          <cell r="I137">
            <v>3057888483</v>
          </cell>
        </row>
        <row r="138">
          <cell r="B138">
            <v>46037</v>
          </cell>
          <cell r="I138">
            <v>3012828335</v>
          </cell>
        </row>
        <row r="139">
          <cell r="B139">
            <v>46037</v>
          </cell>
          <cell r="I139">
            <v>3213564596</v>
          </cell>
        </row>
        <row r="140">
          <cell r="B140">
            <v>46037</v>
          </cell>
          <cell r="I140">
            <v>3103093707</v>
          </cell>
        </row>
        <row r="141">
          <cell r="B141">
            <v>46037</v>
          </cell>
          <cell r="I141">
            <v>3123218364</v>
          </cell>
        </row>
        <row r="142">
          <cell r="B142">
            <v>46037</v>
          </cell>
          <cell r="I142">
            <v>3138291625</v>
          </cell>
        </row>
        <row r="143">
          <cell r="B143">
            <v>46037</v>
          </cell>
          <cell r="I143">
            <v>3123419084</v>
          </cell>
        </row>
        <row r="144">
          <cell r="B144">
            <v>46037</v>
          </cell>
          <cell r="I144">
            <v>3007458537</v>
          </cell>
        </row>
        <row r="145">
          <cell r="B145">
            <v>46037</v>
          </cell>
          <cell r="I145">
            <v>3103126656</v>
          </cell>
        </row>
        <row r="146">
          <cell r="B146">
            <v>46037</v>
          </cell>
          <cell r="I146">
            <v>3154918270</v>
          </cell>
        </row>
        <row r="147">
          <cell r="B147">
            <v>46037</v>
          </cell>
          <cell r="I147">
            <v>3154918270</v>
          </cell>
        </row>
        <row r="148">
          <cell r="B148">
            <v>46037</v>
          </cell>
          <cell r="I148">
            <v>3118863583</v>
          </cell>
        </row>
        <row r="149">
          <cell r="B149">
            <v>46038</v>
          </cell>
          <cell r="I149" t="str">
            <v>313 8013032</v>
          </cell>
        </row>
        <row r="150">
          <cell r="B150">
            <v>46038</v>
          </cell>
          <cell r="I150">
            <v>3150525254</v>
          </cell>
        </row>
        <row r="151">
          <cell r="B151">
            <v>46038</v>
          </cell>
          <cell r="I151" t="str">
            <v>318 8972079</v>
          </cell>
        </row>
        <row r="152">
          <cell r="B152">
            <v>46038</v>
          </cell>
          <cell r="I152">
            <v>3016189999</v>
          </cell>
        </row>
        <row r="153">
          <cell r="B153">
            <v>46038</v>
          </cell>
          <cell r="I153">
            <v>3133252005</v>
          </cell>
        </row>
        <row r="154">
          <cell r="B154">
            <v>46038</v>
          </cell>
          <cell r="I154">
            <v>3504424814</v>
          </cell>
        </row>
        <row r="155">
          <cell r="B155">
            <v>46038</v>
          </cell>
          <cell r="I155">
            <v>3167173907</v>
          </cell>
        </row>
        <row r="156">
          <cell r="B156">
            <v>46038</v>
          </cell>
          <cell r="I156">
            <v>3145768568</v>
          </cell>
        </row>
        <row r="157">
          <cell r="B157">
            <v>46038</v>
          </cell>
          <cell r="I157">
            <v>3193174586</v>
          </cell>
        </row>
        <row r="158">
          <cell r="B158">
            <v>46038</v>
          </cell>
          <cell r="I158">
            <v>3508196809</v>
          </cell>
        </row>
        <row r="159">
          <cell r="B159">
            <v>46038</v>
          </cell>
          <cell r="I159">
            <v>3002112901</v>
          </cell>
        </row>
        <row r="160">
          <cell r="B160">
            <v>46038</v>
          </cell>
          <cell r="I160">
            <v>3004306563</v>
          </cell>
        </row>
        <row r="161">
          <cell r="B161">
            <v>46038</v>
          </cell>
          <cell r="I161">
            <v>3006968740</v>
          </cell>
        </row>
        <row r="162">
          <cell r="B162">
            <v>46038</v>
          </cell>
          <cell r="I162">
            <v>3150570538</v>
          </cell>
        </row>
        <row r="163">
          <cell r="B163">
            <v>46038</v>
          </cell>
          <cell r="I163">
            <v>3174191530</v>
          </cell>
        </row>
        <row r="164">
          <cell r="B164">
            <v>46038</v>
          </cell>
          <cell r="I164">
            <v>3057630517</v>
          </cell>
        </row>
        <row r="165">
          <cell r="B165">
            <v>46038</v>
          </cell>
          <cell r="I165">
            <v>3203728948</v>
          </cell>
        </row>
        <row r="166">
          <cell r="B166">
            <v>46038</v>
          </cell>
          <cell r="I166">
            <v>3203728948</v>
          </cell>
        </row>
        <row r="167">
          <cell r="B167">
            <v>46038</v>
          </cell>
          <cell r="I167">
            <v>3182279041</v>
          </cell>
        </row>
        <row r="168">
          <cell r="B168">
            <v>46038</v>
          </cell>
          <cell r="I168">
            <v>3007948969</v>
          </cell>
        </row>
        <row r="169">
          <cell r="B169">
            <v>46038</v>
          </cell>
          <cell r="I169">
            <v>3165294356</v>
          </cell>
        </row>
        <row r="170">
          <cell r="B170">
            <v>46038</v>
          </cell>
          <cell r="I170">
            <v>3165294356</v>
          </cell>
        </row>
        <row r="171">
          <cell r="B171">
            <v>46038</v>
          </cell>
          <cell r="I171">
            <v>3002431647</v>
          </cell>
        </row>
        <row r="172">
          <cell r="B172">
            <v>46038</v>
          </cell>
          <cell r="I172">
            <v>3174191530</v>
          </cell>
        </row>
        <row r="173">
          <cell r="B173">
            <v>46038</v>
          </cell>
          <cell r="I173">
            <v>3218280844</v>
          </cell>
        </row>
        <row r="174">
          <cell r="B174">
            <v>46038</v>
          </cell>
          <cell r="I174">
            <v>3053122534</v>
          </cell>
        </row>
        <row r="175">
          <cell r="B175">
            <v>46038</v>
          </cell>
          <cell r="I175">
            <v>3002112901</v>
          </cell>
        </row>
        <row r="176">
          <cell r="B176">
            <v>46038</v>
          </cell>
          <cell r="I176">
            <v>3154842369</v>
          </cell>
        </row>
        <row r="177">
          <cell r="B177">
            <v>46038</v>
          </cell>
          <cell r="I177">
            <v>3142244660</v>
          </cell>
        </row>
        <row r="178">
          <cell r="B178">
            <v>46038</v>
          </cell>
          <cell r="I178">
            <v>3165157961</v>
          </cell>
        </row>
        <row r="179">
          <cell r="B179">
            <v>46038</v>
          </cell>
          <cell r="I179">
            <v>3025162129</v>
          </cell>
        </row>
        <row r="180">
          <cell r="B180">
            <v>46038</v>
          </cell>
          <cell r="I180">
            <v>3212497133</v>
          </cell>
        </row>
        <row r="181">
          <cell r="B181">
            <v>46038</v>
          </cell>
          <cell r="I181">
            <v>3175162267</v>
          </cell>
        </row>
        <row r="182">
          <cell r="B182">
            <v>46038</v>
          </cell>
          <cell r="I182">
            <v>3218280844</v>
          </cell>
        </row>
        <row r="183">
          <cell r="B183">
            <v>46038</v>
          </cell>
          <cell r="I183">
            <v>3167173907</v>
          </cell>
        </row>
        <row r="184">
          <cell r="B184">
            <v>46038</v>
          </cell>
          <cell r="I184">
            <v>3218280844</v>
          </cell>
        </row>
        <row r="185">
          <cell r="B185">
            <v>46038</v>
          </cell>
          <cell r="I185">
            <v>3154842369</v>
          </cell>
        </row>
        <row r="186">
          <cell r="B186">
            <v>46038</v>
          </cell>
          <cell r="I186">
            <v>3154842369</v>
          </cell>
        </row>
        <row r="187">
          <cell r="B187">
            <v>46038</v>
          </cell>
          <cell r="I187">
            <v>3218280844</v>
          </cell>
        </row>
        <row r="188">
          <cell r="B188">
            <v>46038</v>
          </cell>
          <cell r="I188">
            <v>3118065313</v>
          </cell>
        </row>
        <row r="189">
          <cell r="B189">
            <v>46038</v>
          </cell>
          <cell r="I189">
            <v>3123350951</v>
          </cell>
        </row>
        <row r="190">
          <cell r="B190">
            <v>46038</v>
          </cell>
          <cell r="I190">
            <v>3013849900</v>
          </cell>
        </row>
        <row r="191">
          <cell r="B191">
            <v>46038</v>
          </cell>
          <cell r="I191">
            <v>3103174172</v>
          </cell>
        </row>
        <row r="192">
          <cell r="B192">
            <v>46038</v>
          </cell>
          <cell r="I192">
            <v>3012984178</v>
          </cell>
        </row>
        <row r="193">
          <cell r="B193">
            <v>46038</v>
          </cell>
          <cell r="I193">
            <v>3138086463</v>
          </cell>
        </row>
        <row r="194">
          <cell r="B194">
            <v>46038</v>
          </cell>
          <cell r="I194">
            <v>3012984178</v>
          </cell>
        </row>
        <row r="195">
          <cell r="B195">
            <v>46038</v>
          </cell>
          <cell r="I195">
            <v>3002926752</v>
          </cell>
        </row>
        <row r="196">
          <cell r="B196">
            <v>46039</v>
          </cell>
          <cell r="I196"/>
        </row>
        <row r="197">
          <cell r="B197">
            <v>46039</v>
          </cell>
          <cell r="I197"/>
        </row>
        <row r="198">
          <cell r="B198">
            <v>46039</v>
          </cell>
          <cell r="I198"/>
        </row>
        <row r="199">
          <cell r="B199">
            <v>46039</v>
          </cell>
          <cell r="I199"/>
        </row>
        <row r="200">
          <cell r="B200">
            <v>46039</v>
          </cell>
          <cell r="I200"/>
        </row>
        <row r="201">
          <cell r="B201">
            <v>46039</v>
          </cell>
          <cell r="I201"/>
        </row>
        <row r="202">
          <cell r="B202">
            <v>46039</v>
          </cell>
          <cell r="I202"/>
        </row>
        <row r="203">
          <cell r="B203">
            <v>46039</v>
          </cell>
          <cell r="I203"/>
        </row>
        <row r="204">
          <cell r="B204">
            <v>46039</v>
          </cell>
          <cell r="I204"/>
        </row>
        <row r="205">
          <cell r="B205">
            <v>46039</v>
          </cell>
          <cell r="I205"/>
        </row>
        <row r="206">
          <cell r="B206">
            <v>46039</v>
          </cell>
          <cell r="I206"/>
        </row>
        <row r="207">
          <cell r="B207">
            <v>46039</v>
          </cell>
          <cell r="I207"/>
        </row>
        <row r="208">
          <cell r="B208">
            <v>46039</v>
          </cell>
          <cell r="I208"/>
        </row>
        <row r="209">
          <cell r="B209">
            <v>46039</v>
          </cell>
          <cell r="I209"/>
        </row>
        <row r="210">
          <cell r="B210">
            <v>46039</v>
          </cell>
          <cell r="I210"/>
        </row>
        <row r="211">
          <cell r="B211">
            <v>46039</v>
          </cell>
          <cell r="I211"/>
        </row>
        <row r="212">
          <cell r="B212">
            <v>46039</v>
          </cell>
          <cell r="I212"/>
        </row>
        <row r="213">
          <cell r="B213">
            <v>46039</v>
          </cell>
          <cell r="I213"/>
        </row>
        <row r="214">
          <cell r="B214">
            <v>46039</v>
          </cell>
          <cell r="I214"/>
        </row>
        <row r="215">
          <cell r="B215">
            <v>46039</v>
          </cell>
          <cell r="I215"/>
        </row>
        <row r="216">
          <cell r="B216">
            <v>46039</v>
          </cell>
          <cell r="I216"/>
        </row>
        <row r="217">
          <cell r="B217">
            <v>46039</v>
          </cell>
          <cell r="I217"/>
        </row>
        <row r="218">
          <cell r="B218">
            <v>46039</v>
          </cell>
          <cell r="I218"/>
        </row>
        <row r="219">
          <cell r="B219">
            <v>46039</v>
          </cell>
          <cell r="I219"/>
        </row>
        <row r="220">
          <cell r="B220">
            <v>46039</v>
          </cell>
          <cell r="I220"/>
        </row>
        <row r="221">
          <cell r="B221">
            <v>46039</v>
          </cell>
          <cell r="I221"/>
        </row>
        <row r="222">
          <cell r="B222">
            <v>46039</v>
          </cell>
          <cell r="I222"/>
        </row>
        <row r="223">
          <cell r="B223">
            <v>46039</v>
          </cell>
          <cell r="I223"/>
        </row>
        <row r="224">
          <cell r="B224">
            <v>46039</v>
          </cell>
          <cell r="I224"/>
        </row>
        <row r="225">
          <cell r="B225">
            <v>46039</v>
          </cell>
          <cell r="I225"/>
        </row>
        <row r="226">
          <cell r="B226">
            <v>46039</v>
          </cell>
          <cell r="I226"/>
        </row>
        <row r="227">
          <cell r="B227">
            <v>46039</v>
          </cell>
          <cell r="I227"/>
        </row>
        <row r="228">
          <cell r="B228">
            <v>46039</v>
          </cell>
          <cell r="I228"/>
        </row>
        <row r="229">
          <cell r="B229">
            <v>46039</v>
          </cell>
          <cell r="I229"/>
        </row>
        <row r="230">
          <cell r="B230">
            <v>46039</v>
          </cell>
          <cell r="I230"/>
        </row>
        <row r="231">
          <cell r="B231">
            <v>46039</v>
          </cell>
          <cell r="I231"/>
        </row>
        <row r="232">
          <cell r="B232">
            <v>46039</v>
          </cell>
          <cell r="I232"/>
        </row>
        <row r="233">
          <cell r="B233">
            <v>46039</v>
          </cell>
          <cell r="I233"/>
        </row>
        <row r="234">
          <cell r="B234">
            <v>46039</v>
          </cell>
          <cell r="I234"/>
        </row>
        <row r="235">
          <cell r="B235">
            <v>46039</v>
          </cell>
          <cell r="I235"/>
        </row>
        <row r="236">
          <cell r="B236">
            <v>46039</v>
          </cell>
          <cell r="I236"/>
        </row>
        <row r="237">
          <cell r="B237">
            <v>46039</v>
          </cell>
          <cell r="I237"/>
        </row>
        <row r="238">
          <cell r="B238">
            <v>46039</v>
          </cell>
          <cell r="I238"/>
        </row>
        <row r="239">
          <cell r="B239">
            <v>46039</v>
          </cell>
          <cell r="I239"/>
        </row>
        <row r="240">
          <cell r="B240">
            <v>46039</v>
          </cell>
          <cell r="I240"/>
        </row>
        <row r="241">
          <cell r="B241">
            <v>46039</v>
          </cell>
          <cell r="I241"/>
        </row>
        <row r="242">
          <cell r="B242">
            <v>46039</v>
          </cell>
          <cell r="I242"/>
        </row>
        <row r="243">
          <cell r="B243">
            <v>46039</v>
          </cell>
          <cell r="I243"/>
        </row>
        <row r="244">
          <cell r="B244">
            <v>46039</v>
          </cell>
          <cell r="I244"/>
        </row>
        <row r="245">
          <cell r="B245">
            <v>46039</v>
          </cell>
          <cell r="I245"/>
        </row>
        <row r="246">
          <cell r="B246">
            <v>46039</v>
          </cell>
          <cell r="I246"/>
        </row>
        <row r="247">
          <cell r="B247">
            <v>46039</v>
          </cell>
          <cell r="I247"/>
        </row>
        <row r="248">
          <cell r="B248">
            <v>46039</v>
          </cell>
          <cell r="I248"/>
        </row>
        <row r="249">
          <cell r="B249">
            <v>46039</v>
          </cell>
          <cell r="I249"/>
        </row>
        <row r="250">
          <cell r="B250">
            <v>46039</v>
          </cell>
          <cell r="I250"/>
        </row>
        <row r="251">
          <cell r="B251">
            <v>46039</v>
          </cell>
          <cell r="I251"/>
        </row>
        <row r="252">
          <cell r="B252">
            <v>46039</v>
          </cell>
          <cell r="I252"/>
        </row>
        <row r="253">
          <cell r="B253">
            <v>46039</v>
          </cell>
          <cell r="I253"/>
        </row>
        <row r="254">
          <cell r="B254">
            <v>46039</v>
          </cell>
          <cell r="I254"/>
        </row>
        <row r="255">
          <cell r="B255">
            <v>46039</v>
          </cell>
          <cell r="I255"/>
        </row>
        <row r="256">
          <cell r="B256">
            <v>46039</v>
          </cell>
          <cell r="I256"/>
        </row>
        <row r="257">
          <cell r="B257">
            <v>46039</v>
          </cell>
          <cell r="I257"/>
        </row>
        <row r="258">
          <cell r="B258">
            <v>46039</v>
          </cell>
          <cell r="I258"/>
        </row>
        <row r="259">
          <cell r="B259">
            <v>46039</v>
          </cell>
          <cell r="I259"/>
        </row>
        <row r="260">
          <cell r="B260">
            <v>46039</v>
          </cell>
          <cell r="I260"/>
        </row>
        <row r="261">
          <cell r="B261">
            <v>46039</v>
          </cell>
          <cell r="I261"/>
        </row>
        <row r="262">
          <cell r="B262">
            <v>46039</v>
          </cell>
          <cell r="I262"/>
        </row>
        <row r="263">
          <cell r="B263">
            <v>46039</v>
          </cell>
          <cell r="I263"/>
        </row>
        <row r="264">
          <cell r="B264">
            <v>46039</v>
          </cell>
          <cell r="I264"/>
        </row>
        <row r="265">
          <cell r="B265">
            <v>46039</v>
          </cell>
          <cell r="I265"/>
        </row>
        <row r="266">
          <cell r="B266">
            <v>46040</v>
          </cell>
          <cell r="I266">
            <v>3106848762</v>
          </cell>
        </row>
        <row r="267">
          <cell r="B267">
            <v>46040</v>
          </cell>
          <cell r="I267">
            <v>3138086463</v>
          </cell>
        </row>
        <row r="268">
          <cell r="B268">
            <v>46040</v>
          </cell>
          <cell r="I268">
            <v>3003480265</v>
          </cell>
        </row>
        <row r="269">
          <cell r="B269">
            <v>46040</v>
          </cell>
          <cell r="I269">
            <v>3508608264</v>
          </cell>
        </row>
        <row r="270">
          <cell r="B270">
            <v>46040</v>
          </cell>
          <cell r="I270">
            <v>3124002720</v>
          </cell>
        </row>
        <row r="271">
          <cell r="B271">
            <v>46040</v>
          </cell>
          <cell r="I271" t="str">
            <v>315 3284218</v>
          </cell>
        </row>
        <row r="272">
          <cell r="B272">
            <v>46041</v>
          </cell>
          <cell r="I272">
            <v>3162393410</v>
          </cell>
        </row>
        <row r="273">
          <cell r="B273">
            <v>46041</v>
          </cell>
          <cell r="I273">
            <v>3153499818</v>
          </cell>
        </row>
        <row r="274">
          <cell r="B274">
            <v>46041</v>
          </cell>
          <cell r="I274">
            <v>3208339212</v>
          </cell>
        </row>
        <row r="275">
          <cell r="B275">
            <v>46041</v>
          </cell>
          <cell r="I275">
            <v>3125973000</v>
          </cell>
        </row>
        <row r="276">
          <cell r="B276">
            <v>46041</v>
          </cell>
          <cell r="I276">
            <v>3108753186</v>
          </cell>
        </row>
        <row r="277">
          <cell r="B277">
            <v>46041</v>
          </cell>
          <cell r="I277">
            <v>3003622282</v>
          </cell>
        </row>
        <row r="278">
          <cell r="B278">
            <v>46041</v>
          </cell>
          <cell r="I278">
            <v>3115912750</v>
          </cell>
        </row>
        <row r="279">
          <cell r="B279">
            <v>46041</v>
          </cell>
          <cell r="I279">
            <v>3144581629</v>
          </cell>
        </row>
        <row r="280">
          <cell r="B280">
            <v>46041</v>
          </cell>
          <cell r="I280">
            <v>3223299809</v>
          </cell>
        </row>
        <row r="281">
          <cell r="B281">
            <v>46041</v>
          </cell>
          <cell r="I281">
            <v>3208063914</v>
          </cell>
        </row>
        <row r="282">
          <cell r="B282">
            <v>46041</v>
          </cell>
          <cell r="I282">
            <v>3043471739</v>
          </cell>
        </row>
        <row r="283">
          <cell r="B283">
            <v>46041</v>
          </cell>
          <cell r="I283">
            <v>3208063914</v>
          </cell>
        </row>
        <row r="284">
          <cell r="B284">
            <v>46041</v>
          </cell>
          <cell r="I284">
            <v>3012984178</v>
          </cell>
        </row>
        <row r="285">
          <cell r="B285">
            <v>46041</v>
          </cell>
          <cell r="I285">
            <v>3138086463</v>
          </cell>
        </row>
        <row r="286">
          <cell r="B286">
            <v>46041</v>
          </cell>
          <cell r="I286">
            <v>3015850114</v>
          </cell>
        </row>
        <row r="287">
          <cell r="B287">
            <v>46041</v>
          </cell>
          <cell r="I287">
            <v>3134308182</v>
          </cell>
        </row>
        <row r="288">
          <cell r="B288">
            <v>46041</v>
          </cell>
          <cell r="I288">
            <v>3004306563</v>
          </cell>
        </row>
        <row r="289">
          <cell r="B289">
            <v>46041</v>
          </cell>
          <cell r="I289">
            <v>3006968740</v>
          </cell>
        </row>
        <row r="290">
          <cell r="B290">
            <v>46041</v>
          </cell>
          <cell r="I290">
            <v>3143069108</v>
          </cell>
        </row>
        <row r="291">
          <cell r="B291">
            <v>46041</v>
          </cell>
          <cell r="I291">
            <v>3160496529</v>
          </cell>
        </row>
        <row r="292">
          <cell r="B292">
            <v>46041</v>
          </cell>
          <cell r="I292">
            <v>3044699658</v>
          </cell>
        </row>
        <row r="293">
          <cell r="B293">
            <v>46041</v>
          </cell>
          <cell r="I293">
            <v>3142352415</v>
          </cell>
        </row>
        <row r="294">
          <cell r="B294">
            <v>46041</v>
          </cell>
          <cell r="I294">
            <v>3132651016</v>
          </cell>
        </row>
        <row r="295">
          <cell r="B295">
            <v>46041</v>
          </cell>
          <cell r="I295">
            <v>3134308182</v>
          </cell>
        </row>
        <row r="296">
          <cell r="B296">
            <v>46041</v>
          </cell>
          <cell r="I296">
            <v>3239334278</v>
          </cell>
        </row>
        <row r="297">
          <cell r="B297">
            <v>46041</v>
          </cell>
          <cell r="I297">
            <v>3239334278</v>
          </cell>
        </row>
        <row r="298">
          <cell r="B298">
            <v>46041</v>
          </cell>
          <cell r="I298">
            <v>3153084029</v>
          </cell>
        </row>
        <row r="299">
          <cell r="B299">
            <v>46041</v>
          </cell>
          <cell r="I299">
            <v>3232204888</v>
          </cell>
        </row>
        <row r="300">
          <cell r="B300">
            <v>46041</v>
          </cell>
          <cell r="I300">
            <v>3002776351</v>
          </cell>
        </row>
        <row r="301">
          <cell r="B301">
            <v>46041</v>
          </cell>
          <cell r="I301">
            <v>3142352415</v>
          </cell>
        </row>
        <row r="302">
          <cell r="B302">
            <v>46041</v>
          </cell>
          <cell r="I302">
            <v>3214792026</v>
          </cell>
        </row>
        <row r="303">
          <cell r="B303">
            <v>46041</v>
          </cell>
          <cell r="I303">
            <v>3134233956</v>
          </cell>
        </row>
        <row r="304">
          <cell r="B304">
            <v>46041</v>
          </cell>
          <cell r="I304">
            <v>3153084029</v>
          </cell>
        </row>
        <row r="305">
          <cell r="B305">
            <v>46041</v>
          </cell>
          <cell r="I305">
            <v>3158647677</v>
          </cell>
        </row>
        <row r="306">
          <cell r="B306">
            <v>46041</v>
          </cell>
          <cell r="I306">
            <v>3013849900</v>
          </cell>
        </row>
        <row r="307">
          <cell r="B307">
            <v>46041</v>
          </cell>
          <cell r="I307">
            <v>3012984178</v>
          </cell>
        </row>
        <row r="308">
          <cell r="B308">
            <v>46041</v>
          </cell>
          <cell r="I308">
            <v>3132848302</v>
          </cell>
        </row>
        <row r="309">
          <cell r="B309">
            <v>46041</v>
          </cell>
          <cell r="I309">
            <v>3046420936</v>
          </cell>
        </row>
        <row r="310">
          <cell r="B310">
            <v>46041</v>
          </cell>
          <cell r="I310">
            <v>3160496529</v>
          </cell>
        </row>
        <row r="311">
          <cell r="B311">
            <v>46041</v>
          </cell>
          <cell r="I311">
            <v>3225394262</v>
          </cell>
        </row>
        <row r="312">
          <cell r="B312">
            <v>46041</v>
          </cell>
          <cell r="I312">
            <v>3225394262</v>
          </cell>
        </row>
        <row r="313">
          <cell r="B313">
            <v>46041</v>
          </cell>
          <cell r="I313">
            <v>3225394262</v>
          </cell>
        </row>
        <row r="314">
          <cell r="B314">
            <v>46041</v>
          </cell>
          <cell r="I314">
            <v>3225394262</v>
          </cell>
        </row>
        <row r="315">
          <cell r="B315">
            <v>46041</v>
          </cell>
          <cell r="I315">
            <v>3225394262</v>
          </cell>
        </row>
        <row r="316">
          <cell r="B316">
            <v>46041</v>
          </cell>
          <cell r="I316">
            <v>3225394262</v>
          </cell>
        </row>
        <row r="317">
          <cell r="B317">
            <v>46041</v>
          </cell>
          <cell r="I317">
            <v>3225394262</v>
          </cell>
        </row>
        <row r="318">
          <cell r="B318">
            <v>46041</v>
          </cell>
          <cell r="I318">
            <v>3002926752</v>
          </cell>
        </row>
        <row r="319">
          <cell r="B319">
            <v>46042</v>
          </cell>
          <cell r="I319">
            <v>3115063260</v>
          </cell>
        </row>
        <row r="320">
          <cell r="B320">
            <v>46042</v>
          </cell>
          <cell r="I320">
            <v>3236121767</v>
          </cell>
        </row>
        <row r="321">
          <cell r="B321">
            <v>46042</v>
          </cell>
          <cell r="I321">
            <v>3162702464</v>
          </cell>
        </row>
        <row r="322">
          <cell r="B322">
            <v>46042</v>
          </cell>
          <cell r="I322">
            <v>3124784496</v>
          </cell>
        </row>
        <row r="323">
          <cell r="B323">
            <v>46042</v>
          </cell>
          <cell r="I323">
            <v>3163365535</v>
          </cell>
        </row>
        <row r="324">
          <cell r="B324">
            <v>46042</v>
          </cell>
          <cell r="I324">
            <v>3041103894</v>
          </cell>
        </row>
        <row r="325">
          <cell r="B325">
            <v>46042</v>
          </cell>
          <cell r="I325">
            <v>3004955102</v>
          </cell>
        </row>
        <row r="326">
          <cell r="B326">
            <v>46042</v>
          </cell>
          <cell r="I326">
            <v>3004955102</v>
          </cell>
        </row>
        <row r="327">
          <cell r="B327">
            <v>46042</v>
          </cell>
          <cell r="I327">
            <v>3193187152</v>
          </cell>
        </row>
        <row r="328">
          <cell r="B328">
            <v>46042</v>
          </cell>
          <cell r="I328">
            <v>3223793529</v>
          </cell>
        </row>
        <row r="329">
          <cell r="B329">
            <v>46042</v>
          </cell>
          <cell r="I329">
            <v>3057672267</v>
          </cell>
        </row>
        <row r="330">
          <cell r="B330">
            <v>46042</v>
          </cell>
          <cell r="I330">
            <v>3223793529</v>
          </cell>
        </row>
        <row r="331">
          <cell r="B331">
            <v>46042</v>
          </cell>
          <cell r="I331">
            <v>3194584587</v>
          </cell>
        </row>
        <row r="332">
          <cell r="B332">
            <v>46042</v>
          </cell>
          <cell r="I332">
            <v>3106892868</v>
          </cell>
        </row>
        <row r="333">
          <cell r="B333">
            <v>46042</v>
          </cell>
          <cell r="I333">
            <v>3155947421</v>
          </cell>
        </row>
        <row r="334">
          <cell r="B334">
            <v>46042</v>
          </cell>
          <cell r="I334">
            <v>3015619872</v>
          </cell>
        </row>
        <row r="335">
          <cell r="B335">
            <v>46043</v>
          </cell>
          <cell r="I335">
            <v>3162393410</v>
          </cell>
        </row>
        <row r="336">
          <cell r="B336">
            <v>46043</v>
          </cell>
          <cell r="I336">
            <v>3102701974</v>
          </cell>
        </row>
        <row r="337">
          <cell r="B337">
            <v>46043</v>
          </cell>
          <cell r="I337">
            <v>3123935050</v>
          </cell>
        </row>
        <row r="338">
          <cell r="B338">
            <v>46043</v>
          </cell>
          <cell r="I338">
            <v>3104955288</v>
          </cell>
        </row>
        <row r="339">
          <cell r="B339">
            <v>46043</v>
          </cell>
          <cell r="I339">
            <v>3115644071</v>
          </cell>
        </row>
        <row r="340">
          <cell r="B340">
            <v>46043</v>
          </cell>
          <cell r="I340">
            <v>3225394262</v>
          </cell>
        </row>
        <row r="341">
          <cell r="B341">
            <v>46043</v>
          </cell>
          <cell r="I341">
            <v>3102323184</v>
          </cell>
        </row>
        <row r="342">
          <cell r="B342">
            <v>46043</v>
          </cell>
          <cell r="I342">
            <v>3225394262</v>
          </cell>
        </row>
        <row r="343">
          <cell r="B343">
            <v>46043</v>
          </cell>
          <cell r="I343">
            <v>3118863583</v>
          </cell>
        </row>
        <row r="344">
          <cell r="B344">
            <v>46043</v>
          </cell>
          <cell r="I344">
            <v>3123419084</v>
          </cell>
        </row>
        <row r="345">
          <cell r="B345">
            <v>46043</v>
          </cell>
          <cell r="I345">
            <v>3004306563</v>
          </cell>
        </row>
        <row r="346">
          <cell r="B346">
            <v>46043</v>
          </cell>
          <cell r="I346">
            <v>3004306563</v>
          </cell>
        </row>
        <row r="347">
          <cell r="B347">
            <v>46043</v>
          </cell>
          <cell r="I347">
            <v>3002759952</v>
          </cell>
        </row>
        <row r="348">
          <cell r="B348">
            <v>46043</v>
          </cell>
          <cell r="I348">
            <v>3227436015</v>
          </cell>
        </row>
        <row r="349">
          <cell r="B349">
            <v>46043</v>
          </cell>
          <cell r="I349">
            <v>3227436015</v>
          </cell>
        </row>
        <row r="350">
          <cell r="B350">
            <v>46043</v>
          </cell>
          <cell r="I350">
            <v>3004306563</v>
          </cell>
        </row>
        <row r="351">
          <cell r="B351">
            <v>46043</v>
          </cell>
          <cell r="I351">
            <v>3017866042</v>
          </cell>
        </row>
        <row r="352">
          <cell r="B352">
            <v>46043</v>
          </cell>
          <cell r="I352">
            <v>3122570708</v>
          </cell>
        </row>
        <row r="353">
          <cell r="B353">
            <v>46043</v>
          </cell>
          <cell r="I353">
            <v>3202548747</v>
          </cell>
        </row>
        <row r="354">
          <cell r="B354">
            <v>46043</v>
          </cell>
          <cell r="I354">
            <v>3202548747</v>
          </cell>
        </row>
        <row r="355">
          <cell r="B355">
            <v>46043</v>
          </cell>
          <cell r="I355">
            <v>3122570708</v>
          </cell>
        </row>
        <row r="356">
          <cell r="B356">
            <v>46043</v>
          </cell>
          <cell r="I356">
            <v>3112199430</v>
          </cell>
        </row>
        <row r="357">
          <cell r="B357">
            <v>46043</v>
          </cell>
          <cell r="I357">
            <v>3123577008</v>
          </cell>
        </row>
        <row r="358">
          <cell r="B358">
            <v>46044</v>
          </cell>
          <cell r="I358">
            <v>3124955069</v>
          </cell>
        </row>
        <row r="359">
          <cell r="B359">
            <v>46044</v>
          </cell>
          <cell r="I359">
            <v>3214355705</v>
          </cell>
        </row>
        <row r="360">
          <cell r="B360">
            <v>46044</v>
          </cell>
          <cell r="I360">
            <v>3057671212</v>
          </cell>
        </row>
        <row r="361">
          <cell r="B361">
            <v>46044</v>
          </cell>
          <cell r="I361">
            <v>3204698185</v>
          </cell>
        </row>
        <row r="362">
          <cell r="B362">
            <v>46044</v>
          </cell>
          <cell r="I362">
            <v>3017139465</v>
          </cell>
        </row>
        <row r="363">
          <cell r="B363">
            <v>46044</v>
          </cell>
          <cell r="I363">
            <v>3195742640</v>
          </cell>
        </row>
        <row r="364">
          <cell r="B364">
            <v>46044</v>
          </cell>
          <cell r="I364">
            <v>3232336182</v>
          </cell>
        </row>
        <row r="365">
          <cell r="B365">
            <v>46044</v>
          </cell>
          <cell r="I365">
            <v>3124298893</v>
          </cell>
        </row>
        <row r="366">
          <cell r="B366">
            <v>46044</v>
          </cell>
          <cell r="I366">
            <v>3124298893</v>
          </cell>
        </row>
        <row r="367">
          <cell r="B367">
            <v>46044</v>
          </cell>
          <cell r="I367">
            <v>3215752195</v>
          </cell>
        </row>
        <row r="368">
          <cell r="B368">
            <v>46044</v>
          </cell>
          <cell r="I368">
            <v>3143484505</v>
          </cell>
        </row>
        <row r="369">
          <cell r="B369">
            <v>46044</v>
          </cell>
          <cell r="I369">
            <v>3007205916</v>
          </cell>
        </row>
        <row r="370">
          <cell r="B370">
            <v>46044</v>
          </cell>
          <cell r="I370" t="str">
            <v>305 8888999</v>
          </cell>
        </row>
        <row r="371">
          <cell r="B371">
            <v>46044</v>
          </cell>
          <cell r="I371">
            <v>3107629406</v>
          </cell>
        </row>
        <row r="372">
          <cell r="B372">
            <v>46044</v>
          </cell>
          <cell r="I372">
            <v>3133669967</v>
          </cell>
        </row>
        <row r="373">
          <cell r="B373">
            <v>46044</v>
          </cell>
          <cell r="I373">
            <v>3107629406</v>
          </cell>
        </row>
        <row r="374">
          <cell r="B374">
            <v>46044</v>
          </cell>
          <cell r="I374">
            <v>3225394262</v>
          </cell>
        </row>
        <row r="375">
          <cell r="B375">
            <v>46044</v>
          </cell>
          <cell r="I375">
            <v>3225394262</v>
          </cell>
        </row>
        <row r="376">
          <cell r="B376">
            <v>46044</v>
          </cell>
          <cell r="I376">
            <v>3225394262</v>
          </cell>
        </row>
        <row r="377">
          <cell r="B377">
            <v>46044</v>
          </cell>
          <cell r="I377">
            <v>3225394262</v>
          </cell>
        </row>
        <row r="378">
          <cell r="B378">
            <v>46044</v>
          </cell>
          <cell r="I378">
            <v>3225394262</v>
          </cell>
        </row>
        <row r="379">
          <cell r="B379">
            <v>46044</v>
          </cell>
          <cell r="I379">
            <v>3225394262</v>
          </cell>
        </row>
        <row r="380">
          <cell r="B380">
            <v>46044</v>
          </cell>
          <cell r="I380">
            <v>3225394262</v>
          </cell>
        </row>
        <row r="381">
          <cell r="B381">
            <v>46044</v>
          </cell>
          <cell r="I381">
            <v>3225394262</v>
          </cell>
        </row>
        <row r="382">
          <cell r="B382">
            <v>46045</v>
          </cell>
          <cell r="I382">
            <v>3016592951</v>
          </cell>
        </row>
        <row r="383">
          <cell r="B383">
            <v>46045</v>
          </cell>
          <cell r="I383">
            <v>3203811083</v>
          </cell>
        </row>
        <row r="384">
          <cell r="B384">
            <v>46045</v>
          </cell>
          <cell r="I384">
            <v>3174193520</v>
          </cell>
        </row>
        <row r="385">
          <cell r="B385">
            <v>46045</v>
          </cell>
          <cell r="I385">
            <v>3187283298</v>
          </cell>
        </row>
        <row r="386">
          <cell r="B386">
            <v>46045</v>
          </cell>
          <cell r="I386">
            <v>3043765289</v>
          </cell>
        </row>
        <row r="387">
          <cell r="B387">
            <v>46045</v>
          </cell>
          <cell r="I387">
            <v>3225394262</v>
          </cell>
        </row>
        <row r="388">
          <cell r="B388">
            <v>46045</v>
          </cell>
          <cell r="I388">
            <v>3203909420</v>
          </cell>
        </row>
        <row r="389">
          <cell r="B389">
            <v>46045</v>
          </cell>
          <cell r="I389">
            <v>3007458537</v>
          </cell>
        </row>
        <row r="390">
          <cell r="B390">
            <v>46045</v>
          </cell>
          <cell r="I390">
            <v>3504424814</v>
          </cell>
        </row>
        <row r="391">
          <cell r="B391">
            <v>46045</v>
          </cell>
          <cell r="I391">
            <v>3003004703</v>
          </cell>
        </row>
        <row r="392">
          <cell r="B392">
            <v>46045</v>
          </cell>
          <cell r="I392">
            <v>3218940510</v>
          </cell>
        </row>
        <row r="393">
          <cell r="B393">
            <v>46045</v>
          </cell>
          <cell r="I393">
            <v>3123176445</v>
          </cell>
        </row>
        <row r="394">
          <cell r="B394">
            <v>46045</v>
          </cell>
          <cell r="I394">
            <v>3225394262</v>
          </cell>
        </row>
        <row r="395">
          <cell r="B395">
            <v>46045</v>
          </cell>
          <cell r="I395">
            <v>3225394262</v>
          </cell>
        </row>
        <row r="396">
          <cell r="B396">
            <v>46045</v>
          </cell>
          <cell r="I396" t="str">
            <v>313 8013032</v>
          </cell>
        </row>
        <row r="397">
          <cell r="B397">
            <v>46045</v>
          </cell>
          <cell r="I397">
            <v>3022387448</v>
          </cell>
        </row>
        <row r="398">
          <cell r="B398">
            <v>46045</v>
          </cell>
          <cell r="I398">
            <v>3212442419</v>
          </cell>
        </row>
        <row r="399">
          <cell r="B399">
            <v>46045</v>
          </cell>
          <cell r="I399">
            <v>3174191530</v>
          </cell>
        </row>
        <row r="400">
          <cell r="B400">
            <v>46045</v>
          </cell>
          <cell r="I400">
            <v>3187091632</v>
          </cell>
        </row>
        <row r="401">
          <cell r="B401">
            <v>46045</v>
          </cell>
          <cell r="I401">
            <v>3108508105</v>
          </cell>
        </row>
        <row r="402">
          <cell r="B402">
            <v>46045</v>
          </cell>
          <cell r="I402">
            <v>3156008463</v>
          </cell>
        </row>
        <row r="403">
          <cell r="B403">
            <v>46045</v>
          </cell>
          <cell r="I403">
            <v>3003004703</v>
          </cell>
        </row>
        <row r="404">
          <cell r="B404">
            <v>46045</v>
          </cell>
          <cell r="I404">
            <v>3197167416</v>
          </cell>
        </row>
        <row r="405">
          <cell r="B405">
            <v>46045</v>
          </cell>
          <cell r="I405">
            <v>3123419084</v>
          </cell>
        </row>
        <row r="406">
          <cell r="B406">
            <v>46046</v>
          </cell>
          <cell r="I406">
            <v>3225394262</v>
          </cell>
        </row>
        <row r="407">
          <cell r="B407">
            <v>46046</v>
          </cell>
          <cell r="I407">
            <v>3225394262</v>
          </cell>
        </row>
        <row r="408">
          <cell r="B408">
            <v>46046</v>
          </cell>
          <cell r="I408">
            <v>3123538879</v>
          </cell>
        </row>
        <row r="409">
          <cell r="B409">
            <v>46048</v>
          </cell>
          <cell r="I409">
            <v>3118404563</v>
          </cell>
        </row>
        <row r="410">
          <cell r="B410">
            <v>46048</v>
          </cell>
          <cell r="I410">
            <v>3187528202</v>
          </cell>
        </row>
        <row r="411">
          <cell r="B411">
            <v>46048</v>
          </cell>
          <cell r="I411">
            <v>3166198371</v>
          </cell>
        </row>
        <row r="412">
          <cell r="B412">
            <v>46048</v>
          </cell>
          <cell r="I412">
            <v>3209927180</v>
          </cell>
        </row>
        <row r="413">
          <cell r="B413">
            <v>46048</v>
          </cell>
          <cell r="I413">
            <v>3208119637</v>
          </cell>
        </row>
        <row r="414">
          <cell r="B414">
            <v>46048</v>
          </cell>
          <cell r="I414">
            <v>3505658503</v>
          </cell>
        </row>
        <row r="415">
          <cell r="B415">
            <v>46048</v>
          </cell>
          <cell r="I415">
            <v>3502149870</v>
          </cell>
        </row>
        <row r="416">
          <cell r="B416">
            <v>46048</v>
          </cell>
          <cell r="I416">
            <v>3208834012</v>
          </cell>
        </row>
        <row r="417">
          <cell r="B417">
            <v>46048</v>
          </cell>
          <cell r="I417">
            <v>3150888802</v>
          </cell>
        </row>
        <row r="418">
          <cell r="B418">
            <v>46048</v>
          </cell>
          <cell r="I418">
            <v>3017866042</v>
          </cell>
        </row>
        <row r="419">
          <cell r="B419">
            <v>46049</v>
          </cell>
          <cell r="I419">
            <v>3229473612</v>
          </cell>
        </row>
        <row r="420">
          <cell r="B420">
            <v>46049</v>
          </cell>
          <cell r="I420">
            <v>3046003432</v>
          </cell>
        </row>
        <row r="421">
          <cell r="B421">
            <v>46049</v>
          </cell>
          <cell r="I421">
            <v>3046003432</v>
          </cell>
        </row>
        <row r="422">
          <cell r="B422">
            <v>46051</v>
          </cell>
          <cell r="I422">
            <v>3153084029</v>
          </cell>
        </row>
        <row r="423">
          <cell r="B423">
            <v>46051</v>
          </cell>
          <cell r="I423">
            <v>3153084029</v>
          </cell>
        </row>
        <row r="424">
          <cell r="B424">
            <v>46052</v>
          </cell>
          <cell r="I424">
            <v>3157198061</v>
          </cell>
        </row>
        <row r="425">
          <cell r="B425">
            <v>46052</v>
          </cell>
          <cell r="I425">
            <v>3176485204</v>
          </cell>
        </row>
        <row r="426">
          <cell r="B426">
            <v>46054</v>
          </cell>
          <cell r="I426">
            <v>3017139465</v>
          </cell>
        </row>
        <row r="427">
          <cell r="B427">
            <v>46057</v>
          </cell>
          <cell r="I427">
            <v>3205179480</v>
          </cell>
        </row>
      </sheetData>
      <sheetData sheetId="2"/>
      <sheetData sheetId="3"/>
      <sheetData sheetId="4">
        <row r="1">
          <cell r="G1" t="str">
            <v>57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0D7268-4CC7-40DE-9B88-C69ECB646D0D}" name="Tabla2" displayName="Tabla2" ref="A1:V380" totalsRowCount="1" headerRowDxfId="78" dataDxfId="77" tableBorderDxfId="76">
  <autoFilter ref="A1:V379" xr:uid="{B1287CB4-43C6-4B76-B41C-1C12E96E294F}"/>
  <sortState xmlns:xlrd2="http://schemas.microsoft.com/office/spreadsheetml/2017/richdata2" ref="A2:V379">
    <sortCondition ref="V1:V379"/>
  </sortState>
  <tableColumns count="22">
    <tableColumn id="1" xr3:uid="{AF6AC1D1-A0B4-44F5-8EC5-6B7D90D45653}" name="FECHA INICIAL" dataDxfId="36" totalsRowDxfId="14">
      <calculatedColumnFormula array="1">IFERROR(LOOKUP(2,1/([1]maestro!I:I=H2),[1]maestro!B:B),"")</calculatedColumnFormula>
    </tableColumn>
    <tableColumn id="2" xr3:uid="{79914F5E-66B0-4823-9E4E-24D2376AE2C9}" name="MES" dataDxfId="35">
      <calculatedColumnFormula>TEXT(A2,"mmmm")</calculatedColumnFormula>
    </tableColumn>
    <tableColumn id="3" xr3:uid="{652CAC82-6992-4DF8-811A-97A2C0B761CD}" name="CODIGO" dataDxfId="34" totalsRowDxfId="13"/>
    <tableColumn id="4" xr3:uid="{C48327A0-9828-4B66-B971-6F6A797A0514}" name="NOMBRE" dataDxfId="33"/>
    <tableColumn id="5" xr3:uid="{E73DFD66-17FC-4DDF-A7AD-DFA9332135A2}" name="NOMBRE2" dataDxfId="32" totalsRowDxfId="12">
      <calculatedColumnFormula>PROPER(D2)</calculatedColumnFormula>
    </tableColumn>
    <tableColumn id="6" xr3:uid="{795449DD-A44C-468C-8B2D-C1AD2CDB26C4}" name="Activo" dataDxfId="31"/>
    <tableColumn id="7" xr3:uid="{5725E6E7-E1CD-40E3-AA82-A58349A3F66E}" name="57" dataDxfId="30" totalsRowDxfId="11">
      <calculatedColumnFormula>CONCATENATE($G$1,H2)</calculatedColumnFormula>
    </tableColumn>
    <tableColumn id="8" xr3:uid="{9148ECE6-284F-4932-97E9-B7D733964D39}" name="NUMERO" dataDxfId="29" totalsRowDxfId="10"/>
    <tableColumn id="9" xr3:uid="{8B69EF7D-7BA6-4F1F-AA35-DF8607C90EBC}" name="POR COMIDA" dataDxfId="28" totalsRowDxfId="9"/>
    <tableColumn id="10" xr3:uid="{8BB0B6EE-9A6D-42C4-B979-14CB38373922}" name="AL DIA" dataDxfId="27" totalsRowDxfId="8"/>
    <tableColumn id="11" xr3:uid="{78B4BFC7-0056-4BA0-9A57-7574E67DACF6}" name="POR PEDIDO" dataDxfId="26" totalsRowDxfId="7">
      <calculatedColumnFormula>+J2*7</calculatedColumnFormula>
    </tableColumn>
    <tableColumn id="12" xr3:uid="{E0B04920-E522-439C-B164-117A95BFF356}" name="TOTAL PORCIONES" dataDxfId="25" totalsRowDxfId="6">
      <calculatedColumnFormula>K2/I2</calculatedColumnFormula>
    </tableColumn>
    <tableColumn id="13" xr3:uid="{9035B0AD-1FBD-41C2-B2F8-8538089D5D6B}" name="DURACION DEL PEDIDO" dataDxfId="24" totalsRowDxfId="5">
      <calculatedColumnFormula>K2/J2</calculatedColumnFormula>
    </tableColumn>
    <tableColumn id="14" xr3:uid="{030BE1B0-5E2C-48A8-BE3F-0991A08750D3}" name="PROXIMA  ENTREGA" dataDxfId="23" totalsRowDxfId="4">
      <calculatedColumnFormula>(A2+M2)</calculatedColumnFormula>
    </tableColumn>
    <tableColumn id="15" xr3:uid="{D71CA34D-1613-417B-AD05-5E9D360C56F0}" name="30" dataDxfId="22" totalsRowDxfId="3">
      <calculatedColumnFormula>+Tabla2[[#This Row],[CODIGO]]</calculatedColumnFormula>
    </tableColumn>
    <tableColumn id="16" xr3:uid="{10CBA16E-8FED-457C-B7A7-2376E446A88B}" name="VALOR KG" dataDxfId="21" totalsRowDxfId="2">
      <calculatedColumnFormula>R2/Q2*1000</calculatedColumnFormula>
    </tableColumn>
    <tableColumn id="17" xr3:uid="{96AD35B5-7350-44EB-8306-8DAF3B249C23}" name="gramos por pedido" dataDxfId="20">
      <calculatedColumnFormula>K2</calculatedColumnFormula>
    </tableColumn>
    <tableColumn id="18" xr3:uid="{2BE8AFC6-64BF-43F5-9384-EE951610D5C4}" name="valor pedido" dataDxfId="19" totalsRowDxfId="1" dataCellStyle="Millares"/>
    <tableColumn id="19" xr3:uid="{64C11063-E84E-48A9-BDB9-6C3DE916E7D3}" name="Direccion" dataDxfId="18"/>
    <tableColumn id="20" xr3:uid="{4733A5A1-6B3B-4364-8361-CBBA34F3BF44}" name="Cordenadas" dataDxfId="17"/>
    <tableColumn id="21" xr3:uid="{105CC44A-B337-473F-B81E-509F2A4265FB}" name="SALDO" totalsRowFunction="sum" dataDxfId="16"/>
    <tableColumn id="22" xr3:uid="{6B730F20-ACA0-43F9-88E5-0E92A4469B5C}" name="DEUDA" totalsRowFunction="sum" dataDxfId="15" totalsRowDxfId="0" dataCellStyle="Millares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31481318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51E4-F9AD-4579-AAB0-E9826830DCEF}">
  <sheetPr>
    <pageSetUpPr fitToPage="1"/>
  </sheetPr>
  <dimension ref="A1:V1047841"/>
  <sheetViews>
    <sheetView tabSelected="1" topLeftCell="O1" zoomScaleNormal="100" zoomScaleSheetLayoutView="100" workbookViewId="0">
      <pane ySplit="1" topLeftCell="A351" activePane="bottomLeft" state="frozen"/>
      <selection activeCell="B349" sqref="B349"/>
      <selection pane="bottomLeft" activeCell="S363" sqref="S363"/>
    </sheetView>
  </sheetViews>
  <sheetFormatPr baseColWidth="10" defaultColWidth="11.42578125" defaultRowHeight="15.75" x14ac:dyDescent="0.25"/>
  <cols>
    <col min="1" max="1" width="17.42578125" style="65" customWidth="1"/>
    <col min="2" max="2" width="11.42578125" customWidth="1"/>
    <col min="3" max="3" width="10.42578125" style="66" customWidth="1"/>
    <col min="4" max="4" width="47.42578125" style="67" customWidth="1"/>
    <col min="5" max="5" width="44.28515625" customWidth="1"/>
    <col min="6" max="6" width="16.140625" customWidth="1"/>
    <col min="7" max="7" width="33.85546875" customWidth="1"/>
    <col min="8" max="8" width="24.85546875" style="68" customWidth="1"/>
    <col min="9" max="9" width="14.85546875" style="70" customWidth="1"/>
    <col min="10" max="10" width="8.85546875" style="70" customWidth="1"/>
    <col min="11" max="11" width="14" style="70" customWidth="1"/>
    <col min="12" max="12" width="25.5703125" style="71" customWidth="1"/>
    <col min="13" max="13" width="23.85546875" style="72" customWidth="1"/>
    <col min="14" max="14" width="21" customWidth="1"/>
    <col min="15" max="15" width="12" customWidth="1"/>
    <col min="16" max="16" width="14" style="74" customWidth="1"/>
    <col min="17" max="17" width="19.7109375" customWidth="1"/>
    <col min="18" max="18" width="15.7109375" style="78" customWidth="1"/>
    <col min="19" max="19" width="100.42578125" customWidth="1"/>
    <col min="20" max="20" width="38.7109375" customWidth="1"/>
    <col min="21" max="21" width="11.42578125" customWidth="1"/>
    <col min="22" max="22" width="14.140625" style="79" bestFit="1" customWidth="1"/>
  </cols>
  <sheetData>
    <row r="1" spans="1:22" s="2" customFormat="1" ht="14.1" customHeight="1" x14ac:dyDescent="0.25">
      <c r="A1" s="1" t="s">
        <v>0</v>
      </c>
      <c r="B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3" t="s">
        <v>13</v>
      </c>
      <c r="O1" s="3" t="s">
        <v>14</v>
      </c>
      <c r="P1" s="7" t="s">
        <v>15</v>
      </c>
      <c r="Q1" s="3" t="s">
        <v>16</v>
      </c>
      <c r="R1" s="8" t="s">
        <v>17</v>
      </c>
      <c r="S1" s="2" t="s">
        <v>18</v>
      </c>
      <c r="T1" s="2" t="s">
        <v>19</v>
      </c>
      <c r="U1" s="2" t="s">
        <v>947</v>
      </c>
      <c r="V1" s="80" t="s">
        <v>948</v>
      </c>
    </row>
    <row r="2" spans="1:22" s="10" customFormat="1" x14ac:dyDescent="0.25">
      <c r="A2" s="9" cm="1">
        <f t="array" ref="A2">IFERROR(LOOKUP(2,1/([1]maestro!I:I=H2),[1]maestro!B:B),"")</f>
        <v>0</v>
      </c>
      <c r="B2" s="10" t="str">
        <f>TEXT(A2,"mmmm")</f>
        <v>enero</v>
      </c>
      <c r="C2" s="11">
        <v>1</v>
      </c>
      <c r="D2" s="12" t="s">
        <v>20</v>
      </c>
      <c r="E2" s="13" t="str">
        <f>PROPER(D2)</f>
        <v>Abastos</v>
      </c>
      <c r="G2" s="14" t="str">
        <f>CONCATENATE($G$1,H2)</f>
        <v>57</v>
      </c>
      <c r="H2" s="13"/>
      <c r="I2" s="15">
        <v>0</v>
      </c>
      <c r="J2" s="15">
        <v>0</v>
      </c>
      <c r="K2" s="15">
        <f>+J2*7</f>
        <v>0</v>
      </c>
      <c r="L2" s="16">
        <v>0</v>
      </c>
      <c r="M2" s="17">
        <v>0</v>
      </c>
      <c r="N2" s="18">
        <v>0</v>
      </c>
      <c r="O2" s="13">
        <f>+Tabla2[[#This Row],[CODIGO]]</f>
        <v>1</v>
      </c>
      <c r="P2" s="19">
        <v>0</v>
      </c>
      <c r="Q2" s="10">
        <f>K2</f>
        <v>0</v>
      </c>
      <c r="R2" s="20"/>
      <c r="T2" s="10" t="s">
        <v>21</v>
      </c>
      <c r="U2">
        <v>0</v>
      </c>
      <c r="V2" s="79">
        <v>0</v>
      </c>
    </row>
    <row r="3" spans="1:22" s="10" customFormat="1" x14ac:dyDescent="0.25">
      <c r="A3" s="9" t="str" cm="1">
        <f t="array" ref="A3">IFERROR(LOOKUP(2,1/([1]maestro!I:I=H3),[1]maestro!B:B),"")</f>
        <v/>
      </c>
      <c r="B3" s="10" t="str">
        <f>TEXT(A3,"mmmm")</f>
        <v/>
      </c>
      <c r="C3" s="11">
        <v>2</v>
      </c>
      <c r="D3" s="10" t="s">
        <v>22</v>
      </c>
      <c r="E3" s="13" t="str">
        <f>PROPER(D3)</f>
        <v>Acicalarte Peluquería Especialiazada Canina Y Felina</v>
      </c>
      <c r="F3" s="15" t="s">
        <v>23</v>
      </c>
      <c r="G3" s="14" t="str">
        <f>CONCATENATE($G$1,H3)</f>
        <v>573222340142</v>
      </c>
      <c r="H3" s="13">
        <v>3222340142</v>
      </c>
      <c r="I3" s="13">
        <v>1000</v>
      </c>
      <c r="J3" s="13">
        <v>1000</v>
      </c>
      <c r="K3" s="13">
        <v>1000</v>
      </c>
      <c r="L3" s="13">
        <f>K3/I3</f>
        <v>1</v>
      </c>
      <c r="M3" s="13">
        <f>K3/J3</f>
        <v>1</v>
      </c>
      <c r="N3" s="18" t="e">
        <f>(A3+M3)</f>
        <v>#VALUE!</v>
      </c>
      <c r="O3" s="13">
        <f>+Tabla2[[#This Row],[CODIGO]]</f>
        <v>2</v>
      </c>
      <c r="P3" s="19">
        <f>R3/Q3*1000</f>
        <v>28000</v>
      </c>
      <c r="Q3" s="10">
        <f>K3</f>
        <v>1000</v>
      </c>
      <c r="R3" s="20">
        <v>28000</v>
      </c>
      <c r="S3" s="10" t="s">
        <v>24</v>
      </c>
      <c r="U3">
        <v>0</v>
      </c>
      <c r="V3" s="79">
        <v>0</v>
      </c>
    </row>
    <row r="4" spans="1:22" s="10" customFormat="1" x14ac:dyDescent="0.25">
      <c r="A4" s="9" t="str" cm="1">
        <f t="array" ref="A4">IFERROR(LOOKUP(2,1/([1]maestro!I:I=H4),[1]maestro!B:B),"")</f>
        <v/>
      </c>
      <c r="B4" s="10" t="str">
        <f>TEXT(A4,"mmmm")</f>
        <v/>
      </c>
      <c r="C4" s="11">
        <v>3</v>
      </c>
      <c r="D4" s="12" t="s">
        <v>25</v>
      </c>
      <c r="E4" s="13" t="str">
        <f>PROPER(D4)</f>
        <v xml:space="preserve">Adolfo Cuéllar </v>
      </c>
      <c r="G4" s="14" t="str">
        <f>CONCATENATE($G$1,H4)</f>
        <v>573202199058</v>
      </c>
      <c r="H4" s="13">
        <v>3202199058</v>
      </c>
      <c r="I4" s="15">
        <v>70</v>
      </c>
      <c r="J4" s="15">
        <v>140</v>
      </c>
      <c r="K4" s="15">
        <f>+J4*7</f>
        <v>980</v>
      </c>
      <c r="L4" s="16">
        <f>K4/I4</f>
        <v>14</v>
      </c>
      <c r="M4" s="17">
        <f>K4/J4</f>
        <v>7</v>
      </c>
      <c r="N4" s="18" t="e">
        <f>(A4+M4)</f>
        <v>#VALUE!</v>
      </c>
      <c r="O4" s="13">
        <f>+Tabla2[[#This Row],[CODIGO]]</f>
        <v>3</v>
      </c>
      <c r="P4" s="19">
        <f>R4/Q4*1000</f>
        <v>10204.08163265306</v>
      </c>
      <c r="Q4" s="10">
        <f>K4</f>
        <v>980</v>
      </c>
      <c r="R4" s="20">
        <v>10000</v>
      </c>
      <c r="S4" s="10" t="s">
        <v>26</v>
      </c>
      <c r="U4">
        <v>0</v>
      </c>
      <c r="V4" s="79">
        <v>0</v>
      </c>
    </row>
    <row r="5" spans="1:22" s="10" customFormat="1" x14ac:dyDescent="0.25">
      <c r="A5" s="21" cm="1">
        <f t="array" ref="A5">IFERROR(LOOKUP(2,1/([1]maestro!I:I=H5),[1]maestro!B:B),"")</f>
        <v>46042</v>
      </c>
      <c r="B5" s="22" t="str">
        <f>TEXT(A5,"mmmm")</f>
        <v>enero</v>
      </c>
      <c r="C5" s="23">
        <v>4</v>
      </c>
      <c r="D5" s="22" t="s">
        <v>27</v>
      </c>
      <c r="E5" s="24" t="str">
        <f>PROPER(D5)</f>
        <v>Adriana Baron</v>
      </c>
      <c r="F5" s="22"/>
      <c r="G5" s="25" t="str">
        <f>CONCATENATE($G$1,H5)</f>
        <v>573115063260</v>
      </c>
      <c r="H5" s="24">
        <v>3115063260</v>
      </c>
      <c r="I5" s="24">
        <v>40</v>
      </c>
      <c r="J5" s="24">
        <v>40</v>
      </c>
      <c r="K5" s="24">
        <f>+J5*15</f>
        <v>600</v>
      </c>
      <c r="L5" s="24">
        <f>K5/I5</f>
        <v>15</v>
      </c>
      <c r="M5" s="24">
        <f>K5/J5</f>
        <v>15</v>
      </c>
      <c r="N5" s="18">
        <f>(A5+M5)</f>
        <v>46057</v>
      </c>
      <c r="O5" s="24">
        <f>+Tabla2[[#This Row],[CODIGO]]</f>
        <v>4</v>
      </c>
      <c r="P5" s="26">
        <f>R5/Q5*1000</f>
        <v>80000</v>
      </c>
      <c r="Q5" s="22">
        <f>K5</f>
        <v>600</v>
      </c>
      <c r="R5" s="27">
        <v>48000</v>
      </c>
      <c r="S5" s="22" t="s">
        <v>28</v>
      </c>
      <c r="T5" s="22" t="s">
        <v>29</v>
      </c>
      <c r="U5">
        <v>0</v>
      </c>
      <c r="V5" s="79">
        <v>0</v>
      </c>
    </row>
    <row r="6" spans="1:22" s="10" customFormat="1" x14ac:dyDescent="0.25">
      <c r="A6" s="9" cm="1">
        <f t="array" ref="A6">IFERROR(LOOKUP(2,1/([1]maestro!I:I=H6),[1]maestro!B:B),"")</f>
        <v>46038</v>
      </c>
      <c r="B6" s="10" t="str">
        <f>TEXT(A6,"mmmm")</f>
        <v>enero</v>
      </c>
      <c r="C6" s="11">
        <v>5</v>
      </c>
      <c r="D6" s="12" t="s">
        <v>30</v>
      </c>
      <c r="E6" s="13" t="str">
        <f>PROPER(D6)</f>
        <v>Adriana Esperanza Morales Sierra 215</v>
      </c>
      <c r="G6" s="14" t="str">
        <f>CONCATENATE($G$1,H6)</f>
        <v>573025162129</v>
      </c>
      <c r="H6" s="13">
        <v>3025162129</v>
      </c>
      <c r="I6" s="15">
        <v>215</v>
      </c>
      <c r="J6" s="15">
        <f>215*2</f>
        <v>430</v>
      </c>
      <c r="K6" s="15">
        <f>+J6*15</f>
        <v>6450</v>
      </c>
      <c r="L6" s="16">
        <f>K6/I6</f>
        <v>30</v>
      </c>
      <c r="M6" s="17">
        <f>K6/J6</f>
        <v>15</v>
      </c>
      <c r="N6" s="18">
        <f>(A6+M6)</f>
        <v>46053</v>
      </c>
      <c r="O6" s="13">
        <f>+Tabla2[[#This Row],[CODIGO]]</f>
        <v>5</v>
      </c>
      <c r="P6" s="19">
        <f>R6/Q6*1000</f>
        <v>28000</v>
      </c>
      <c r="Q6" s="10">
        <f>K6</f>
        <v>6450</v>
      </c>
      <c r="R6" s="20">
        <v>180600</v>
      </c>
      <c r="S6" s="10" t="s">
        <v>31</v>
      </c>
      <c r="T6" s="10" t="s">
        <v>32</v>
      </c>
      <c r="U6">
        <v>0</v>
      </c>
      <c r="V6" s="79">
        <v>0</v>
      </c>
    </row>
    <row r="7" spans="1:22" s="10" customFormat="1" x14ac:dyDescent="0.25">
      <c r="A7" s="9" cm="1">
        <f t="array" ref="A7">IFERROR(LOOKUP(2,1/([1]maestro!I:I=H7),[1]maestro!B:B),"")</f>
        <v>46038</v>
      </c>
      <c r="B7" s="10" t="str">
        <f>TEXT(A7,"mmmm")</f>
        <v>enero</v>
      </c>
      <c r="C7" s="11">
        <v>5</v>
      </c>
      <c r="D7" s="12" t="s">
        <v>33</v>
      </c>
      <c r="E7" s="13" t="str">
        <f>PROPER(D7)</f>
        <v>Adriana Esperanza Morales Sierra 235</v>
      </c>
      <c r="G7" s="14" t="str">
        <f>CONCATENATE($G$1,H7)</f>
        <v>573025162129</v>
      </c>
      <c r="H7" s="13">
        <v>3025162129</v>
      </c>
      <c r="I7" s="15">
        <v>235</v>
      </c>
      <c r="J7" s="15">
        <f>235*2</f>
        <v>470</v>
      </c>
      <c r="K7" s="15">
        <f>+J7*15</f>
        <v>7050</v>
      </c>
      <c r="L7" s="16">
        <f>K7/I7</f>
        <v>30</v>
      </c>
      <c r="M7" s="17">
        <f>K7/J7</f>
        <v>15</v>
      </c>
      <c r="N7" s="18">
        <f>(A7+M7)</f>
        <v>46053</v>
      </c>
      <c r="O7" s="13">
        <f>+Tabla2[[#This Row],[CODIGO]]</f>
        <v>5</v>
      </c>
      <c r="P7" s="19">
        <f>R7/Q7*1000</f>
        <v>28000</v>
      </c>
      <c r="Q7" s="10">
        <f>K7</f>
        <v>7050</v>
      </c>
      <c r="R7" s="20">
        <v>197400</v>
      </c>
      <c r="S7" s="10" t="s">
        <v>31</v>
      </c>
      <c r="T7" s="10" t="s">
        <v>32</v>
      </c>
      <c r="U7">
        <v>0</v>
      </c>
      <c r="V7" s="79">
        <v>0</v>
      </c>
    </row>
    <row r="8" spans="1:22" s="10" customFormat="1" x14ac:dyDescent="0.25">
      <c r="A8" s="9" t="str" cm="1">
        <f t="array" ref="A8">IFERROR(LOOKUP(2,1/([1]maestro!I:I=H8),[1]maestro!B:B),"")</f>
        <v/>
      </c>
      <c r="B8" s="10" t="str">
        <f>TEXT(A8,"mmmm")</f>
        <v/>
      </c>
      <c r="C8" s="11">
        <v>6</v>
      </c>
      <c r="D8" s="12" t="s">
        <v>34</v>
      </c>
      <c r="E8" s="13" t="str">
        <f>PROPER(D8)</f>
        <v>Adriana Melo</v>
      </c>
      <c r="G8" s="14" t="str">
        <f>CONCATENATE('[1]Clientes Inactivos'!$G$1,H8)</f>
        <v>573047592006</v>
      </c>
      <c r="H8" s="13">
        <v>3047592006</v>
      </c>
      <c r="I8" s="15">
        <v>120</v>
      </c>
      <c r="J8" s="15">
        <v>240</v>
      </c>
      <c r="K8" s="15">
        <f>+J8*15</f>
        <v>3600</v>
      </c>
      <c r="L8" s="16">
        <f>K8/I8</f>
        <v>30</v>
      </c>
      <c r="M8" s="17">
        <f>K8/J8</f>
        <v>15</v>
      </c>
      <c r="N8" s="18" t="e">
        <f>(A8+M8)</f>
        <v>#VALUE!</v>
      </c>
      <c r="O8" s="13">
        <f>+Tabla2[[#This Row],[CODIGO]]</f>
        <v>6</v>
      </c>
      <c r="P8" s="19">
        <f>R8/Q8*1000</f>
        <v>41833.333333333336</v>
      </c>
      <c r="Q8" s="10">
        <f>K8</f>
        <v>3600</v>
      </c>
      <c r="R8" s="20">
        <v>150600</v>
      </c>
      <c r="S8" s="10" t="s">
        <v>35</v>
      </c>
      <c r="U8">
        <v>0</v>
      </c>
      <c r="V8" s="79">
        <v>0</v>
      </c>
    </row>
    <row r="9" spans="1:22" s="10" customFormat="1" x14ac:dyDescent="0.25">
      <c r="A9" s="21" cm="1">
        <f t="array" ref="A9">IFERROR(LOOKUP(2,1/([1]maestro!I:I=H9),[1]maestro!B:B),"")</f>
        <v>46038</v>
      </c>
      <c r="B9" s="22" t="str">
        <f>TEXT(A9,"mmmm")</f>
        <v>enero</v>
      </c>
      <c r="C9" s="23">
        <v>7</v>
      </c>
      <c r="D9" s="22" t="s">
        <v>36</v>
      </c>
      <c r="E9" s="24" t="str">
        <f>PROPER(D9)</f>
        <v>Adriana Rubiano</v>
      </c>
      <c r="F9" s="22"/>
      <c r="G9" s="25" t="str">
        <f>CONCATENATE($G$1,H9)</f>
        <v>573007948969</v>
      </c>
      <c r="H9" s="24">
        <v>3007948969</v>
      </c>
      <c r="I9" s="24">
        <v>150</v>
      </c>
      <c r="J9" s="24">
        <v>150</v>
      </c>
      <c r="K9" s="24">
        <f>33*150</f>
        <v>4950</v>
      </c>
      <c r="L9" s="24">
        <f>K9/I9</f>
        <v>33</v>
      </c>
      <c r="M9" s="24">
        <f>K9/J9</f>
        <v>33</v>
      </c>
      <c r="N9" s="28">
        <f>(A9+M9)</f>
        <v>46071</v>
      </c>
      <c r="O9" s="24">
        <f>+Tabla2[[#This Row],[CODIGO]]</f>
        <v>7</v>
      </c>
      <c r="P9" s="26">
        <f>R9/Q9*1000</f>
        <v>26000</v>
      </c>
      <c r="Q9" s="22">
        <f>K9</f>
        <v>4950</v>
      </c>
      <c r="R9" s="27">
        <v>128700</v>
      </c>
      <c r="S9" s="22" t="s">
        <v>37</v>
      </c>
      <c r="T9" s="22" t="s">
        <v>38</v>
      </c>
      <c r="U9">
        <v>0</v>
      </c>
      <c r="V9" s="79">
        <v>0</v>
      </c>
    </row>
    <row r="10" spans="1:22" s="10" customFormat="1" x14ac:dyDescent="0.25">
      <c r="A10" s="21" cm="1">
        <f t="array" ref="A10">IFERROR(LOOKUP(2,1/([1]maestro!I:I=H10),[1]maestro!B:B),"")</f>
        <v>46045</v>
      </c>
      <c r="B10" s="22" t="str">
        <f>TEXT(A10,"mmmm")</f>
        <v>enero</v>
      </c>
      <c r="C10" s="23">
        <v>8</v>
      </c>
      <c r="D10" s="22" t="s">
        <v>39</v>
      </c>
      <c r="E10" s="24" t="str">
        <f>PROPER(D10)</f>
        <v>Adriana Sanchez Torres</v>
      </c>
      <c r="F10" s="22"/>
      <c r="G10" s="25" t="str">
        <f>CONCATENATE($G$1,H10)</f>
        <v>573504424814</v>
      </c>
      <c r="H10" s="24">
        <v>3504424814</v>
      </c>
      <c r="I10" s="24">
        <v>100</v>
      </c>
      <c r="J10" s="24">
        <v>300</v>
      </c>
      <c r="K10" s="24">
        <f>+J10*10</f>
        <v>3000</v>
      </c>
      <c r="L10" s="24">
        <f>K10/I10</f>
        <v>30</v>
      </c>
      <c r="M10" s="24">
        <f>K10/J10</f>
        <v>10</v>
      </c>
      <c r="N10" s="28">
        <f>(A10+M10)</f>
        <v>46055</v>
      </c>
      <c r="O10" s="24">
        <f>+Tabla2[[#This Row],[CODIGO]]</f>
        <v>8</v>
      </c>
      <c r="P10" s="26">
        <f>R10/Q10*1000</f>
        <v>29000</v>
      </c>
      <c r="Q10" s="22">
        <f>K10</f>
        <v>3000</v>
      </c>
      <c r="R10" s="27">
        <v>87000</v>
      </c>
      <c r="S10" s="22" t="s">
        <v>40</v>
      </c>
      <c r="T10" s="22" t="s">
        <v>41</v>
      </c>
      <c r="U10">
        <v>12000</v>
      </c>
      <c r="V10" s="79">
        <v>0</v>
      </c>
    </row>
    <row r="11" spans="1:22" s="10" customFormat="1" x14ac:dyDescent="0.25">
      <c r="A11" s="9" t="str" cm="1">
        <f t="array" ref="A11">IFERROR(LOOKUP(2,1/([1]maestro!I:I=H11),[1]maestro!B:B),"")</f>
        <v/>
      </c>
      <c r="B11" s="10" t="str">
        <f>TEXT(A11,"mmmm")</f>
        <v/>
      </c>
      <c r="C11" s="11">
        <v>9</v>
      </c>
      <c r="D11" s="10" t="s">
        <v>42</v>
      </c>
      <c r="E11" s="10" t="str">
        <f>PROPER(D11)</f>
        <v>Alejandra Gonzalez</v>
      </c>
      <c r="G11" s="10" t="str">
        <f>CONCATENATE($G$1,H11)</f>
        <v>573194208585</v>
      </c>
      <c r="H11" s="13">
        <v>3194208585</v>
      </c>
      <c r="I11" s="15">
        <v>300</v>
      </c>
      <c r="J11" s="15">
        <v>900</v>
      </c>
      <c r="K11" s="15">
        <f>+J11*7</f>
        <v>6300</v>
      </c>
      <c r="L11" s="16">
        <f>K11/I11</f>
        <v>21</v>
      </c>
      <c r="M11" s="17">
        <f>K11/J11</f>
        <v>7</v>
      </c>
      <c r="N11" s="18" t="e">
        <f>(A11+M11)</f>
        <v>#VALUE!</v>
      </c>
      <c r="O11" s="13">
        <f>+Tabla2[[#This Row],[CODIGO]]</f>
        <v>9</v>
      </c>
      <c r="P11" s="19">
        <f>R11/Q11*1000</f>
        <v>26507.936507936509</v>
      </c>
      <c r="Q11" s="10">
        <f>K11</f>
        <v>6300</v>
      </c>
      <c r="R11" s="29">
        <v>167000</v>
      </c>
      <c r="S11" s="10" t="s">
        <v>43</v>
      </c>
      <c r="T11" s="10" t="s">
        <v>44</v>
      </c>
      <c r="U11">
        <v>0</v>
      </c>
      <c r="V11" s="79">
        <v>0</v>
      </c>
    </row>
    <row r="12" spans="1:22" s="10" customFormat="1" x14ac:dyDescent="0.25">
      <c r="A12" s="21" cm="1">
        <f t="array" ref="A12">IFERROR(LOOKUP(2,1/([1]maestro!I:I=H12),[1]maestro!B:B),"")</f>
        <v>46038</v>
      </c>
      <c r="B12" s="22" t="str">
        <f>TEXT(A12,"mmmm")</f>
        <v>enero</v>
      </c>
      <c r="C12" s="23">
        <v>10</v>
      </c>
      <c r="D12" s="22" t="s">
        <v>45</v>
      </c>
      <c r="E12" s="24" t="str">
        <f>PROPER(D12)</f>
        <v>Alejandra Vargas</v>
      </c>
      <c r="F12" s="22"/>
      <c r="G12" s="25" t="str">
        <f>CONCATENATE($G$1,H12)</f>
        <v>573508196809</v>
      </c>
      <c r="H12" s="24">
        <v>3508196809</v>
      </c>
      <c r="I12" s="24">
        <v>120</v>
      </c>
      <c r="J12" s="24">
        <v>240</v>
      </c>
      <c r="K12" s="24">
        <f>30*120</f>
        <v>3600</v>
      </c>
      <c r="L12" s="24">
        <f>K12/I12</f>
        <v>30</v>
      </c>
      <c r="M12" s="24">
        <f>K12/J12</f>
        <v>15</v>
      </c>
      <c r="N12" s="28">
        <f>(A12+M12)</f>
        <v>46053</v>
      </c>
      <c r="O12" s="24">
        <f>+Tabla2[[#This Row],[CODIGO]]</f>
        <v>10</v>
      </c>
      <c r="P12" s="26">
        <f>R12/Q12*1000</f>
        <v>32000</v>
      </c>
      <c r="Q12" s="22">
        <f>K12</f>
        <v>3600</v>
      </c>
      <c r="R12" s="30">
        <v>115200</v>
      </c>
      <c r="S12" s="22" t="s">
        <v>46</v>
      </c>
      <c r="T12" s="22" t="s">
        <v>47</v>
      </c>
      <c r="U12">
        <v>115201</v>
      </c>
      <c r="V12" s="79">
        <v>0</v>
      </c>
    </row>
    <row r="13" spans="1:22" s="10" customFormat="1" x14ac:dyDescent="0.25">
      <c r="A13" s="21" t="str" cm="1">
        <f t="array" ref="A13">IFERROR(LOOKUP(2,1/([1]maestro!I:I=H13),[1]maestro!B:B),"")</f>
        <v/>
      </c>
      <c r="B13" s="22" t="str">
        <f>TEXT(A13,"mmmm")</f>
        <v/>
      </c>
      <c r="C13" s="23">
        <v>11</v>
      </c>
      <c r="D13" s="22" t="s">
        <v>48</v>
      </c>
      <c r="E13" s="24" t="str">
        <f>PROPER(D13)</f>
        <v>Alejandro González</v>
      </c>
      <c r="F13" s="22"/>
      <c r="G13" s="25" t="str">
        <f>CONCATENATE($G$1,H13)</f>
        <v>573118935628</v>
      </c>
      <c r="H13" s="24">
        <v>3118935628</v>
      </c>
      <c r="I13" s="24">
        <v>230</v>
      </c>
      <c r="J13" s="24">
        <v>460</v>
      </c>
      <c r="K13" s="24">
        <f>15*460</f>
        <v>6900</v>
      </c>
      <c r="L13" s="24">
        <f>K13/I13</f>
        <v>30</v>
      </c>
      <c r="M13" s="24">
        <f>K13/J13</f>
        <v>15</v>
      </c>
      <c r="N13" s="28" t="e">
        <f>(A13+M13)</f>
        <v>#VALUE!</v>
      </c>
      <c r="O13" s="24">
        <f>+Tabla2[[#This Row],[CODIGO]]</f>
        <v>11</v>
      </c>
      <c r="P13" s="26">
        <f>R13/Q13*1000</f>
        <v>20507.246376811592</v>
      </c>
      <c r="Q13" s="22">
        <f>K13</f>
        <v>6900</v>
      </c>
      <c r="R13" s="27">
        <v>141500</v>
      </c>
      <c r="S13" s="22" t="s">
        <v>49</v>
      </c>
      <c r="T13" s="22" t="s">
        <v>50</v>
      </c>
      <c r="U13">
        <v>0</v>
      </c>
      <c r="V13" s="79">
        <v>0</v>
      </c>
    </row>
    <row r="14" spans="1:22" s="10" customFormat="1" x14ac:dyDescent="0.25">
      <c r="A14" s="21" cm="1">
        <f t="array" ref="A14">IFERROR(LOOKUP(2,1/([1]maestro!I:I=H14),[1]maestro!B:B),"")</f>
        <v>46034</v>
      </c>
      <c r="B14" s="22" t="str">
        <f>TEXT(A14,"mmmm")</f>
        <v>enero</v>
      </c>
      <c r="C14" s="23">
        <v>12</v>
      </c>
      <c r="D14" s="22" t="s">
        <v>51</v>
      </c>
      <c r="E14" s="24" t="str">
        <f>PROPER(D14)</f>
        <v>Alejandro Monsalve</v>
      </c>
      <c r="F14" s="22"/>
      <c r="G14" s="25" t="str">
        <f>CONCATENATE($G$1,H14)</f>
        <v>573223747738</v>
      </c>
      <c r="H14" s="24">
        <v>3223747738</v>
      </c>
      <c r="I14" s="24">
        <v>150</v>
      </c>
      <c r="J14" s="24">
        <v>150</v>
      </c>
      <c r="K14" s="24">
        <f>150*15</f>
        <v>2250</v>
      </c>
      <c r="L14" s="24">
        <f>K14/I14</f>
        <v>15</v>
      </c>
      <c r="M14" s="24">
        <f>K14/J14</f>
        <v>15</v>
      </c>
      <c r="N14" s="28">
        <f>(A14+M14)</f>
        <v>46049</v>
      </c>
      <c r="O14" s="24">
        <f>+Tabla2[[#This Row],[CODIGO]]</f>
        <v>12</v>
      </c>
      <c r="P14" s="26">
        <f>R14/Q14*1000</f>
        <v>25000</v>
      </c>
      <c r="Q14" s="22">
        <f>K14</f>
        <v>2250</v>
      </c>
      <c r="R14" s="31">
        <v>56250</v>
      </c>
      <c r="S14" s="22" t="s">
        <v>52</v>
      </c>
      <c r="T14" s="22" t="s">
        <v>53</v>
      </c>
      <c r="U14">
        <v>0</v>
      </c>
      <c r="V14" s="79">
        <v>426000</v>
      </c>
    </row>
    <row r="15" spans="1:22" s="10" customFormat="1" x14ac:dyDescent="0.25">
      <c r="A15" s="9" t="str" cm="1">
        <f t="array" ref="A15">IFERROR(LOOKUP(2,1/([1]maestro!I:I=H15),[1]maestro!B:B),"")</f>
        <v/>
      </c>
      <c r="B15" s="10" t="str">
        <f>TEXT(A15,"mmmm")</f>
        <v/>
      </c>
      <c r="C15" s="11">
        <v>13</v>
      </c>
      <c r="D15" s="10" t="s">
        <v>54</v>
      </c>
      <c r="E15" s="13" t="str">
        <f>PROPER(D15)</f>
        <v>Alejandro Morales</v>
      </c>
      <c r="F15" s="13"/>
      <c r="G15" s="14" t="str">
        <f>CONCATENATE('[1]Clientes Inactivos'!$G$1,H15)</f>
        <v>573103237451</v>
      </c>
      <c r="H15" s="13">
        <v>3103237451</v>
      </c>
      <c r="I15" s="13">
        <v>215</v>
      </c>
      <c r="J15" s="13">
        <v>430</v>
      </c>
      <c r="K15" s="13">
        <f>430*7</f>
        <v>3010</v>
      </c>
      <c r="L15" s="13">
        <f>K15/I15</f>
        <v>14</v>
      </c>
      <c r="M15" s="13">
        <f>K15/J15</f>
        <v>7</v>
      </c>
      <c r="N15" s="18" t="e">
        <f>(A15+M15)</f>
        <v>#VALUE!</v>
      </c>
      <c r="O15" s="13">
        <f>+Tabla2[[#This Row],[CODIGO]]</f>
        <v>13</v>
      </c>
      <c r="P15" s="19">
        <f>R15/Q15*1000</f>
        <v>34784.053156146176</v>
      </c>
      <c r="Q15" s="10">
        <f>K15</f>
        <v>3010</v>
      </c>
      <c r="R15" s="20">
        <v>104700</v>
      </c>
      <c r="S15" s="10" t="s">
        <v>55</v>
      </c>
      <c r="T15" s="10" t="s">
        <v>56</v>
      </c>
      <c r="U15">
        <v>0</v>
      </c>
      <c r="V15" s="79">
        <v>0</v>
      </c>
    </row>
    <row r="16" spans="1:22" s="10" customFormat="1" x14ac:dyDescent="0.25">
      <c r="A16" s="21" cm="1">
        <f t="array" ref="A16">IFERROR(LOOKUP(2,1/([1]maestro!I:I=H16),[1]maestro!B:B),"")</f>
        <v>46037</v>
      </c>
      <c r="B16" s="22" t="str">
        <f>TEXT(A16,"mmmm")</f>
        <v>enero</v>
      </c>
      <c r="C16" s="23">
        <v>14</v>
      </c>
      <c r="D16" s="22" t="s">
        <v>57</v>
      </c>
      <c r="E16" s="24" t="str">
        <f>PROPER(D16)</f>
        <v>Alexander Sanabria</v>
      </c>
      <c r="F16" s="22"/>
      <c r="G16" s="25" t="str">
        <f>CONCATENATE($G$1,H16)</f>
        <v>573138121836</v>
      </c>
      <c r="H16" s="24">
        <v>3138121836</v>
      </c>
      <c r="I16" s="24">
        <v>210</v>
      </c>
      <c r="J16" s="24">
        <v>210</v>
      </c>
      <c r="K16" s="24">
        <f>210*15</f>
        <v>3150</v>
      </c>
      <c r="L16" s="24">
        <f>K16/I16</f>
        <v>15</v>
      </c>
      <c r="M16" s="24">
        <f>K16/J16</f>
        <v>15</v>
      </c>
      <c r="N16" s="28">
        <f>(A16+M16)</f>
        <v>46052</v>
      </c>
      <c r="O16" s="24">
        <f>+Tabla2[[#This Row],[CODIGO]]</f>
        <v>14</v>
      </c>
      <c r="P16" s="26">
        <f>R16/Q16*1000</f>
        <v>31050</v>
      </c>
      <c r="Q16" s="22">
        <f>K16</f>
        <v>3150</v>
      </c>
      <c r="R16" s="30">
        <v>97807.5</v>
      </c>
      <c r="S16" s="22" t="s">
        <v>58</v>
      </c>
      <c r="T16" s="22" t="s">
        <v>59</v>
      </c>
      <c r="U16">
        <v>0</v>
      </c>
      <c r="V16" s="79">
        <v>0</v>
      </c>
    </row>
    <row r="17" spans="1:22" s="22" customFormat="1" x14ac:dyDescent="0.25">
      <c r="A17" s="21" cm="1">
        <f t="array" ref="A17">IFERROR(LOOKUP(2,1/([1]maestro!I:I=H17),[1]maestro!B:B),"")</f>
        <v>46043</v>
      </c>
      <c r="B17" s="22" t="str">
        <f>TEXT(A17,"mmmm")</f>
        <v>enero</v>
      </c>
      <c r="C17" s="23">
        <v>15</v>
      </c>
      <c r="D17" s="22" t="s">
        <v>63</v>
      </c>
      <c r="E17" s="24" t="str">
        <f>PROPER(D17)</f>
        <v>Alison Muñoz Vanegas Olarte</v>
      </c>
      <c r="G17" s="25" t="str">
        <f>CONCATENATE($G$1,H17)</f>
        <v>573002759952</v>
      </c>
      <c r="H17" s="24">
        <v>3002759952</v>
      </c>
      <c r="I17" s="24">
        <v>185</v>
      </c>
      <c r="J17" s="24">
        <v>370</v>
      </c>
      <c r="K17" s="24">
        <f>+J17*15</f>
        <v>5550</v>
      </c>
      <c r="L17" s="24">
        <f>K17/I17</f>
        <v>30</v>
      </c>
      <c r="M17" s="24">
        <f>K17/J17</f>
        <v>15</v>
      </c>
      <c r="N17" s="28">
        <f>(A17+M17)</f>
        <v>46058</v>
      </c>
      <c r="O17" s="24">
        <f>+Tabla2[[#This Row],[CODIGO]]</f>
        <v>15</v>
      </c>
      <c r="P17" s="26">
        <f>R17/Q17*1000</f>
        <v>27405.405405405407</v>
      </c>
      <c r="Q17" s="22">
        <f>K17</f>
        <v>5550</v>
      </c>
      <c r="R17" s="27">
        <v>152100</v>
      </c>
      <c r="S17" s="22" t="s">
        <v>64</v>
      </c>
      <c r="U17">
        <v>0</v>
      </c>
      <c r="V17" s="79">
        <v>0</v>
      </c>
    </row>
    <row r="18" spans="1:22" s="22" customFormat="1" x14ac:dyDescent="0.25">
      <c r="A18" s="9" cm="1">
        <f t="array" ref="A18">IFERROR(LOOKUP(2,1/([1]maestro!I:I=H18),[1]maestro!B:B),"")</f>
        <v>46036</v>
      </c>
      <c r="B18" s="10" t="str">
        <f>TEXT(A18,"mmmm")</f>
        <v>enero</v>
      </c>
      <c r="C18" s="11">
        <v>16</v>
      </c>
      <c r="D18" s="12" t="s">
        <v>65</v>
      </c>
      <c r="E18" s="13" t="str">
        <f>PROPER(D18)</f>
        <v>Alisson Caballero Jordan 200</v>
      </c>
      <c r="F18" s="10" t="s">
        <v>66</v>
      </c>
      <c r="G18" s="14" t="str">
        <f>CONCATENATE($G$1,H18)</f>
        <v>573212341101</v>
      </c>
      <c r="H18" s="13">
        <v>3212341101</v>
      </c>
      <c r="I18" s="15">
        <v>200</v>
      </c>
      <c r="J18" s="15">
        <v>400</v>
      </c>
      <c r="K18" s="15">
        <f>+J18*15</f>
        <v>6000</v>
      </c>
      <c r="L18" s="16">
        <f>K18/I18</f>
        <v>30</v>
      </c>
      <c r="M18" s="17">
        <f>K18/J18</f>
        <v>15</v>
      </c>
      <c r="N18" s="18">
        <f>(A18+M18)</f>
        <v>46051</v>
      </c>
      <c r="O18" s="13">
        <f>+Tabla2[[#This Row],[CODIGO]]</f>
        <v>16</v>
      </c>
      <c r="P18" s="19">
        <f>R18/Q18*1000</f>
        <v>23000</v>
      </c>
      <c r="Q18" s="10">
        <f>K18</f>
        <v>6000</v>
      </c>
      <c r="R18" s="20">
        <v>138000</v>
      </c>
      <c r="S18" s="10" t="s">
        <v>67</v>
      </c>
      <c r="T18" s="10"/>
      <c r="U18">
        <v>0</v>
      </c>
      <c r="V18" s="79">
        <v>0</v>
      </c>
    </row>
    <row r="19" spans="1:22" s="10" customFormat="1" x14ac:dyDescent="0.25">
      <c r="A19" s="9" cm="1">
        <f t="array" ref="A19">IFERROR(LOOKUP(2,1/([1]maestro!I:I=H19),[1]maestro!B:B),"")</f>
        <v>46036</v>
      </c>
      <c r="B19" s="10" t="str">
        <f>TEXT(A19,"mmmm")</f>
        <v>enero</v>
      </c>
      <c r="C19" s="11">
        <v>16</v>
      </c>
      <c r="D19" s="12" t="s">
        <v>68</v>
      </c>
      <c r="E19" s="13" t="str">
        <f>PROPER(D19)</f>
        <v>Alisson Caballero Ralph 140</v>
      </c>
      <c r="F19" s="10" t="s">
        <v>66</v>
      </c>
      <c r="G19" s="14" t="str">
        <f>CONCATENATE($G$1,H19)</f>
        <v>573014357581</v>
      </c>
      <c r="H19" s="13">
        <v>3014357581</v>
      </c>
      <c r="I19" s="15">
        <v>140</v>
      </c>
      <c r="J19" s="15">
        <v>280</v>
      </c>
      <c r="K19" s="15">
        <f>+J19*15</f>
        <v>4200</v>
      </c>
      <c r="L19" s="16">
        <f>K19/I19</f>
        <v>30</v>
      </c>
      <c r="M19" s="17">
        <f>K19/J19</f>
        <v>15</v>
      </c>
      <c r="N19" s="18">
        <f>(A19+M19)</f>
        <v>46051</v>
      </c>
      <c r="O19" s="13">
        <f>+Tabla2[[#This Row],[CODIGO]]</f>
        <v>16</v>
      </c>
      <c r="P19" s="19">
        <f>R19/Q19*1000</f>
        <v>23000</v>
      </c>
      <c r="Q19" s="10">
        <f>K19</f>
        <v>4200</v>
      </c>
      <c r="R19" s="20">
        <v>96600</v>
      </c>
      <c r="S19" s="10" t="s">
        <v>69</v>
      </c>
      <c r="T19" s="10" t="s">
        <v>70</v>
      </c>
      <c r="U19">
        <v>0</v>
      </c>
      <c r="V19" s="79">
        <v>0</v>
      </c>
    </row>
    <row r="20" spans="1:22" s="10" customFormat="1" x14ac:dyDescent="0.25">
      <c r="A20" s="9" cm="1">
        <f t="array" ref="A20">IFERROR(LOOKUP(2,1/([1]maestro!I:I=H20),[1]maestro!B:B),"")</f>
        <v>46036</v>
      </c>
      <c r="B20" s="10" t="str">
        <f>TEXT(A20,"mmmm")</f>
        <v>enero</v>
      </c>
      <c r="C20" s="11">
        <v>16</v>
      </c>
      <c r="D20" s="12" t="s">
        <v>71</v>
      </c>
      <c r="E20" s="13" t="str">
        <f>PROPER(D20)</f>
        <v>Alisson Caballero Sheep 80</v>
      </c>
      <c r="F20" s="10" t="s">
        <v>66</v>
      </c>
      <c r="G20" s="14" t="str">
        <f>CONCATENATE($G$1,H20)</f>
        <v>573014357581</v>
      </c>
      <c r="H20" s="13">
        <v>3014357581</v>
      </c>
      <c r="I20" s="15">
        <v>80</v>
      </c>
      <c r="J20" s="15">
        <v>160</v>
      </c>
      <c r="K20" s="15">
        <f>+J20*15</f>
        <v>2400</v>
      </c>
      <c r="L20" s="16">
        <f>K20/I20</f>
        <v>30</v>
      </c>
      <c r="M20" s="17">
        <f>K20/J20</f>
        <v>15</v>
      </c>
      <c r="N20" s="18">
        <f>(A20+M20)</f>
        <v>46051</v>
      </c>
      <c r="O20" s="13">
        <f>+Tabla2[[#This Row],[CODIGO]]</f>
        <v>16</v>
      </c>
      <c r="P20" s="19">
        <f>R20/Q20*1000</f>
        <v>23000</v>
      </c>
      <c r="Q20" s="10">
        <f>K20</f>
        <v>2400</v>
      </c>
      <c r="R20" s="20">
        <v>55200</v>
      </c>
      <c r="S20" s="10" t="s">
        <v>72</v>
      </c>
      <c r="T20" s="10" t="s">
        <v>73</v>
      </c>
      <c r="U20">
        <v>0</v>
      </c>
      <c r="V20" s="79">
        <v>0</v>
      </c>
    </row>
    <row r="21" spans="1:22" s="10" customFormat="1" x14ac:dyDescent="0.25">
      <c r="A21" s="9" cm="1">
        <f t="array" ref="A21">IFERROR(LOOKUP(2,1/([1]maestro!I:I=H21),[1]maestro!B:B),"")</f>
        <v>46038</v>
      </c>
      <c r="B21" s="10" t="str">
        <f>TEXT(A21,"mmmm")</f>
        <v>enero</v>
      </c>
      <c r="C21" s="11">
        <v>17</v>
      </c>
      <c r="D21" s="12" t="s">
        <v>74</v>
      </c>
      <c r="E21" s="13" t="str">
        <f>PROPER(D21)</f>
        <v>Alisson Nicole Sarmiento</v>
      </c>
      <c r="G21" s="14" t="str">
        <f>CONCATENATE($G$1,H21)</f>
        <v>573145768568</v>
      </c>
      <c r="H21" s="13">
        <v>3145768568</v>
      </c>
      <c r="I21" s="15">
        <v>105</v>
      </c>
      <c r="J21" s="15">
        <v>210</v>
      </c>
      <c r="K21" s="15">
        <f>+J21*15</f>
        <v>3150</v>
      </c>
      <c r="L21" s="16">
        <f>K21/I21</f>
        <v>30</v>
      </c>
      <c r="M21" s="17">
        <f>K21/J21</f>
        <v>15</v>
      </c>
      <c r="N21" s="18">
        <f>(A21+M21)</f>
        <v>46053</v>
      </c>
      <c r="O21" s="13">
        <f>+Tabla2[[#This Row],[CODIGO]]</f>
        <v>17</v>
      </c>
      <c r="P21" s="19">
        <f>R21/Q21*1000</f>
        <v>37904.761904761908</v>
      </c>
      <c r="Q21" s="10">
        <f>K21</f>
        <v>3150</v>
      </c>
      <c r="R21" s="20">
        <v>119400</v>
      </c>
      <c r="S21" s="10" t="s">
        <v>75</v>
      </c>
      <c r="T21" s="10" t="s">
        <v>76</v>
      </c>
      <c r="U21">
        <v>0</v>
      </c>
      <c r="V21" s="79">
        <v>0</v>
      </c>
    </row>
    <row r="22" spans="1:22" s="10" customFormat="1" x14ac:dyDescent="0.25">
      <c r="A22" s="21" cm="1">
        <f t="array" ref="A22">IFERROR(LOOKUP(2,1/([1]maestro!I:I=H22),[1]maestro!B:B),"")</f>
        <v>46036</v>
      </c>
      <c r="B22" s="22" t="str">
        <f>TEXT(A22,"mmmm")</f>
        <v>enero</v>
      </c>
      <c r="C22" s="23">
        <v>19</v>
      </c>
      <c r="D22" s="22" t="s">
        <v>80</v>
      </c>
      <c r="E22" s="24" t="str">
        <f>PROPER(D22)</f>
        <v>Ana Martinez</v>
      </c>
      <c r="F22" s="22"/>
      <c r="G22" s="25" t="str">
        <f>CONCATENATE($G$1,H22)</f>
        <v>573204743810</v>
      </c>
      <c r="H22" s="24">
        <v>3204743810</v>
      </c>
      <c r="I22" s="24">
        <v>55</v>
      </c>
      <c r="J22" s="24">
        <v>110</v>
      </c>
      <c r="K22" s="24">
        <f>30*55</f>
        <v>1650</v>
      </c>
      <c r="L22" s="24">
        <f>K22/I22</f>
        <v>30</v>
      </c>
      <c r="M22" s="24">
        <f>K22/J22</f>
        <v>15</v>
      </c>
      <c r="N22" s="28">
        <f>(A22+M22)</f>
        <v>46051</v>
      </c>
      <c r="O22" s="24">
        <f>+Tabla2[[#This Row],[CODIGO]]</f>
        <v>19</v>
      </c>
      <c r="P22" s="26">
        <f>R22/Q22*1000</f>
        <v>51515.151515151512</v>
      </c>
      <c r="Q22" s="22">
        <f>K22</f>
        <v>1650</v>
      </c>
      <c r="R22" s="30">
        <v>85000</v>
      </c>
      <c r="S22" s="22" t="s">
        <v>81</v>
      </c>
      <c r="T22" s="22" t="s">
        <v>82</v>
      </c>
      <c r="U22">
        <v>0</v>
      </c>
      <c r="V22" s="79">
        <v>0</v>
      </c>
    </row>
    <row r="23" spans="1:22" s="10" customFormat="1" x14ac:dyDescent="0.25">
      <c r="A23" s="21" cm="1">
        <f t="array" ref="A23">IFERROR(LOOKUP(2,1/([1]maestro!I:I=H23),[1]maestro!B:B),"")</f>
        <v>46042</v>
      </c>
      <c r="B23" s="22" t="str">
        <f>TEXT(A23,"mmmm")</f>
        <v>enero</v>
      </c>
      <c r="C23" s="23">
        <v>18</v>
      </c>
      <c r="D23" s="32" t="s">
        <v>77</v>
      </c>
      <c r="E23" s="24" t="str">
        <f>PROPER(D23)</f>
        <v>Amparo Gallo</v>
      </c>
      <c r="F23" s="22"/>
      <c r="G23" s="25" t="str">
        <f>CONCATENATE($G$1,H23)</f>
        <v>573162702464</v>
      </c>
      <c r="H23" s="24">
        <v>3162702464</v>
      </c>
      <c r="I23" s="33">
        <v>90</v>
      </c>
      <c r="J23" s="33">
        <v>180</v>
      </c>
      <c r="K23" s="33">
        <f>+J23*15</f>
        <v>2700</v>
      </c>
      <c r="L23" s="34">
        <f>K23/I23</f>
        <v>30</v>
      </c>
      <c r="M23" s="35">
        <f>K23/J23</f>
        <v>15</v>
      </c>
      <c r="N23" s="28">
        <f>(A23+M23)</f>
        <v>46057</v>
      </c>
      <c r="O23" s="24">
        <f>+Tabla2[[#This Row],[CODIGO]]</f>
        <v>18</v>
      </c>
      <c r="P23" s="26">
        <f>R23/Q23*1000</f>
        <v>40000</v>
      </c>
      <c r="Q23" s="22">
        <f>K23</f>
        <v>2700</v>
      </c>
      <c r="R23" s="27">
        <v>108000</v>
      </c>
      <c r="S23" s="22" t="s">
        <v>78</v>
      </c>
      <c r="T23" s="22" t="s">
        <v>79</v>
      </c>
      <c r="U23">
        <v>0</v>
      </c>
      <c r="V23" s="79">
        <v>108000</v>
      </c>
    </row>
    <row r="24" spans="1:22" s="10" customFormat="1" x14ac:dyDescent="0.25">
      <c r="A24" s="9" t="str" cm="1">
        <f t="array" ref="A24">IFERROR(LOOKUP(2,1/([1]maestro!I:I=H24),[1]maestro!B:B),"")</f>
        <v/>
      </c>
      <c r="B24" s="10" t="str">
        <f>TEXT(A24,"mmmm")</f>
        <v/>
      </c>
      <c r="C24" s="11">
        <v>20</v>
      </c>
      <c r="D24" s="12" t="s">
        <v>83</v>
      </c>
      <c r="E24" s="13" t="str">
        <f>PROPER(D24)</f>
        <v>Andrea Quintero 54</v>
      </c>
      <c r="G24" s="14" t="str">
        <f>CONCATENATE($G$1,H24)</f>
        <v>573206393433</v>
      </c>
      <c r="H24" s="13">
        <v>3206393433</v>
      </c>
      <c r="I24" s="15">
        <v>54</v>
      </c>
      <c r="J24" s="15">
        <v>160</v>
      </c>
      <c r="K24" s="15">
        <f>+J24*7</f>
        <v>1120</v>
      </c>
      <c r="L24" s="16">
        <f>K24/I24</f>
        <v>20.74074074074074</v>
      </c>
      <c r="M24" s="17">
        <f>K24/J24</f>
        <v>7</v>
      </c>
      <c r="N24" s="18" t="e">
        <f>(A24+M24)</f>
        <v>#VALUE!</v>
      </c>
      <c r="O24" s="13">
        <f>+Tabla2[[#This Row],[CODIGO]]</f>
        <v>20</v>
      </c>
      <c r="P24" s="19">
        <f>R24/Q24*1000</f>
        <v>8928.5714285714294</v>
      </c>
      <c r="Q24" s="10">
        <f>K24</f>
        <v>1120</v>
      </c>
      <c r="R24" s="20">
        <v>10000</v>
      </c>
      <c r="S24" s="10" t="s">
        <v>84</v>
      </c>
      <c r="U24">
        <v>0</v>
      </c>
      <c r="V24" s="79">
        <v>0</v>
      </c>
    </row>
    <row r="25" spans="1:22" s="10" customFormat="1" x14ac:dyDescent="0.25">
      <c r="A25" s="9" t="str" cm="1">
        <f t="array" ref="A25">IFERROR(LOOKUP(2,1/([1]maestro!I:I=H25),[1]maestro!B:B),"")</f>
        <v/>
      </c>
      <c r="B25" s="10" t="str">
        <f>TEXT(A25,"mmmm")</f>
        <v/>
      </c>
      <c r="C25" s="11">
        <v>20</v>
      </c>
      <c r="D25" s="12" t="s">
        <v>85</v>
      </c>
      <c r="E25" s="13" t="str">
        <f>PROPER(D25)</f>
        <v>Andrea Quintero 75</v>
      </c>
      <c r="G25" s="14" t="str">
        <f>CONCATENATE($G$1,H25)</f>
        <v>573206393433</v>
      </c>
      <c r="H25" s="13">
        <v>3206393433</v>
      </c>
      <c r="I25" s="15">
        <v>75</v>
      </c>
      <c r="J25" s="15">
        <v>300</v>
      </c>
      <c r="K25" s="15">
        <f>+J25*7</f>
        <v>2100</v>
      </c>
      <c r="L25" s="16">
        <f>K25/I25</f>
        <v>28</v>
      </c>
      <c r="M25" s="17">
        <f>K25/J25</f>
        <v>7</v>
      </c>
      <c r="N25" s="18" t="e">
        <f>(A25+M25)</f>
        <v>#VALUE!</v>
      </c>
      <c r="O25" s="13">
        <f>+Tabla2[[#This Row],[CODIGO]]</f>
        <v>20</v>
      </c>
      <c r="P25" s="19">
        <f>R25/Q25*1000</f>
        <v>4761.9047619047615</v>
      </c>
      <c r="Q25" s="10">
        <f>K25</f>
        <v>2100</v>
      </c>
      <c r="R25" s="20">
        <v>10000</v>
      </c>
      <c r="S25" s="10" t="s">
        <v>84</v>
      </c>
      <c r="U25">
        <v>0</v>
      </c>
      <c r="V25" s="79">
        <v>0</v>
      </c>
    </row>
    <row r="26" spans="1:22" s="10" customFormat="1" x14ac:dyDescent="0.25">
      <c r="A26" s="9" cm="1">
        <f t="array" ref="A26">IFERROR(LOOKUP(2,1/([1]maestro!I:I=H26),[1]maestro!B:B),"")</f>
        <v>46038</v>
      </c>
      <c r="B26" s="10" t="str">
        <f>TEXT(A26,"mmmm")</f>
        <v>enero</v>
      </c>
      <c r="C26" s="11">
        <v>22</v>
      </c>
      <c r="D26" s="10" t="s">
        <v>92</v>
      </c>
      <c r="E26" s="13" t="str">
        <f>PROPER(D26)</f>
        <v>Andreina Molinares Acosta 450</v>
      </c>
      <c r="G26" s="14" t="str">
        <f>CONCATENATE($G$1,H26)</f>
        <v>573154842369</v>
      </c>
      <c r="H26" s="13">
        <v>3154842369</v>
      </c>
      <c r="I26" s="13">
        <v>450</v>
      </c>
      <c r="J26" s="13">
        <v>450</v>
      </c>
      <c r="K26" s="13">
        <f>450*15</f>
        <v>6750</v>
      </c>
      <c r="L26" s="13">
        <f>K26/I26</f>
        <v>15</v>
      </c>
      <c r="M26" s="13">
        <f>K26/J26</f>
        <v>15</v>
      </c>
      <c r="N26" s="18">
        <f>(A26+M26)</f>
        <v>46053</v>
      </c>
      <c r="O26" s="13">
        <f>+Tabla2[[#This Row],[CODIGO]]</f>
        <v>22</v>
      </c>
      <c r="P26" s="19">
        <f>R26/Q26*1000</f>
        <v>32562.962962962964</v>
      </c>
      <c r="Q26" s="10">
        <f>K26</f>
        <v>6750</v>
      </c>
      <c r="R26" s="20">
        <v>219800</v>
      </c>
      <c r="S26" s="10" t="s">
        <v>90</v>
      </c>
      <c r="T26" s="10" t="s">
        <v>91</v>
      </c>
      <c r="U26">
        <v>0</v>
      </c>
      <c r="V26" s="79">
        <v>0</v>
      </c>
    </row>
    <row r="27" spans="1:22" s="10" customFormat="1" x14ac:dyDescent="0.25">
      <c r="A27" s="9" t="str" cm="1">
        <f t="array" ref="A27">IFERROR(LOOKUP(2,1/([1]maestro!I:I=H27),[1]maestro!B:B),"")</f>
        <v/>
      </c>
      <c r="B27" s="10" t="str">
        <f>TEXT(A27,"mmmm")</f>
        <v/>
      </c>
      <c r="C27" s="11">
        <v>21</v>
      </c>
      <c r="D27" s="12" t="s">
        <v>86</v>
      </c>
      <c r="E27" s="13" t="str">
        <f>PROPER(D27)</f>
        <v>Andrea Rodríguez</v>
      </c>
      <c r="G27" s="14" t="str">
        <f>CONCATENATE($G$1,H27)</f>
        <v>573504520899</v>
      </c>
      <c r="H27" s="13">
        <v>3504520899</v>
      </c>
      <c r="I27" s="15">
        <v>117</v>
      </c>
      <c r="J27" s="15">
        <v>350</v>
      </c>
      <c r="K27" s="15">
        <f>+J27*15</f>
        <v>5250</v>
      </c>
      <c r="L27" s="16">
        <f>K27/I27</f>
        <v>44.871794871794869</v>
      </c>
      <c r="M27" s="17">
        <f>K27/J27</f>
        <v>15</v>
      </c>
      <c r="N27" s="18" t="e">
        <f>(A27+M27)</f>
        <v>#VALUE!</v>
      </c>
      <c r="O27" s="13">
        <f>+Tabla2[[#This Row],[CODIGO]]</f>
        <v>21</v>
      </c>
      <c r="P27" s="19">
        <f>R27/Q27*1000</f>
        <v>36571.428571428572</v>
      </c>
      <c r="Q27" s="10">
        <f>K27</f>
        <v>5250</v>
      </c>
      <c r="R27" s="20">
        <v>192000</v>
      </c>
      <c r="S27" s="10" t="s">
        <v>87</v>
      </c>
      <c r="T27" s="10" t="s">
        <v>88</v>
      </c>
      <c r="U27">
        <v>0</v>
      </c>
      <c r="V27" s="79">
        <v>192000</v>
      </c>
    </row>
    <row r="28" spans="1:22" s="10" customFormat="1" x14ac:dyDescent="0.25">
      <c r="A28" s="9" cm="1">
        <f t="array" ref="A28">IFERROR(LOOKUP(2,1/([1]maestro!I:I=H28),[1]maestro!B:B),"")</f>
        <v>46038</v>
      </c>
      <c r="B28" s="10" t="str">
        <f>TEXT(A28,"mmmm")</f>
        <v>enero</v>
      </c>
      <c r="C28" s="11">
        <v>22</v>
      </c>
      <c r="D28" s="10" t="s">
        <v>89</v>
      </c>
      <c r="E28" s="13" t="str">
        <f>PROPER(D28)</f>
        <v>Andreina Molinares Acosta 200</v>
      </c>
      <c r="G28" s="14" t="str">
        <f>CONCATENATE($G$1,H28)</f>
        <v>573154842369</v>
      </c>
      <c r="H28" s="13">
        <v>3154842369</v>
      </c>
      <c r="I28" s="13">
        <v>200</v>
      </c>
      <c r="J28" s="13">
        <v>200</v>
      </c>
      <c r="K28" s="13">
        <f>15*200</f>
        <v>3000</v>
      </c>
      <c r="L28" s="13">
        <f>K28/I28</f>
        <v>15</v>
      </c>
      <c r="M28" s="13">
        <f>K28/J28</f>
        <v>15</v>
      </c>
      <c r="N28" s="18">
        <f>(A28+M28)</f>
        <v>46053</v>
      </c>
      <c r="O28" s="13">
        <f>+Tabla2[[#This Row],[CODIGO]]</f>
        <v>22</v>
      </c>
      <c r="P28" s="19">
        <f>R28/Q28*1000</f>
        <v>23983.333333333336</v>
      </c>
      <c r="Q28" s="10">
        <f>K28</f>
        <v>3000</v>
      </c>
      <c r="R28" s="20">
        <v>71950</v>
      </c>
      <c r="S28" s="10" t="s">
        <v>90</v>
      </c>
      <c r="T28" s="10" t="s">
        <v>91</v>
      </c>
      <c r="U28">
        <v>0</v>
      </c>
      <c r="V28" s="79">
        <v>603499</v>
      </c>
    </row>
    <row r="29" spans="1:22" s="10" customFormat="1" x14ac:dyDescent="0.25">
      <c r="A29" s="21" cm="1">
        <f t="array" ref="A29">IFERROR(LOOKUP(2,1/([1]maestro!I:I=H29),[1]maestro!B:B),"")</f>
        <v>46045</v>
      </c>
      <c r="B29" s="22" t="str">
        <f>TEXT(A29,"mmmm")</f>
        <v>enero</v>
      </c>
      <c r="C29" s="23">
        <v>23</v>
      </c>
      <c r="D29" s="22" t="s">
        <v>93</v>
      </c>
      <c r="E29" s="24" t="str">
        <f>PROPER(D29)</f>
        <v>Andres Felipe Aguilar Cadena</v>
      </c>
      <c r="F29" s="22"/>
      <c r="G29" s="25" t="str">
        <f>CONCATENATE('[1]Clientes Inactivos'!$G$1,H29)</f>
        <v>573016592951</v>
      </c>
      <c r="H29" s="24">
        <v>3016592951</v>
      </c>
      <c r="I29" s="33">
        <v>45</v>
      </c>
      <c r="J29" s="33">
        <v>135</v>
      </c>
      <c r="K29" s="33">
        <f>+J29*15</f>
        <v>2025</v>
      </c>
      <c r="L29" s="34">
        <f>K29/I29</f>
        <v>45</v>
      </c>
      <c r="M29" s="35">
        <f>K29/J29</f>
        <v>15</v>
      </c>
      <c r="N29" s="28">
        <f>(A29+M29)</f>
        <v>46060</v>
      </c>
      <c r="O29" s="24">
        <f>+Tabla2[[#This Row],[CODIGO]]</f>
        <v>23</v>
      </c>
      <c r="P29" s="26">
        <f>R29/Q29*1000</f>
        <v>44000</v>
      </c>
      <c r="Q29" s="22">
        <f>K29</f>
        <v>2025</v>
      </c>
      <c r="R29" s="27">
        <v>89100</v>
      </c>
      <c r="S29" s="22" t="s">
        <v>94</v>
      </c>
      <c r="T29" s="22"/>
      <c r="U29">
        <v>0</v>
      </c>
      <c r="V29" s="79">
        <v>0</v>
      </c>
    </row>
    <row r="30" spans="1:22" s="10" customFormat="1" x14ac:dyDescent="0.25">
      <c r="A30" s="9" t="str" cm="1">
        <f t="array" ref="A30">IFERROR(LOOKUP(2,1/([1]maestro!I:I=H30),[1]maestro!B:B),"")</f>
        <v/>
      </c>
      <c r="B30" s="10" t="str">
        <f>TEXT(A30,"mmmm")</f>
        <v/>
      </c>
      <c r="C30" s="11">
        <v>24</v>
      </c>
      <c r="D30" s="10" t="s">
        <v>95</v>
      </c>
      <c r="E30" s="13" t="str">
        <f>PROPER(D30)</f>
        <v>Andres Sanchez</v>
      </c>
      <c r="G30" s="14" t="str">
        <f>CONCATENATE($G$1,H30)</f>
        <v>573134550773</v>
      </c>
      <c r="H30" s="13">
        <v>3134550773</v>
      </c>
      <c r="I30" s="13">
        <v>60</v>
      </c>
      <c r="J30" s="13">
        <v>180</v>
      </c>
      <c r="K30" s="13">
        <f>+J30*15</f>
        <v>2700</v>
      </c>
      <c r="L30" s="13">
        <f>K30/I30</f>
        <v>45</v>
      </c>
      <c r="M30" s="13">
        <f>K30/J30</f>
        <v>15</v>
      </c>
      <c r="N30" s="18" t="e">
        <f>(A30+M30)</f>
        <v>#VALUE!</v>
      </c>
      <c r="O30" s="13">
        <f>+Tabla2[[#This Row],[CODIGO]]</f>
        <v>24</v>
      </c>
      <c r="P30" s="19">
        <f>R30/Q30*1000</f>
        <v>27777.777777777777</v>
      </c>
      <c r="Q30" s="10">
        <f>K30</f>
        <v>2700</v>
      </c>
      <c r="R30" s="20">
        <v>75000</v>
      </c>
      <c r="S30" s="10" t="s">
        <v>96</v>
      </c>
      <c r="U30">
        <v>0</v>
      </c>
      <c r="V30" s="79">
        <v>0</v>
      </c>
    </row>
    <row r="31" spans="1:22" s="10" customFormat="1" x14ac:dyDescent="0.25">
      <c r="A31" s="9" t="str" cm="1">
        <f t="array" ref="A31">IFERROR(LOOKUP(2,1/([1]maestro!I:I=H31),[1]maestro!B:B),"")</f>
        <v/>
      </c>
      <c r="B31" s="10" t="str">
        <f>TEXT(A31,"mmmm")</f>
        <v/>
      </c>
      <c r="C31" s="11">
        <v>25</v>
      </c>
      <c r="D31" s="12" t="s">
        <v>97</v>
      </c>
      <c r="E31" s="13" t="str">
        <f>PROPER(D31)</f>
        <v>Angela Andrea Castañeda</v>
      </c>
      <c r="G31" s="14" t="str">
        <f>CONCATENATE($G$1,H31)</f>
        <v>573176798013</v>
      </c>
      <c r="H31" s="13">
        <v>3176798013</v>
      </c>
      <c r="I31" s="15">
        <v>75</v>
      </c>
      <c r="J31" s="15">
        <v>150</v>
      </c>
      <c r="K31" s="15">
        <f>+J31*7</f>
        <v>1050</v>
      </c>
      <c r="L31" s="16">
        <f>K31/I31</f>
        <v>14</v>
      </c>
      <c r="M31" s="17">
        <f>K31/J31</f>
        <v>7</v>
      </c>
      <c r="N31" s="18" t="e">
        <f>(A31+M31)</f>
        <v>#VALUE!</v>
      </c>
      <c r="O31" s="13">
        <f>+Tabla2[[#This Row],[CODIGO]]</f>
        <v>25</v>
      </c>
      <c r="P31" s="19">
        <f>R31/Q31*1000</f>
        <v>41428.571428571428</v>
      </c>
      <c r="Q31" s="10">
        <f>K31</f>
        <v>1050</v>
      </c>
      <c r="R31" s="20">
        <v>43500</v>
      </c>
      <c r="S31" s="36" t="s">
        <v>98</v>
      </c>
      <c r="U31">
        <v>0</v>
      </c>
      <c r="V31" s="79">
        <v>0</v>
      </c>
    </row>
    <row r="32" spans="1:22" s="10" customFormat="1" x14ac:dyDescent="0.25">
      <c r="A32" s="21" cm="1">
        <f t="array" ref="A32">IFERROR(LOOKUP(2,1/([1]maestro!I:I=H32),[1]maestro!B:B),"")</f>
        <v>46036</v>
      </c>
      <c r="B32" s="22" t="str">
        <f>TEXT(A32,"mmmm")</f>
        <v>enero</v>
      </c>
      <c r="C32" s="23">
        <v>26</v>
      </c>
      <c r="D32" s="22" t="s">
        <v>99</v>
      </c>
      <c r="E32" s="24" t="str">
        <f>PROPER(D32)</f>
        <v>Angela Barreto</v>
      </c>
      <c r="F32" s="22"/>
      <c r="G32" s="25" t="str">
        <f>CONCATENATE($G$1,H32)</f>
        <v>573133420908</v>
      </c>
      <c r="H32" s="24">
        <v>3133420908</v>
      </c>
      <c r="I32" s="24">
        <v>160</v>
      </c>
      <c r="J32" s="24">
        <v>160</v>
      </c>
      <c r="K32" s="24">
        <f>15*160</f>
        <v>2400</v>
      </c>
      <c r="L32" s="24">
        <f>K32/I32</f>
        <v>15</v>
      </c>
      <c r="M32" s="24">
        <f>K32/J32</f>
        <v>15</v>
      </c>
      <c r="N32" s="28">
        <f>(A32+M32)</f>
        <v>46051</v>
      </c>
      <c r="O32" s="24">
        <f>+Tabla2[[#This Row],[CODIGO]]</f>
        <v>26</v>
      </c>
      <c r="P32" s="26">
        <f>R32/Q32*1000</f>
        <v>39000</v>
      </c>
      <c r="Q32" s="22">
        <f>K32</f>
        <v>2400</v>
      </c>
      <c r="R32" s="30">
        <v>93600</v>
      </c>
      <c r="S32" s="22" t="s">
        <v>100</v>
      </c>
      <c r="T32" s="22" t="s">
        <v>101</v>
      </c>
      <c r="U32">
        <v>0</v>
      </c>
      <c r="V32" s="79">
        <v>0</v>
      </c>
    </row>
    <row r="33" spans="1:22" s="10" customFormat="1" x14ac:dyDescent="0.25">
      <c r="A33" s="9" cm="1">
        <f t="array" ref="A33">IFERROR(LOOKUP(2,1/([1]maestro!I:I=H33),[1]maestro!B:B),"")</f>
        <v>46041</v>
      </c>
      <c r="B33" s="10" t="str">
        <f>TEXT(A33,"mmmm")</f>
        <v>enero</v>
      </c>
      <c r="C33" s="11">
        <v>27</v>
      </c>
      <c r="D33" s="12" t="s">
        <v>102</v>
      </c>
      <c r="E33" s="13" t="str">
        <f>PROPER(D33)</f>
        <v>Angela Carvajal</v>
      </c>
      <c r="G33" s="14" t="str">
        <f>CONCATENATE($G$1,H33)</f>
        <v>573044699658</v>
      </c>
      <c r="H33" s="13">
        <v>3044699658</v>
      </c>
      <c r="I33" s="15">
        <v>150</v>
      </c>
      <c r="J33" s="15">
        <v>300</v>
      </c>
      <c r="K33" s="15">
        <f>+J33*15</f>
        <v>4500</v>
      </c>
      <c r="L33" s="16">
        <f>K33/I33</f>
        <v>30</v>
      </c>
      <c r="M33" s="17">
        <f>K33/J33</f>
        <v>15</v>
      </c>
      <c r="N33" s="18">
        <f>(A33+M33)</f>
        <v>46056</v>
      </c>
      <c r="O33" s="13">
        <f>+Tabla2[[#This Row],[CODIGO]]</f>
        <v>27</v>
      </c>
      <c r="P33" s="19">
        <f>R33/Q33*1000</f>
        <v>37333.333333333336</v>
      </c>
      <c r="Q33" s="10">
        <f>K33</f>
        <v>4500</v>
      </c>
      <c r="R33" s="20">
        <v>168000</v>
      </c>
      <c r="S33" s="10" t="s">
        <v>103</v>
      </c>
      <c r="T33" s="10" t="s">
        <v>104</v>
      </c>
      <c r="U33">
        <v>0</v>
      </c>
      <c r="V33" s="79">
        <v>0</v>
      </c>
    </row>
    <row r="34" spans="1:22" s="10" customFormat="1" x14ac:dyDescent="0.25">
      <c r="A34" s="9" cm="1">
        <f t="array" ref="A34">IFERROR(LOOKUP(2,1/([1]maestro!I:I=H34),[1]maestro!B:B),"")</f>
        <v>46038</v>
      </c>
      <c r="B34" s="10" t="str">
        <f>TEXT(A34,"mmmm")</f>
        <v>enero</v>
      </c>
      <c r="C34" s="11">
        <v>28</v>
      </c>
      <c r="D34" s="10" t="s">
        <v>105</v>
      </c>
      <c r="E34" s="13" t="str">
        <f>PROPER(D34)</f>
        <v>Angie Caterine Rodriguez Sanchez</v>
      </c>
      <c r="G34" s="14" t="str">
        <f>CONCATENATE($G$1,H34)</f>
        <v>573212497133</v>
      </c>
      <c r="H34" s="13">
        <v>3212497133</v>
      </c>
      <c r="I34" s="13">
        <v>270</v>
      </c>
      <c r="J34" s="13">
        <v>540</v>
      </c>
      <c r="K34" s="13">
        <v>8100</v>
      </c>
      <c r="L34" s="13">
        <f>K34/I34</f>
        <v>30</v>
      </c>
      <c r="M34" s="13">
        <f>K34/J34</f>
        <v>15</v>
      </c>
      <c r="N34" s="18">
        <f>(A34+M34)</f>
        <v>46053</v>
      </c>
      <c r="O34" s="13">
        <f>+Tabla2[[#This Row],[CODIGO]]</f>
        <v>28</v>
      </c>
      <c r="P34" s="19">
        <f>R34/Q34*1000</f>
        <v>22000</v>
      </c>
      <c r="Q34" s="10">
        <f>K34</f>
        <v>8100</v>
      </c>
      <c r="R34" s="20">
        <v>178200</v>
      </c>
      <c r="S34" s="10" t="s">
        <v>106</v>
      </c>
      <c r="T34" s="10" t="s">
        <v>107</v>
      </c>
      <c r="U34">
        <v>0</v>
      </c>
      <c r="V34" s="79">
        <v>0</v>
      </c>
    </row>
    <row r="35" spans="1:22" s="10" customFormat="1" x14ac:dyDescent="0.25">
      <c r="A35" s="37" cm="1">
        <f t="array" ref="A35">IFERROR(LOOKUP(2,1/([1]maestro!I:I=H35),[1]maestro!B:B),"")</f>
        <v>46048</v>
      </c>
      <c r="B35" s="38" t="str">
        <f>TEXT(A35,"mmmm")</f>
        <v>enero</v>
      </c>
      <c r="C35" s="39">
        <v>29</v>
      </c>
      <c r="D35" s="38" t="s">
        <v>108</v>
      </c>
      <c r="E35" s="40" t="str">
        <f>PROPER(D35)</f>
        <v>Angie Paola Rincon Alvarez</v>
      </c>
      <c r="F35" s="38"/>
      <c r="G35" s="41" t="str">
        <f>CONCATENATE($G$1,H35)</f>
        <v>573187528202</v>
      </c>
      <c r="H35" s="40">
        <v>3187528202</v>
      </c>
      <c r="I35" s="42">
        <v>200</v>
      </c>
      <c r="J35" s="42">
        <v>400</v>
      </c>
      <c r="K35" s="42">
        <f>+I35*30</f>
        <v>6000</v>
      </c>
      <c r="L35" s="43">
        <f>K35/I35</f>
        <v>30</v>
      </c>
      <c r="M35" s="44">
        <f>K35/J35</f>
        <v>15</v>
      </c>
      <c r="N35" s="45">
        <f>(A35+M35)</f>
        <v>46063</v>
      </c>
      <c r="O35" s="40">
        <f>+Tabla2[[#This Row],[CODIGO]]</f>
        <v>29</v>
      </c>
      <c r="P35" s="46">
        <f>R35/Q35*1000</f>
        <v>42000</v>
      </c>
      <c r="Q35" s="38">
        <f>K35</f>
        <v>6000</v>
      </c>
      <c r="R35" s="47">
        <v>252000</v>
      </c>
      <c r="S35" s="38" t="s">
        <v>109</v>
      </c>
      <c r="T35" s="38" t="s">
        <v>110</v>
      </c>
      <c r="U35">
        <v>0</v>
      </c>
      <c r="V35" s="79">
        <v>0</v>
      </c>
    </row>
    <row r="36" spans="1:22" s="38" customFormat="1" x14ac:dyDescent="0.25">
      <c r="A36" s="9" cm="1">
        <f t="array" ref="A36">IFERROR(LOOKUP(2,1/([1]maestro!I:I=H36),[1]maestro!B:B),"")</f>
        <v>46043</v>
      </c>
      <c r="B36" s="10" t="str">
        <f>TEXT(A36,"mmmm")</f>
        <v>enero</v>
      </c>
      <c r="C36" s="11">
        <v>30</v>
      </c>
      <c r="D36" s="12" t="s">
        <v>111</v>
      </c>
      <c r="E36" s="13" t="str">
        <f>PROPER(D36)</f>
        <v xml:space="preserve">Anizoara Morales Diaz </v>
      </c>
      <c r="F36" s="10"/>
      <c r="G36" s="14" t="str">
        <f>CONCATENATE($G$1,H36)</f>
        <v>573004306563</v>
      </c>
      <c r="H36" s="13">
        <v>3004306563</v>
      </c>
      <c r="I36" s="15">
        <v>130</v>
      </c>
      <c r="J36" s="15">
        <v>390</v>
      </c>
      <c r="K36" s="15">
        <f>+J36*7</f>
        <v>2730</v>
      </c>
      <c r="L36" s="16">
        <f>K36/I36</f>
        <v>21</v>
      </c>
      <c r="M36" s="17">
        <f>K36/J36</f>
        <v>7</v>
      </c>
      <c r="N36" s="18">
        <f>(A36+M36)</f>
        <v>46050</v>
      </c>
      <c r="O36" s="13">
        <f>+Tabla2[[#This Row],[CODIGO]]</f>
        <v>30</v>
      </c>
      <c r="P36" s="19">
        <f>R36/Q36*1000</f>
        <v>3663.003663003663</v>
      </c>
      <c r="Q36" s="10">
        <f>K36</f>
        <v>2730</v>
      </c>
      <c r="R36" s="20">
        <v>10000</v>
      </c>
      <c r="S36" s="10" t="s">
        <v>112</v>
      </c>
      <c r="T36" s="10"/>
      <c r="U36">
        <v>0</v>
      </c>
      <c r="V36" s="79">
        <v>0</v>
      </c>
    </row>
    <row r="37" spans="1:22" s="10" customFormat="1" x14ac:dyDescent="0.25">
      <c r="A37" s="48" cm="1">
        <f t="array" ref="A37">IFERROR(LOOKUP(2,1/([1]maestro!I:I=H37),[1]maestro!B:B),"")</f>
        <v>46042</v>
      </c>
      <c r="B37" s="49" t="str">
        <f>TEXT(A37,"mmmm")</f>
        <v>enero</v>
      </c>
      <c r="C37" s="50">
        <v>32</v>
      </c>
      <c r="D37" s="49" t="s">
        <v>116</v>
      </c>
      <c r="E37" s="51" t="str">
        <f>PROPER(D37)</f>
        <v>Arnulfo Bocanegra</v>
      </c>
      <c r="F37" s="49"/>
      <c r="G37" s="52" t="str">
        <f>CONCATENATE($G$1,H37)</f>
        <v>573041103894</v>
      </c>
      <c r="H37" s="51">
        <v>3041103894</v>
      </c>
      <c r="I37" s="51">
        <v>100</v>
      </c>
      <c r="J37" s="51">
        <v>200</v>
      </c>
      <c r="K37" s="51">
        <v>3000</v>
      </c>
      <c r="L37" s="51">
        <f>K37/I37</f>
        <v>30</v>
      </c>
      <c r="M37" s="51">
        <f>K37/J37</f>
        <v>15</v>
      </c>
      <c r="N37" s="53">
        <f>(A37+M37)</f>
        <v>46057</v>
      </c>
      <c r="O37" s="51">
        <f>+Tabla2[[#This Row],[CODIGO]]</f>
        <v>32</v>
      </c>
      <c r="P37" s="54">
        <f>R37/Q37*1000</f>
        <v>29000</v>
      </c>
      <c r="Q37" s="49">
        <f>K37</f>
        <v>3000</v>
      </c>
      <c r="R37" s="55">
        <v>87000</v>
      </c>
      <c r="S37" s="49" t="s">
        <v>117</v>
      </c>
      <c r="T37" s="49" t="s">
        <v>118</v>
      </c>
      <c r="U37">
        <v>0</v>
      </c>
      <c r="V37" s="79">
        <v>0</v>
      </c>
    </row>
    <row r="38" spans="1:22" s="10" customFormat="1" x14ac:dyDescent="0.25">
      <c r="A38" s="9" cm="1">
        <f t="array" ref="A38">IFERROR(LOOKUP(2,1/([1]maestro!I:I=H38),[1]maestro!B:B),"")</f>
        <v>46034</v>
      </c>
      <c r="B38" s="10" t="str">
        <f>TEXT(A38,"mmmm")</f>
        <v>enero</v>
      </c>
      <c r="C38" s="11">
        <v>31</v>
      </c>
      <c r="D38" s="10" t="s">
        <v>113</v>
      </c>
      <c r="E38" s="13" t="str">
        <f>PROPER(D38)</f>
        <v>Argelio Gasca</v>
      </c>
      <c r="G38" s="14" t="str">
        <f>CONCATENATE($G$1,H38)</f>
        <v>573138503358</v>
      </c>
      <c r="H38" s="13">
        <v>3138503358</v>
      </c>
      <c r="I38" s="13">
        <v>350</v>
      </c>
      <c r="J38" s="13">
        <v>700</v>
      </c>
      <c r="K38" s="13">
        <f>700*15</f>
        <v>10500</v>
      </c>
      <c r="L38" s="13">
        <f>K38/I38</f>
        <v>30</v>
      </c>
      <c r="M38" s="13">
        <f>K38/J38</f>
        <v>15</v>
      </c>
      <c r="N38" s="18">
        <f>(A38+M38)</f>
        <v>46049</v>
      </c>
      <c r="O38" s="13">
        <f>+Tabla2[[#This Row],[CODIGO]]</f>
        <v>31</v>
      </c>
      <c r="P38" s="19">
        <f>R38/Q38*1000</f>
        <v>22000</v>
      </c>
      <c r="Q38" s="10">
        <f>K38</f>
        <v>10500</v>
      </c>
      <c r="R38" s="20">
        <v>231000</v>
      </c>
      <c r="S38" s="10" t="s">
        <v>114</v>
      </c>
      <c r="T38" s="10" t="s">
        <v>115</v>
      </c>
      <c r="U38">
        <v>0</v>
      </c>
      <c r="V38" s="79">
        <v>231000</v>
      </c>
    </row>
    <row r="39" spans="1:22" s="49" customFormat="1" x14ac:dyDescent="0.25">
      <c r="A39" s="9" t="str" cm="1">
        <f t="array" ref="A39">IFERROR(LOOKUP(2,1/([1]maestro!I:I=H39),[1]maestro!B:B),"")</f>
        <v/>
      </c>
      <c r="B39" s="10" t="str">
        <f>TEXT(A39,"mmmm")</f>
        <v/>
      </c>
      <c r="C39" s="11">
        <v>33</v>
      </c>
      <c r="D39" s="10" t="s">
        <v>119</v>
      </c>
      <c r="E39" s="13" t="str">
        <f>PROPER(D39)</f>
        <v>Aura Poveda Poveda</v>
      </c>
      <c r="F39" s="10"/>
      <c r="G39" s="14" t="str">
        <f>CONCATENATE($G$1,H39)</f>
        <v>573133532705</v>
      </c>
      <c r="H39" s="13">
        <v>3133532705</v>
      </c>
      <c r="I39" s="15">
        <v>350</v>
      </c>
      <c r="J39" s="15">
        <v>700</v>
      </c>
      <c r="K39" s="15">
        <f>700*15</f>
        <v>10500</v>
      </c>
      <c r="L39" s="13">
        <f>K39/I39</f>
        <v>30</v>
      </c>
      <c r="M39" s="13">
        <f>K39/J39</f>
        <v>15</v>
      </c>
      <c r="N39" s="18" t="e">
        <f>(A39+M39)</f>
        <v>#VALUE!</v>
      </c>
      <c r="O39" s="13">
        <f>+Tabla2[[#This Row],[CODIGO]]</f>
        <v>33</v>
      </c>
      <c r="P39" s="19">
        <f>R39/Q39*1000</f>
        <v>24000</v>
      </c>
      <c r="Q39" s="10">
        <f>K39</f>
        <v>10500</v>
      </c>
      <c r="R39" s="29">
        <v>252000</v>
      </c>
      <c r="S39" s="10" t="s">
        <v>120</v>
      </c>
      <c r="T39" s="10" t="s">
        <v>121</v>
      </c>
      <c r="U39">
        <v>0</v>
      </c>
      <c r="V39" s="79">
        <v>0</v>
      </c>
    </row>
    <row r="40" spans="1:22" s="10" customFormat="1" x14ac:dyDescent="0.25">
      <c r="A40" s="9" cm="1">
        <f t="array" ref="A40">IFERROR(LOOKUP(2,1/([1]maestro!I:I=H40),[1]maestro!B:B),"")</f>
        <v>46037</v>
      </c>
      <c r="B40" s="10" t="str">
        <f>TEXT(A40,"mmmm")</f>
        <v>enero</v>
      </c>
      <c r="C40" s="11">
        <v>34</v>
      </c>
      <c r="D40" s="10" t="s">
        <v>122</v>
      </c>
      <c r="E40" s="13" t="str">
        <f>PROPER(D40)</f>
        <v>Aymara Mendoza</v>
      </c>
      <c r="G40" s="14" t="str">
        <f>CONCATENATE($G$1,H40)</f>
        <v>573107986133</v>
      </c>
      <c r="H40" s="13">
        <v>3107986133</v>
      </c>
      <c r="I40" s="13">
        <v>180</v>
      </c>
      <c r="J40" s="13">
        <v>180</v>
      </c>
      <c r="K40" s="13">
        <f>180*15</f>
        <v>2700</v>
      </c>
      <c r="L40" s="13">
        <f>K40/I40</f>
        <v>15</v>
      </c>
      <c r="M40" s="13">
        <f>K40/J40</f>
        <v>15</v>
      </c>
      <c r="N40" s="18">
        <f>(A40+M40)</f>
        <v>46052</v>
      </c>
      <c r="O40" s="13">
        <f>+Tabla2[[#This Row],[CODIGO]]</f>
        <v>34</v>
      </c>
      <c r="P40" s="19">
        <f>R40/Q40*1000</f>
        <v>28296.296296296299</v>
      </c>
      <c r="Q40" s="10">
        <f>K40</f>
        <v>2700</v>
      </c>
      <c r="R40" s="20">
        <v>76400</v>
      </c>
      <c r="S40" s="10" t="s">
        <v>123</v>
      </c>
      <c r="T40" s="10" t="s">
        <v>124</v>
      </c>
      <c r="U40">
        <v>0</v>
      </c>
      <c r="V40" s="79">
        <v>0</v>
      </c>
    </row>
    <row r="41" spans="1:22" s="10" customFormat="1" x14ac:dyDescent="0.25">
      <c r="A41" s="9" cm="1">
        <f t="array" ref="A41">IFERROR(LOOKUP(2,1/([1]maestro!I:I=H41),[1]maestro!B:B),"")</f>
        <v>46043</v>
      </c>
      <c r="B41" s="10" t="str">
        <f>TEXT(A41,"mmmm")</f>
        <v>enero</v>
      </c>
      <c r="C41" s="11">
        <v>35</v>
      </c>
      <c r="D41" s="10" t="s">
        <v>125</v>
      </c>
      <c r="E41" s="13" t="str">
        <f>PROPER(D41)</f>
        <v>Bernardo Alfonso Hidalgo Franco</v>
      </c>
      <c r="G41" s="14" t="str">
        <f>CONCATENATE($G$1,H41)</f>
        <v>573112199430</v>
      </c>
      <c r="H41" s="13">
        <v>3112199430</v>
      </c>
      <c r="I41" s="13">
        <v>360</v>
      </c>
      <c r="J41" s="13">
        <v>720</v>
      </c>
      <c r="K41" s="13">
        <f>Tabla2[[#This Row],[POR COMIDA]]*20</f>
        <v>7200</v>
      </c>
      <c r="L41" s="13">
        <f>K41/I41</f>
        <v>20</v>
      </c>
      <c r="M41" s="13">
        <f>K41/J41</f>
        <v>10</v>
      </c>
      <c r="N41" s="18">
        <f>(A41+M41)</f>
        <v>46053</v>
      </c>
      <c r="O41" s="13">
        <f>+Tabla2[[#This Row],[CODIGO]]</f>
        <v>35</v>
      </c>
      <c r="P41" s="19">
        <f>R41/Q41*1000</f>
        <v>25000</v>
      </c>
      <c r="Q41" s="10">
        <f>K41</f>
        <v>7200</v>
      </c>
      <c r="R41" s="20">
        <v>180000</v>
      </c>
      <c r="S41" s="10" t="s">
        <v>126</v>
      </c>
      <c r="T41" s="56" t="s">
        <v>127</v>
      </c>
      <c r="U41">
        <v>0</v>
      </c>
      <c r="V41" s="79">
        <v>0</v>
      </c>
    </row>
    <row r="42" spans="1:22" s="10" customFormat="1" x14ac:dyDescent="0.25">
      <c r="A42" s="9" cm="1">
        <f t="array" ref="A42">IFERROR(LOOKUP(2,1/([1]maestro!I:I=H42),[1]maestro!B:B),"")</f>
        <v>0</v>
      </c>
      <c r="B42" s="10" t="str">
        <f>TEXT(A42,"mmmm")</f>
        <v>enero</v>
      </c>
      <c r="C42" s="11">
        <v>37</v>
      </c>
      <c r="D42" s="12" t="s">
        <v>131</v>
      </c>
      <c r="E42" s="13" t="str">
        <f>PROPER(D42)</f>
        <v>Bolsa De Vacio</v>
      </c>
      <c r="G42" s="14" t="str">
        <f>CONCATENATE($G$1,H42)</f>
        <v>57</v>
      </c>
      <c r="H42" s="13"/>
      <c r="I42" s="15">
        <v>0</v>
      </c>
      <c r="J42" s="15">
        <v>0</v>
      </c>
      <c r="K42" s="15">
        <f>+J42*7</f>
        <v>0</v>
      </c>
      <c r="L42" s="16">
        <v>0</v>
      </c>
      <c r="M42" s="17">
        <v>0</v>
      </c>
      <c r="N42" s="18">
        <v>0</v>
      </c>
      <c r="O42" s="13">
        <f>+Tabla2[[#This Row],[CODIGO]]</f>
        <v>37</v>
      </c>
      <c r="P42" s="19">
        <v>0</v>
      </c>
      <c r="Q42" s="10">
        <f>K42</f>
        <v>0</v>
      </c>
      <c r="R42" s="20"/>
      <c r="S42" s="10" t="s">
        <v>132</v>
      </c>
      <c r="T42" s="10" t="s">
        <v>133</v>
      </c>
      <c r="U42">
        <v>0</v>
      </c>
      <c r="V42" s="79">
        <v>0</v>
      </c>
    </row>
    <row r="43" spans="1:22" s="10" customFormat="1" x14ac:dyDescent="0.25">
      <c r="A43" s="21" cm="1">
        <f t="array" ref="A43">IFERROR(LOOKUP(2,1/([1]maestro!I:I=H43),[1]maestro!B:B),"")</f>
        <v>46046</v>
      </c>
      <c r="B43" s="22" t="str">
        <f>TEXT(A43,"mmmm")</f>
        <v>enero</v>
      </c>
      <c r="C43" s="23">
        <v>36</v>
      </c>
      <c r="D43" s="22" t="s">
        <v>128</v>
      </c>
      <c r="E43" s="24" t="str">
        <f>PROPER(D43)</f>
        <v>Billy Dog</v>
      </c>
      <c r="F43" s="22"/>
      <c r="G43" s="25" t="str">
        <f>CONCATENATE($G$1,H43)</f>
        <v>573225394262</v>
      </c>
      <c r="H43" s="24">
        <v>3225394262</v>
      </c>
      <c r="I43" s="24">
        <v>200</v>
      </c>
      <c r="J43" s="24">
        <v>6000</v>
      </c>
      <c r="K43" s="24">
        <v>30000</v>
      </c>
      <c r="L43" s="24">
        <f>K43/I43</f>
        <v>150</v>
      </c>
      <c r="M43" s="24">
        <f>K43/J43</f>
        <v>5</v>
      </c>
      <c r="N43" s="28">
        <f>(A43+M43)</f>
        <v>46051</v>
      </c>
      <c r="O43" s="24">
        <f>+Tabla2[[#This Row],[CODIGO]]</f>
        <v>36</v>
      </c>
      <c r="P43" s="26">
        <f>R43/Q43*1000</f>
        <v>19000</v>
      </c>
      <c r="Q43" s="57">
        <f>K43</f>
        <v>30000</v>
      </c>
      <c r="R43" s="27">
        <v>570000</v>
      </c>
      <c r="S43" s="22" t="s">
        <v>129</v>
      </c>
      <c r="T43" s="22" t="s">
        <v>130</v>
      </c>
      <c r="U43">
        <v>0</v>
      </c>
      <c r="V43" s="79">
        <v>1948600</v>
      </c>
    </row>
    <row r="44" spans="1:22" s="10" customFormat="1" x14ac:dyDescent="0.25">
      <c r="A44" s="9" cm="1">
        <f t="array" ref="A44">IFERROR(LOOKUP(2,1/([1]maestro!I:I=H44),[1]maestro!B:B),"")</f>
        <v>0</v>
      </c>
      <c r="B44" s="10" t="str">
        <f>TEXT(A44,"mmmm")</f>
        <v>enero</v>
      </c>
      <c r="C44" s="11">
        <v>38</v>
      </c>
      <c r="D44" s="12" t="s">
        <v>134</v>
      </c>
      <c r="E44" s="13" t="str">
        <f>PROPER(D44)</f>
        <v>Bolsa Para Cafe</v>
      </c>
      <c r="G44" s="14" t="str">
        <f>CONCATENATE($G$1,H44)</f>
        <v>57</v>
      </c>
      <c r="H44" s="13"/>
      <c r="I44" s="15">
        <v>0</v>
      </c>
      <c r="J44" s="15">
        <v>0</v>
      </c>
      <c r="K44" s="15">
        <f>+J44*7</f>
        <v>0</v>
      </c>
      <c r="L44" s="16">
        <v>0</v>
      </c>
      <c r="M44" s="17">
        <v>0</v>
      </c>
      <c r="N44" s="18">
        <v>0</v>
      </c>
      <c r="O44" s="13">
        <f>+Tabla2[[#This Row],[CODIGO]]</f>
        <v>38</v>
      </c>
      <c r="P44" s="19">
        <v>0</v>
      </c>
      <c r="Q44" s="10">
        <f>K44</f>
        <v>0</v>
      </c>
      <c r="R44" s="20"/>
      <c r="T44" s="10" t="s">
        <v>135</v>
      </c>
      <c r="U44">
        <v>0</v>
      </c>
      <c r="V44" s="79">
        <v>0</v>
      </c>
    </row>
    <row r="45" spans="1:22" s="10" customFormat="1" x14ac:dyDescent="0.25">
      <c r="A45" s="9" t="str" cm="1">
        <f t="array" ref="A45">IFERROR(LOOKUP(2,1/([1]maestro!I:I=H45),[1]maestro!B:B),"")</f>
        <v/>
      </c>
      <c r="B45" s="10" t="str">
        <f>TEXT(A45,"mmmm")</f>
        <v/>
      </c>
      <c r="C45" s="11">
        <v>40</v>
      </c>
      <c r="D45" s="10" t="s">
        <v>139</v>
      </c>
      <c r="E45" s="13" t="str">
        <f>PROPER(D45)</f>
        <v>Cami Garcia 150 Yako</v>
      </c>
      <c r="F45" s="10" t="s">
        <v>66</v>
      </c>
      <c r="G45" s="14" t="str">
        <f>CONCATENATE($G$1,H45)</f>
        <v>573013922571</v>
      </c>
      <c r="H45" s="13">
        <v>3013922571</v>
      </c>
      <c r="I45" s="13">
        <v>150</v>
      </c>
      <c r="J45" s="13">
        <v>300</v>
      </c>
      <c r="K45" s="13">
        <f>300*15</f>
        <v>4500</v>
      </c>
      <c r="L45" s="13">
        <f>K45/I45</f>
        <v>30</v>
      </c>
      <c r="M45" s="13">
        <f>K45/J45</f>
        <v>15</v>
      </c>
      <c r="N45" s="18" t="e">
        <f>(A45+M45)</f>
        <v>#VALUE!</v>
      </c>
      <c r="O45" s="13">
        <f>+Tabla2[[#This Row],[CODIGO]]</f>
        <v>40</v>
      </c>
      <c r="P45" s="19">
        <f>R45/Q45*1000</f>
        <v>33666.666666666664</v>
      </c>
      <c r="Q45" s="10">
        <f>K45</f>
        <v>4500</v>
      </c>
      <c r="R45" s="20">
        <v>151500</v>
      </c>
      <c r="S45" s="10" t="s">
        <v>140</v>
      </c>
      <c r="T45" s="10" t="s">
        <v>141</v>
      </c>
      <c r="U45">
        <v>0</v>
      </c>
      <c r="V45" s="79">
        <v>0</v>
      </c>
    </row>
    <row r="46" spans="1:22" s="10" customFormat="1" x14ac:dyDescent="0.25">
      <c r="A46" s="21" cm="1">
        <f t="array" ref="A46">IFERROR(LOOKUP(2,1/([1]maestro!I:I=H46),[1]maestro!B:B),"")</f>
        <v>46045</v>
      </c>
      <c r="B46" s="22" t="str">
        <f>TEXT(A46,"mmmm")</f>
        <v>enero</v>
      </c>
      <c r="C46" s="23">
        <v>39</v>
      </c>
      <c r="D46" s="22" t="s">
        <v>136</v>
      </c>
      <c r="E46" s="24" t="str">
        <f>PROPER(D46)</f>
        <v>Burbujas De Chanel</v>
      </c>
      <c r="F46" s="22"/>
      <c r="G46" s="25" t="str">
        <f>CONCATENATE($G$1,H46)</f>
        <v>573123419084</v>
      </c>
      <c r="H46" s="24">
        <v>3123419084</v>
      </c>
      <c r="I46" s="24">
        <v>150</v>
      </c>
      <c r="J46" s="24">
        <v>150</v>
      </c>
      <c r="K46" s="24">
        <f>7*150</f>
        <v>1050</v>
      </c>
      <c r="L46" s="24">
        <f>K46/I46</f>
        <v>7</v>
      </c>
      <c r="M46" s="24">
        <f>K46/J46</f>
        <v>7</v>
      </c>
      <c r="N46" s="28">
        <f>(A46+M46)</f>
        <v>46052</v>
      </c>
      <c r="O46" s="24">
        <f>+Tabla2[[#This Row],[CODIGO]]</f>
        <v>39</v>
      </c>
      <c r="P46" s="26">
        <f>R46/Q46*1000</f>
        <v>20952.380952380954</v>
      </c>
      <c r="Q46" s="22">
        <f>K46</f>
        <v>1050</v>
      </c>
      <c r="R46" s="27">
        <v>22000</v>
      </c>
      <c r="S46" s="22" t="s">
        <v>137</v>
      </c>
      <c r="T46" s="22" t="s">
        <v>138</v>
      </c>
      <c r="U46">
        <v>0</v>
      </c>
      <c r="V46" s="79">
        <v>88000</v>
      </c>
    </row>
    <row r="47" spans="1:22" s="10" customFormat="1" x14ac:dyDescent="0.25">
      <c r="A47" s="9" t="str" cm="1">
        <f t="array" ref="A47">IFERROR(LOOKUP(2,1/([1]maestro!I:I=H47),[1]maestro!B:B),"")</f>
        <v/>
      </c>
      <c r="B47" s="10" t="str">
        <f>TEXT(A47,"mmmm")</f>
        <v/>
      </c>
      <c r="C47" s="11">
        <v>40</v>
      </c>
      <c r="D47" s="10" t="s">
        <v>142</v>
      </c>
      <c r="E47" s="13" t="str">
        <f>PROPER(D47)</f>
        <v>Cami Garcia 75 Moli</v>
      </c>
      <c r="F47" s="10" t="s">
        <v>66</v>
      </c>
      <c r="G47" s="14" t="str">
        <f>CONCATENATE($G$1,H47)</f>
        <v>573013922571</v>
      </c>
      <c r="H47" s="13">
        <v>3013922571</v>
      </c>
      <c r="I47" s="13">
        <v>75</v>
      </c>
      <c r="J47" s="13">
        <v>150</v>
      </c>
      <c r="K47" s="13">
        <f>150*15</f>
        <v>2250</v>
      </c>
      <c r="L47" s="13">
        <f>K47/I47</f>
        <v>30</v>
      </c>
      <c r="M47" s="13">
        <f>K47/J47</f>
        <v>15</v>
      </c>
      <c r="N47" s="18" t="e">
        <f>(A47+M47)</f>
        <v>#VALUE!</v>
      </c>
      <c r="O47" s="13">
        <f>+Tabla2[[#This Row],[CODIGO]]</f>
        <v>40</v>
      </c>
      <c r="P47" s="19">
        <f>R47/Q47*1000</f>
        <v>34666.666666666664</v>
      </c>
      <c r="Q47" s="10">
        <f>K47</f>
        <v>2250</v>
      </c>
      <c r="R47" s="20">
        <v>78000</v>
      </c>
      <c r="S47" s="10" t="s">
        <v>143</v>
      </c>
      <c r="T47" s="10" t="s">
        <v>144</v>
      </c>
      <c r="U47">
        <v>0</v>
      </c>
      <c r="V47" s="79">
        <v>0</v>
      </c>
    </row>
    <row r="48" spans="1:22" s="10" customFormat="1" x14ac:dyDescent="0.25">
      <c r="A48" s="9" cm="1">
        <f t="array" ref="A48">IFERROR(LOOKUP(2,1/([1]maestro!I:I=H48),[1]maestro!B:B),"")</f>
        <v>46034</v>
      </c>
      <c r="B48" s="10" t="str">
        <f>TEXT(A48,"mmmm")</f>
        <v>enero</v>
      </c>
      <c r="C48" s="11">
        <v>41</v>
      </c>
      <c r="D48" s="10" t="s">
        <v>145</v>
      </c>
      <c r="E48" s="13" t="str">
        <f>PROPER(D48)</f>
        <v>Camila Geraldine Velandia Peláez</v>
      </c>
      <c r="G48" s="10" t="str">
        <f>CONCATENATE($G$1,H48)</f>
        <v>573183623443</v>
      </c>
      <c r="H48" s="13">
        <v>3183623443</v>
      </c>
      <c r="I48" s="15">
        <v>40</v>
      </c>
      <c r="J48" s="15">
        <v>120</v>
      </c>
      <c r="K48" s="15">
        <f>+J48*15</f>
        <v>1800</v>
      </c>
      <c r="L48" s="13">
        <f>K48/I48</f>
        <v>45</v>
      </c>
      <c r="M48" s="13">
        <f>K48/J48</f>
        <v>15</v>
      </c>
      <c r="N48" s="18">
        <f>(A48+M48)</f>
        <v>46049</v>
      </c>
      <c r="O48" s="13">
        <f>+Tabla2[[#This Row],[CODIGO]]</f>
        <v>41</v>
      </c>
      <c r="P48" s="19">
        <f>R48/Q48*1000</f>
        <v>43333.333333333336</v>
      </c>
      <c r="Q48" s="10">
        <f>K48</f>
        <v>1800</v>
      </c>
      <c r="R48" s="20">
        <v>78000</v>
      </c>
      <c r="S48" s="10" t="s">
        <v>146</v>
      </c>
      <c r="T48" s="10" t="s">
        <v>147</v>
      </c>
      <c r="U48">
        <v>0</v>
      </c>
      <c r="V48" s="79">
        <v>0</v>
      </c>
    </row>
    <row r="49" spans="1:22" s="10" customFormat="1" x14ac:dyDescent="0.25">
      <c r="A49" s="9" cm="1">
        <f t="array" ref="A49">IFERROR(LOOKUP(2,1/([1]maestro!I:I=H49),[1]maestro!B:B),"")</f>
        <v>46041</v>
      </c>
      <c r="B49" s="10" t="str">
        <f>TEXT(A49,"mmmm")</f>
        <v>enero</v>
      </c>
      <c r="C49" s="11">
        <v>43</v>
      </c>
      <c r="D49" s="10" t="s">
        <v>149</v>
      </c>
      <c r="E49" s="13" t="str">
        <f>PROPER(D49)</f>
        <v>Camila Vásquez Ramón Manchas 100</v>
      </c>
      <c r="G49" s="14" t="str">
        <f>CONCATENATE($G$1,H49)</f>
        <v>573208063914</v>
      </c>
      <c r="H49" s="13">
        <v>3208063914</v>
      </c>
      <c r="I49" s="15">
        <v>100</v>
      </c>
      <c r="J49" s="15">
        <v>300</v>
      </c>
      <c r="K49" s="15">
        <f>300*15</f>
        <v>4500</v>
      </c>
      <c r="L49" s="13">
        <f>K49/I49</f>
        <v>45</v>
      </c>
      <c r="M49" s="13">
        <f>K49/J49</f>
        <v>15</v>
      </c>
      <c r="N49" s="18">
        <f>(A49+M49)</f>
        <v>46056</v>
      </c>
      <c r="O49" s="13">
        <f>+Tabla2[[#This Row],[CODIGO]]</f>
        <v>43</v>
      </c>
      <c r="P49" s="19">
        <f>R49/Q49*1000</f>
        <v>29000</v>
      </c>
      <c r="Q49" s="10">
        <f>K49</f>
        <v>4500</v>
      </c>
      <c r="R49" s="29">
        <v>130500</v>
      </c>
      <c r="S49" s="10" t="s">
        <v>150</v>
      </c>
      <c r="T49" s="10" t="s">
        <v>151</v>
      </c>
      <c r="U49">
        <v>0</v>
      </c>
      <c r="V49" s="79">
        <v>0</v>
      </c>
    </row>
    <row r="50" spans="1:22" s="10" customFormat="1" x14ac:dyDescent="0.25">
      <c r="A50" s="9" cm="1">
        <f t="array" ref="A50">IFERROR(LOOKUP(2,1/([1]maestro!I:I=H50),[1]maestro!B:B),"")</f>
        <v>46034</v>
      </c>
      <c r="B50" s="10" t="str">
        <f>TEXT(A50,"mmmm")</f>
        <v>enero</v>
      </c>
      <c r="C50" s="11">
        <v>42</v>
      </c>
      <c r="D50" s="12" t="s">
        <v>148</v>
      </c>
      <c r="E50" s="13" t="str">
        <f>PROPER(D50)</f>
        <v>Camila Moreno Am</v>
      </c>
      <c r="F50" s="13"/>
      <c r="G50" s="14" t="str">
        <f>CONCATENATE($G$1,H50)</f>
        <v>573027051451</v>
      </c>
      <c r="H50" s="13">
        <v>3027051451</v>
      </c>
      <c r="I50" s="15">
        <v>55</v>
      </c>
      <c r="J50" s="15">
        <v>110</v>
      </c>
      <c r="K50" s="15">
        <f>+J50*15</f>
        <v>1650</v>
      </c>
      <c r="L50" s="16">
        <f>K50/I50</f>
        <v>30</v>
      </c>
      <c r="M50" s="17">
        <f>K50/J50</f>
        <v>15</v>
      </c>
      <c r="N50" s="18">
        <f>(A50+M50)</f>
        <v>46049</v>
      </c>
      <c r="O50" s="13">
        <f>+Tabla2[[#This Row],[CODIGO]]</f>
        <v>42</v>
      </c>
      <c r="P50" s="19">
        <f>R50/Q50*1000</f>
        <v>0</v>
      </c>
      <c r="Q50" s="10">
        <f>K50</f>
        <v>1650</v>
      </c>
      <c r="R50" s="20"/>
      <c r="S50" s="10" t="s">
        <v>52</v>
      </c>
      <c r="U50">
        <v>0</v>
      </c>
      <c r="V50" s="79">
        <v>66000</v>
      </c>
    </row>
    <row r="51" spans="1:22" s="10" customFormat="1" x14ac:dyDescent="0.25">
      <c r="A51" s="9" cm="1">
        <f t="array" ref="A51">IFERROR(LOOKUP(2,1/([1]maestro!I:I=H51),[1]maestro!B:B),"")</f>
        <v>46041</v>
      </c>
      <c r="B51" s="10" t="str">
        <f>TEXT(A51,"mmmm")</f>
        <v>enero</v>
      </c>
      <c r="C51" s="11">
        <v>43</v>
      </c>
      <c r="D51" s="10" t="s">
        <v>152</v>
      </c>
      <c r="E51" s="13" t="str">
        <f>PROPER(D51)</f>
        <v>Camila Vásquez Ramón Panela 90</v>
      </c>
      <c r="G51" s="14" t="str">
        <f>CONCATENATE($G$1,H51)</f>
        <v>573208063914</v>
      </c>
      <c r="H51" s="13">
        <v>3208063914</v>
      </c>
      <c r="I51" s="15">
        <v>90</v>
      </c>
      <c r="J51" s="15">
        <f>90*3</f>
        <v>270</v>
      </c>
      <c r="K51" s="15">
        <f>270*15</f>
        <v>4050</v>
      </c>
      <c r="L51" s="13">
        <f>K51/I51</f>
        <v>45</v>
      </c>
      <c r="M51" s="13">
        <f>K51/J51</f>
        <v>15</v>
      </c>
      <c r="N51" s="18">
        <f>(A51+M51)</f>
        <v>46056</v>
      </c>
      <c r="O51" s="13">
        <f>+Tabla2[[#This Row],[CODIGO]]</f>
        <v>43</v>
      </c>
      <c r="P51" s="19">
        <f>R51/Q51*1000</f>
        <v>28765.432098765436</v>
      </c>
      <c r="Q51" s="10">
        <f>K51</f>
        <v>4050</v>
      </c>
      <c r="R51" s="29">
        <v>116500</v>
      </c>
      <c r="S51" s="10" t="s">
        <v>150</v>
      </c>
      <c r="T51" s="10" t="s">
        <v>151</v>
      </c>
      <c r="U51">
        <v>0</v>
      </c>
      <c r="V51" s="79">
        <v>0</v>
      </c>
    </row>
    <row r="52" spans="1:22" s="10" customFormat="1" x14ac:dyDescent="0.25">
      <c r="A52" s="21" cm="1">
        <f t="array" ref="A52">IFERROR(LOOKUP(2,1/([1]maestro!I:I=H52),[1]maestro!B:B),"")</f>
        <v>46048</v>
      </c>
      <c r="B52" s="22" t="str">
        <f>TEXT(A52,"mmmm")</f>
        <v>enero</v>
      </c>
      <c r="C52" s="23">
        <v>44</v>
      </c>
      <c r="D52" s="22" t="s">
        <v>153</v>
      </c>
      <c r="E52" s="24" t="str">
        <f>PROPER(D52)</f>
        <v>Carlos Alberto Rodriguez Sandoval</v>
      </c>
      <c r="F52" s="22"/>
      <c r="G52" s="25" t="str">
        <f>CONCATENATE($G$1,H52)</f>
        <v>573166198371</v>
      </c>
      <c r="H52" s="24">
        <v>3166198371</v>
      </c>
      <c r="I52" s="24">
        <v>100</v>
      </c>
      <c r="J52" s="24">
        <v>300</v>
      </c>
      <c r="K52" s="24">
        <f>45*I52</f>
        <v>4500</v>
      </c>
      <c r="L52" s="24">
        <f>K52/I52</f>
        <v>45</v>
      </c>
      <c r="M52" s="24">
        <f>K52/J52</f>
        <v>15</v>
      </c>
      <c r="N52" s="28">
        <f>(A52+M52)</f>
        <v>46063</v>
      </c>
      <c r="O52" s="24">
        <f>+Tabla2[[#This Row],[CODIGO]]</f>
        <v>44</v>
      </c>
      <c r="P52" s="26">
        <f>R52/Q52*1000</f>
        <v>36000</v>
      </c>
      <c r="Q52" s="22">
        <f>K52</f>
        <v>4500</v>
      </c>
      <c r="R52" s="27">
        <v>162000</v>
      </c>
      <c r="S52" s="22" t="s">
        <v>154</v>
      </c>
      <c r="T52" s="22" t="s">
        <v>155</v>
      </c>
      <c r="U52">
        <v>0</v>
      </c>
      <c r="V52" s="79">
        <v>0</v>
      </c>
    </row>
    <row r="53" spans="1:22" s="22" customFormat="1" x14ac:dyDescent="0.25">
      <c r="A53" s="9" t="str" cm="1">
        <f t="array" ref="A53">IFERROR(LOOKUP(2,1/([1]maestro!I:I=H53),[1]maestro!B:B),"")</f>
        <v/>
      </c>
      <c r="B53" s="10" t="str">
        <f>TEXT(A53,"mmmm")</f>
        <v/>
      </c>
      <c r="C53" s="11">
        <v>46</v>
      </c>
      <c r="D53" s="12" t="s">
        <v>158</v>
      </c>
      <c r="E53" s="13" t="str">
        <f>PROPER(D53)</f>
        <v xml:space="preserve">Carolina Álvarez </v>
      </c>
      <c r="F53" s="10"/>
      <c r="G53" s="14" t="str">
        <f>CONCATENATE($G$1,H53)</f>
        <v>573185164316</v>
      </c>
      <c r="H53" s="13">
        <v>3185164316</v>
      </c>
      <c r="I53" s="15">
        <v>185</v>
      </c>
      <c r="J53" s="15">
        <v>370</v>
      </c>
      <c r="K53" s="15">
        <f>+J53*7</f>
        <v>2590</v>
      </c>
      <c r="L53" s="16">
        <f>K53/I53</f>
        <v>14</v>
      </c>
      <c r="M53" s="17">
        <f>K53/J53</f>
        <v>7</v>
      </c>
      <c r="N53" s="18" t="e">
        <f>(A53+M53)</f>
        <v>#VALUE!</v>
      </c>
      <c r="O53" s="13">
        <f>+Tabla2[[#This Row],[CODIGO]]</f>
        <v>46</v>
      </c>
      <c r="P53" s="19">
        <f>R53/Q53*1000</f>
        <v>78301.158301158299</v>
      </c>
      <c r="Q53" s="10">
        <f>K53</f>
        <v>2590</v>
      </c>
      <c r="R53" s="20">
        <v>202800</v>
      </c>
      <c r="S53" s="10" t="s">
        <v>159</v>
      </c>
      <c r="T53" s="10"/>
      <c r="U53">
        <v>0</v>
      </c>
      <c r="V53" s="79">
        <v>0</v>
      </c>
    </row>
    <row r="54" spans="1:22" s="22" customFormat="1" x14ac:dyDescent="0.25">
      <c r="A54" s="21" cm="1">
        <f t="array" ref="A54">IFERROR(LOOKUP(2,1/([1]maestro!I:I=H54),[1]maestro!B:B),"")</f>
        <v>46044</v>
      </c>
      <c r="B54" s="22" t="str">
        <f>TEXT(A54,"mmmm")</f>
        <v>enero</v>
      </c>
      <c r="C54" s="23">
        <v>45</v>
      </c>
      <c r="D54" s="32" t="s">
        <v>156</v>
      </c>
      <c r="E54" s="24" t="str">
        <f>PROPER(D54)</f>
        <v>Carlos Makauslan</v>
      </c>
      <c r="F54" s="22" t="s">
        <v>66</v>
      </c>
      <c r="G54" s="25" t="str">
        <f>CONCATENATE($G$1,H54)</f>
        <v>573107629406</v>
      </c>
      <c r="H54" s="24">
        <v>3107629406</v>
      </c>
      <c r="I54" s="33">
        <v>265</v>
      </c>
      <c r="J54" s="33">
        <v>530</v>
      </c>
      <c r="K54" s="33">
        <f>+J54*15</f>
        <v>7950</v>
      </c>
      <c r="L54" s="34">
        <f>K54/I54</f>
        <v>30</v>
      </c>
      <c r="M54" s="35">
        <f>K54/J54</f>
        <v>15</v>
      </c>
      <c r="N54" s="28">
        <f>(A54+M54)</f>
        <v>46059</v>
      </c>
      <c r="O54" s="24">
        <f>+Tabla2[[#This Row],[CODIGO]]</f>
        <v>45</v>
      </c>
      <c r="P54" s="26">
        <f>R54/Q54*1000</f>
        <v>30000</v>
      </c>
      <c r="Q54" s="22">
        <f>K54</f>
        <v>7950</v>
      </c>
      <c r="R54" s="27">
        <v>238500</v>
      </c>
      <c r="S54" s="22" t="s">
        <v>157</v>
      </c>
      <c r="U54">
        <v>0</v>
      </c>
      <c r="V54" s="79">
        <v>273500</v>
      </c>
    </row>
    <row r="55" spans="1:22" s="10" customFormat="1" x14ac:dyDescent="0.25">
      <c r="A55" s="21" cm="1">
        <f t="array" ref="A55">IFERROR(LOOKUP(2,1/([1]maestro!I:I=H55),[1]maestro!B:B),"")</f>
        <v>46041</v>
      </c>
      <c r="B55" s="22" t="str">
        <f>TEXT(A55,"mmmm")</f>
        <v>enero</v>
      </c>
      <c r="C55" s="23">
        <v>47</v>
      </c>
      <c r="D55" s="22" t="s">
        <v>160</v>
      </c>
      <c r="E55" s="24" t="str">
        <f>PROPER(D55)</f>
        <v>Carolina Bueno</v>
      </c>
      <c r="F55" s="22"/>
      <c r="G55" s="25" t="str">
        <f>CONCATENATE($G$1,H55)</f>
        <v>573134233956</v>
      </c>
      <c r="H55" s="24">
        <v>3134233956</v>
      </c>
      <c r="I55" s="24">
        <v>200</v>
      </c>
      <c r="J55" s="24">
        <v>200</v>
      </c>
      <c r="K55" s="24">
        <v>6000</v>
      </c>
      <c r="L55" s="24">
        <f>K55/I55</f>
        <v>30</v>
      </c>
      <c r="M55" s="24">
        <f>K55/J55</f>
        <v>30</v>
      </c>
      <c r="N55" s="28">
        <f>(A55+M55)</f>
        <v>46071</v>
      </c>
      <c r="O55" s="24">
        <f>+Tabla2[[#This Row],[CODIGO]]</f>
        <v>47</v>
      </c>
      <c r="P55" s="26">
        <f>R55/Q55*1000</f>
        <v>28000</v>
      </c>
      <c r="Q55" s="22">
        <f>K55</f>
        <v>6000</v>
      </c>
      <c r="R55" s="27">
        <v>168000</v>
      </c>
      <c r="S55" s="22" t="s">
        <v>161</v>
      </c>
      <c r="T55" s="22" t="s">
        <v>162</v>
      </c>
      <c r="U55">
        <v>0</v>
      </c>
      <c r="V55" s="79">
        <v>0</v>
      </c>
    </row>
    <row r="56" spans="1:22" s="10" customFormat="1" x14ac:dyDescent="0.25">
      <c r="A56" s="9" t="str" cm="1">
        <f t="array" ref="A56">IFERROR(LOOKUP(2,1/([1]maestro!I:I=H56),[1]maestro!B:B),"")</f>
        <v/>
      </c>
      <c r="B56" s="10" t="str">
        <f>TEXT(A56,"mmmm")</f>
        <v/>
      </c>
      <c r="C56" s="11">
        <v>48</v>
      </c>
      <c r="D56" s="10" t="s">
        <v>163</v>
      </c>
      <c r="E56" s="13" t="str">
        <f>PROPER(D56)</f>
        <v>Carolina Cabrera</v>
      </c>
      <c r="G56" s="14" t="str">
        <f>CONCATENATE($G$1,H56)</f>
        <v>573115975083</v>
      </c>
      <c r="H56" s="13">
        <v>3115975083</v>
      </c>
      <c r="I56" s="13">
        <v>260</v>
      </c>
      <c r="J56" s="13">
        <v>260</v>
      </c>
      <c r="K56" s="13">
        <f>260*15</f>
        <v>3900</v>
      </c>
      <c r="L56" s="13">
        <f>K56/I56</f>
        <v>15</v>
      </c>
      <c r="M56" s="13">
        <f>K56/J56</f>
        <v>15</v>
      </c>
      <c r="N56" s="18" t="e">
        <f>(A56+M56)</f>
        <v>#VALUE!</v>
      </c>
      <c r="O56" s="13">
        <f>+Tabla2[[#This Row],[CODIGO]]</f>
        <v>48</v>
      </c>
      <c r="P56" s="19">
        <f>R56/Q56*1000</f>
        <v>23000</v>
      </c>
      <c r="Q56" s="10">
        <f>K56</f>
        <v>3900</v>
      </c>
      <c r="R56" s="20">
        <v>89700</v>
      </c>
      <c r="S56" s="10" t="s">
        <v>164</v>
      </c>
      <c r="T56" s="10" t="s">
        <v>165</v>
      </c>
      <c r="U56">
        <v>0</v>
      </c>
      <c r="V56" s="79">
        <v>0</v>
      </c>
    </row>
    <row r="57" spans="1:22" s="10" customFormat="1" x14ac:dyDescent="0.25">
      <c r="A57" s="21" cm="1">
        <f t="array" ref="A57">IFERROR(LOOKUP(2,1/([1]maestro!I:I=H57),[1]maestro!B:B),"")</f>
        <v>46045</v>
      </c>
      <c r="B57" s="22" t="str">
        <f>TEXT(A57,"mmmm")</f>
        <v>enero</v>
      </c>
      <c r="C57" s="23">
        <v>49</v>
      </c>
      <c r="D57" s="22" t="s">
        <v>166</v>
      </c>
      <c r="E57" s="24" t="str">
        <f>PROPER(D57)</f>
        <v>Carolina Castro Kiara Bosa</v>
      </c>
      <c r="F57" s="22"/>
      <c r="G57" s="25" t="str">
        <f>CONCATENATE($G$1,H57)</f>
        <v>573212442419</v>
      </c>
      <c r="H57" s="24">
        <v>3212442419</v>
      </c>
      <c r="I57" s="24">
        <v>150</v>
      </c>
      <c r="J57" s="24">
        <v>150</v>
      </c>
      <c r="K57" s="24">
        <f>+J57*33</f>
        <v>4950</v>
      </c>
      <c r="L57" s="24">
        <f>K57/I57</f>
        <v>33</v>
      </c>
      <c r="M57" s="24">
        <f>K57/J57</f>
        <v>33</v>
      </c>
      <c r="N57" s="28">
        <f>(A57+M57)</f>
        <v>46078</v>
      </c>
      <c r="O57" s="24">
        <f>+Tabla2[[#This Row],[CODIGO]]</f>
        <v>49</v>
      </c>
      <c r="P57" s="26">
        <f>R57/Q57*1000</f>
        <v>30000</v>
      </c>
      <c r="Q57" s="22">
        <f>K57</f>
        <v>4950</v>
      </c>
      <c r="R57" s="27">
        <v>148500</v>
      </c>
      <c r="S57" s="22" t="s">
        <v>167</v>
      </c>
      <c r="T57" s="38" t="s">
        <v>168</v>
      </c>
      <c r="U57">
        <v>0</v>
      </c>
      <c r="V57" s="79">
        <v>0</v>
      </c>
    </row>
    <row r="58" spans="1:22" s="22" customFormat="1" x14ac:dyDescent="0.25">
      <c r="A58" s="9" t="str" cm="1">
        <f t="array" ref="A58">IFERROR(LOOKUP(2,1/([1]maestro!I:I=H58),[1]maestro!B:B),"")</f>
        <v/>
      </c>
      <c r="B58" s="10" t="str">
        <f>TEXT(A58,"mmmm")</f>
        <v/>
      </c>
      <c r="C58" s="11">
        <v>49</v>
      </c>
      <c r="D58" s="10" t="s">
        <v>169</v>
      </c>
      <c r="E58" s="13" t="str">
        <f>PROPER(D58)</f>
        <v>Carolina Castro Toby Castilla</v>
      </c>
      <c r="F58" s="10"/>
      <c r="G58" s="14" t="str">
        <f>CONCATENATE($G$1,H58)</f>
        <v>573103495467</v>
      </c>
      <c r="H58" s="13">
        <v>3103495467</v>
      </c>
      <c r="I58" s="13">
        <v>150</v>
      </c>
      <c r="J58" s="13">
        <v>150</v>
      </c>
      <c r="K58" s="13">
        <f>+J58*15</f>
        <v>2250</v>
      </c>
      <c r="L58" s="13">
        <f>K58/I58</f>
        <v>15</v>
      </c>
      <c r="M58" s="13">
        <f>K58/J58</f>
        <v>15</v>
      </c>
      <c r="N58" s="18" t="e">
        <f>(A58+M58)</f>
        <v>#VALUE!</v>
      </c>
      <c r="O58" s="13">
        <f>+Tabla2[[#This Row],[CODIGO]]</f>
        <v>49</v>
      </c>
      <c r="P58" s="19">
        <f>R58/Q58*1000</f>
        <v>27000</v>
      </c>
      <c r="Q58" s="10">
        <f>K58</f>
        <v>2250</v>
      </c>
      <c r="R58" s="20">
        <v>60750</v>
      </c>
      <c r="S58" s="10" t="s">
        <v>170</v>
      </c>
      <c r="T58" s="10" t="s">
        <v>171</v>
      </c>
      <c r="U58">
        <v>0</v>
      </c>
      <c r="V58" s="79">
        <v>0</v>
      </c>
    </row>
    <row r="59" spans="1:22" s="10" customFormat="1" x14ac:dyDescent="0.25">
      <c r="A59" s="9" t="str" cm="1">
        <f t="array" ref="A59">IFERROR(LOOKUP(2,1/([1]maestro!I:I=H59),[1]maestro!B:B),"")</f>
        <v/>
      </c>
      <c r="B59" s="10" t="str">
        <f>TEXT(A59,"mmmm")</f>
        <v/>
      </c>
      <c r="C59" s="11">
        <v>50</v>
      </c>
      <c r="D59" s="12" t="s">
        <v>172</v>
      </c>
      <c r="E59" s="13" t="str">
        <f>PROPER(D59)</f>
        <v>Carolina Gutiérrez</v>
      </c>
      <c r="G59" s="14" t="str">
        <f>CONCATENATE($G$1,H59)</f>
        <v>573214596773</v>
      </c>
      <c r="H59" s="13">
        <v>3214596773</v>
      </c>
      <c r="I59" s="15">
        <v>45</v>
      </c>
      <c r="J59" s="15">
        <v>90</v>
      </c>
      <c r="K59" s="15">
        <f>+J59*7</f>
        <v>630</v>
      </c>
      <c r="L59" s="16">
        <f>K59/I59</f>
        <v>14</v>
      </c>
      <c r="M59" s="17">
        <f>K59/J59</f>
        <v>7</v>
      </c>
      <c r="N59" s="18" t="e">
        <f>(A59+M59)</f>
        <v>#VALUE!</v>
      </c>
      <c r="O59" s="13">
        <f>+Tabla2[[#This Row],[CODIGO]]</f>
        <v>50</v>
      </c>
      <c r="P59" s="19">
        <f>R59/Q59*1000</f>
        <v>15873.015873015873</v>
      </c>
      <c r="Q59" s="10">
        <f>K59</f>
        <v>630</v>
      </c>
      <c r="R59" s="20">
        <v>10000</v>
      </c>
      <c r="S59" s="36" t="s">
        <v>173</v>
      </c>
      <c r="U59">
        <v>0</v>
      </c>
      <c r="V59" s="79">
        <v>0</v>
      </c>
    </row>
    <row r="60" spans="1:22" s="10" customFormat="1" x14ac:dyDescent="0.25">
      <c r="A60" s="21" cm="1">
        <f t="array" ref="A60">IFERROR(LOOKUP(2,1/([1]maestro!I:I=H60),[1]maestro!B:B),"")</f>
        <v>46041</v>
      </c>
      <c r="B60" s="22" t="str">
        <f>TEXT(A60,"mmmm")</f>
        <v>enero</v>
      </c>
      <c r="C60" s="23">
        <v>51</v>
      </c>
      <c r="D60" s="22" t="s">
        <v>174</v>
      </c>
      <c r="E60" s="24" t="str">
        <f>PROPER(D60)</f>
        <v>Cesar Monsalve 110</v>
      </c>
      <c r="F60" s="22"/>
      <c r="G60" s="22" t="str">
        <f>CONCATENATE($G$1,H60)</f>
        <v>573012984178</v>
      </c>
      <c r="H60" s="24">
        <v>3012984178</v>
      </c>
      <c r="I60" s="33">
        <v>110</v>
      </c>
      <c r="J60" s="33">
        <v>330</v>
      </c>
      <c r="K60" s="24">
        <f>+J60*10</f>
        <v>3300</v>
      </c>
      <c r="L60" s="24">
        <f>K60/I60</f>
        <v>30</v>
      </c>
      <c r="M60" s="24">
        <f>K60/J60</f>
        <v>10</v>
      </c>
      <c r="N60" s="28">
        <f>(A60+M60)</f>
        <v>46051</v>
      </c>
      <c r="O60" s="24">
        <f>+Tabla2[[#This Row],[CODIGO]]</f>
        <v>51</v>
      </c>
      <c r="P60" s="26">
        <f>R60/Q60*1000</f>
        <v>0</v>
      </c>
      <c r="Q60" s="22">
        <f>K60</f>
        <v>3300</v>
      </c>
      <c r="R60" s="27">
        <v>0</v>
      </c>
      <c r="S60" s="22" t="s">
        <v>175</v>
      </c>
      <c r="T60" s="22"/>
      <c r="U60">
        <v>0</v>
      </c>
      <c r="V60" s="79">
        <v>0</v>
      </c>
    </row>
    <row r="61" spans="1:22" s="10" customFormat="1" x14ac:dyDescent="0.25">
      <c r="A61" s="21" cm="1">
        <f t="array" ref="A61">IFERROR(LOOKUP(2,1/([1]maestro!I:I=H61),[1]maestro!B:B),"")</f>
        <v>46041</v>
      </c>
      <c r="B61" s="22" t="str">
        <f>TEXT(A61,"mmmm")</f>
        <v>enero</v>
      </c>
      <c r="C61" s="23">
        <v>51</v>
      </c>
      <c r="D61" s="22" t="s">
        <v>176</v>
      </c>
      <c r="E61" s="24" t="str">
        <f>PROPER(D61)</f>
        <v>Cesar Monsalve 240</v>
      </c>
      <c r="F61" s="22"/>
      <c r="G61" s="22" t="str">
        <f>CONCATENATE($G$1,H61)</f>
        <v>573012984178</v>
      </c>
      <c r="H61" s="24">
        <v>3012984178</v>
      </c>
      <c r="I61" s="33">
        <v>240</v>
      </c>
      <c r="J61" s="33">
        <v>720</v>
      </c>
      <c r="K61" s="24">
        <f>+J61*10</f>
        <v>7200</v>
      </c>
      <c r="L61" s="24">
        <f>K61/I61</f>
        <v>30</v>
      </c>
      <c r="M61" s="24">
        <f>K61/J61</f>
        <v>10</v>
      </c>
      <c r="N61" s="28">
        <f>(A61+M61)</f>
        <v>46051</v>
      </c>
      <c r="O61" s="24">
        <f>+Tabla2[[#This Row],[CODIGO]]</f>
        <v>51</v>
      </c>
      <c r="P61" s="26">
        <f>R61/Q61*1000</f>
        <v>0</v>
      </c>
      <c r="Q61" s="22">
        <f>K61</f>
        <v>7200</v>
      </c>
      <c r="R61" s="27">
        <v>0</v>
      </c>
      <c r="S61" s="22" t="s">
        <v>175</v>
      </c>
      <c r="T61" s="22"/>
      <c r="U61">
        <v>0</v>
      </c>
      <c r="V61" s="79">
        <v>0</v>
      </c>
    </row>
    <row r="62" spans="1:22" s="10" customFormat="1" x14ac:dyDescent="0.25">
      <c r="A62" s="9" t="str" cm="1">
        <f t="array" ref="A62">IFERROR(LOOKUP(2,1/([1]maestro!I:I=H62),[1]maestro!B:B),"")</f>
        <v/>
      </c>
      <c r="B62" s="10" t="str">
        <f>TEXT(A62,"mmmm")</f>
        <v/>
      </c>
      <c r="C62" s="11">
        <v>52</v>
      </c>
      <c r="D62" s="12" t="s">
        <v>177</v>
      </c>
      <c r="E62" s="13" t="str">
        <f>PROPER(D62)</f>
        <v>Chefibio Donaciones</v>
      </c>
      <c r="F62" s="15"/>
      <c r="G62" s="14" t="str">
        <f>CONCATENATE($G$1,H62)</f>
        <v>573242651750</v>
      </c>
      <c r="H62" s="13">
        <v>3242651750</v>
      </c>
      <c r="I62" s="15">
        <v>150</v>
      </c>
      <c r="J62" s="15">
        <v>300</v>
      </c>
      <c r="K62" s="15">
        <f>+J62*15</f>
        <v>4500</v>
      </c>
      <c r="L62" s="16">
        <f>K62/I62</f>
        <v>30</v>
      </c>
      <c r="M62" s="17">
        <f>K62/J62</f>
        <v>15</v>
      </c>
      <c r="N62" s="18" t="e">
        <f>(A62+M62)</f>
        <v>#VALUE!</v>
      </c>
      <c r="O62" s="13">
        <f>+Tabla2[[#This Row],[CODIGO]]</f>
        <v>52</v>
      </c>
      <c r="P62" s="19">
        <f>R62/Q62*1000</f>
        <v>0</v>
      </c>
      <c r="Q62" s="10">
        <f>K62</f>
        <v>4500</v>
      </c>
      <c r="R62" s="20"/>
      <c r="U62">
        <v>0</v>
      </c>
      <c r="V62" s="79">
        <v>0</v>
      </c>
    </row>
    <row r="63" spans="1:22" s="10" customFormat="1" x14ac:dyDescent="0.25">
      <c r="A63" s="21" cm="1">
        <f t="array" ref="A63">IFERROR(LOOKUP(2,1/([1]maestro!I:I=H63),[1]maestro!B:B),"")</f>
        <v>46038</v>
      </c>
      <c r="B63" s="22" t="str">
        <f>TEXT(A63,"mmmm")</f>
        <v>enero</v>
      </c>
      <c r="C63" s="23">
        <v>53</v>
      </c>
      <c r="D63" s="22" t="s">
        <v>178</v>
      </c>
      <c r="E63" s="24" t="str">
        <f>PROPER(D63)</f>
        <v>Christian Camilo Torres Cabezas</v>
      </c>
      <c r="F63" s="22"/>
      <c r="G63" s="25" t="str">
        <f>CONCATENATE($G$1,H63)</f>
        <v>573103174172</v>
      </c>
      <c r="H63" s="24">
        <v>3103174172</v>
      </c>
      <c r="I63" s="33">
        <v>120</v>
      </c>
      <c r="J63" s="33">
        <v>120</v>
      </c>
      <c r="K63" s="33">
        <f>120*15</f>
        <v>1800</v>
      </c>
      <c r="L63" s="24">
        <f>K63/I63</f>
        <v>15</v>
      </c>
      <c r="M63" s="24">
        <f>K63/J63</f>
        <v>15</v>
      </c>
      <c r="N63" s="28">
        <f>(A63+M63)</f>
        <v>46053</v>
      </c>
      <c r="O63" s="24">
        <f>+Tabla2[[#This Row],[CODIGO]]</f>
        <v>53</v>
      </c>
      <c r="P63" s="26">
        <f>R63/Q63*1000</f>
        <v>42000</v>
      </c>
      <c r="Q63" s="22">
        <f>K63</f>
        <v>1800</v>
      </c>
      <c r="R63" s="30">
        <v>75600</v>
      </c>
      <c r="S63" s="22" t="s">
        <v>179</v>
      </c>
      <c r="T63" s="22" t="s">
        <v>180</v>
      </c>
      <c r="U63">
        <v>0</v>
      </c>
      <c r="V63" s="79">
        <v>0</v>
      </c>
    </row>
    <row r="64" spans="1:22" s="10" customFormat="1" x14ac:dyDescent="0.25">
      <c r="A64" s="21" cm="1">
        <f t="array" ref="A64">IFERROR(LOOKUP(2,1/([1]maestro!I:I=H64),[1]maestro!B:B),"")</f>
        <v>46042</v>
      </c>
      <c r="B64" s="22" t="str">
        <f>TEXT(A64,"mmmm")</f>
        <v>enero</v>
      </c>
      <c r="C64" s="23">
        <v>54</v>
      </c>
      <c r="D64" s="32" t="s">
        <v>181</v>
      </c>
      <c r="E64" s="24" t="str">
        <f>PROPER(D64)</f>
        <v>Christian Gerena</v>
      </c>
      <c r="F64" s="22"/>
      <c r="G64" s="25" t="str">
        <f>CONCATENATE($G$1,H64)</f>
        <v>573004955102</v>
      </c>
      <c r="H64" s="24">
        <v>3004955102</v>
      </c>
      <c r="I64" s="33">
        <v>150</v>
      </c>
      <c r="J64" s="33">
        <v>450</v>
      </c>
      <c r="K64" s="33">
        <f>450*15</f>
        <v>6750</v>
      </c>
      <c r="L64" s="34">
        <f>K64/I64</f>
        <v>45</v>
      </c>
      <c r="M64" s="35">
        <f>K64/J64</f>
        <v>15</v>
      </c>
      <c r="N64" s="28">
        <f>(A64+M64)</f>
        <v>46057</v>
      </c>
      <c r="O64" s="24">
        <f>+Tabla2[[#This Row],[CODIGO]]</f>
        <v>54</v>
      </c>
      <c r="P64" s="26">
        <f>R64/Q64*1000</f>
        <v>36444.444444444445</v>
      </c>
      <c r="Q64" s="22">
        <f>K64</f>
        <v>6750</v>
      </c>
      <c r="R64" s="27">
        <v>246000</v>
      </c>
      <c r="S64" s="22" t="s">
        <v>182</v>
      </c>
      <c r="T64" s="22" t="s">
        <v>183</v>
      </c>
      <c r="U64">
        <v>0</v>
      </c>
      <c r="V64" s="79">
        <v>0</v>
      </c>
    </row>
    <row r="65" spans="1:22" s="10" customFormat="1" x14ac:dyDescent="0.25">
      <c r="A65" s="9" t="str" cm="1">
        <f t="array" ref="A65">IFERROR(LOOKUP(2,1/([1]maestro!I:I=H65),[1]maestro!B:B),"")</f>
        <v/>
      </c>
      <c r="B65" s="10" t="str">
        <f>TEXT(A65,"mmmm")</f>
        <v/>
      </c>
      <c r="C65" s="11">
        <v>55</v>
      </c>
      <c r="D65" s="12" t="s">
        <v>184</v>
      </c>
      <c r="E65" s="13" t="str">
        <f>PROPER(D65)</f>
        <v>Claudia Mahecha Am</v>
      </c>
      <c r="G65" s="14" t="str">
        <f>CONCATENATE($G$1,H65)</f>
        <v>573203424920</v>
      </c>
      <c r="H65" s="13">
        <v>3203424920</v>
      </c>
      <c r="I65" s="15">
        <v>100</v>
      </c>
      <c r="J65" s="15">
        <v>100</v>
      </c>
      <c r="K65" s="15">
        <f>+J65*8</f>
        <v>800</v>
      </c>
      <c r="L65" s="16">
        <f>K65/I65</f>
        <v>8</v>
      </c>
      <c r="M65" s="17">
        <f>K65/J65</f>
        <v>8</v>
      </c>
      <c r="N65" s="18" t="e">
        <f>(A65+M65)</f>
        <v>#VALUE!</v>
      </c>
      <c r="O65" s="13">
        <f>+Tabla2[[#This Row],[CODIGO]]</f>
        <v>55</v>
      </c>
      <c r="P65" s="19">
        <f>R65/Q65*1000</f>
        <v>40000</v>
      </c>
      <c r="Q65" s="10">
        <f>K65</f>
        <v>800</v>
      </c>
      <c r="R65" s="20">
        <v>32000</v>
      </c>
      <c r="S65" s="10" t="s">
        <v>52</v>
      </c>
      <c r="U65">
        <v>0</v>
      </c>
      <c r="V65" s="79">
        <v>0</v>
      </c>
    </row>
    <row r="66" spans="1:22" s="10" customFormat="1" x14ac:dyDescent="0.25">
      <c r="A66" s="21" cm="1">
        <f t="array" ref="A66">IFERROR(LOOKUP(2,1/([1]maestro!I:I=H66),[1]maestro!B:B),"")</f>
        <v>46037</v>
      </c>
      <c r="B66" s="22" t="str">
        <f>TEXT(A66,"mmmm")</f>
        <v>enero</v>
      </c>
      <c r="C66" s="23">
        <v>56</v>
      </c>
      <c r="D66" s="22" t="s">
        <v>188</v>
      </c>
      <c r="E66" s="24" t="str">
        <f>PROPER(D66)</f>
        <v xml:space="preserve">Claudia Patricia Alaguna Gato </v>
      </c>
      <c r="F66" s="22" t="s">
        <v>66</v>
      </c>
      <c r="G66" s="25" t="str">
        <f>CONCATENATE($G$1,H66)</f>
        <v>573123705496</v>
      </c>
      <c r="H66" s="24">
        <v>3123705496</v>
      </c>
      <c r="I66" s="24">
        <v>100</v>
      </c>
      <c r="J66" s="24">
        <v>100</v>
      </c>
      <c r="K66" s="24">
        <f>15*100</f>
        <v>1500</v>
      </c>
      <c r="L66" s="24">
        <f>K66/I66</f>
        <v>15</v>
      </c>
      <c r="M66" s="24">
        <f>K66/J66</f>
        <v>15</v>
      </c>
      <c r="N66" s="28">
        <f>(A66+M66)</f>
        <v>46052</v>
      </c>
      <c r="O66" s="24">
        <f>+Tabla2[[#This Row],[CODIGO]]</f>
        <v>56</v>
      </c>
      <c r="P66" s="26">
        <f>R66/Q66*1000</f>
        <v>29000</v>
      </c>
      <c r="Q66" s="22">
        <f>K66</f>
        <v>1500</v>
      </c>
      <c r="R66" s="30">
        <v>43500</v>
      </c>
      <c r="S66" s="22" t="s">
        <v>186</v>
      </c>
      <c r="T66" s="22" t="s">
        <v>187</v>
      </c>
      <c r="U66">
        <v>0</v>
      </c>
      <c r="V66" s="79">
        <v>0</v>
      </c>
    </row>
    <row r="67" spans="1:22" s="10" customFormat="1" x14ac:dyDescent="0.25">
      <c r="A67" s="21" cm="1">
        <f t="array" ref="A67">IFERROR(LOOKUP(2,1/([1]maestro!I:I=H67),[1]maestro!B:B),"")</f>
        <v>46037</v>
      </c>
      <c r="B67" s="22" t="str">
        <f>TEXT(A67,"mmmm")</f>
        <v>enero</v>
      </c>
      <c r="C67" s="23">
        <v>56</v>
      </c>
      <c r="D67" s="22" t="s">
        <v>185</v>
      </c>
      <c r="E67" s="24" t="str">
        <f>PROPER(D67)</f>
        <v>Claudia Patricia Alaguna</v>
      </c>
      <c r="F67" s="22" t="s">
        <v>66</v>
      </c>
      <c r="G67" s="25" t="str">
        <f>CONCATENATE($G$1,H67)</f>
        <v>573123705496</v>
      </c>
      <c r="H67" s="24">
        <v>3123705496</v>
      </c>
      <c r="I67" s="24">
        <v>150</v>
      </c>
      <c r="J67" s="24">
        <v>300</v>
      </c>
      <c r="K67" s="24">
        <f>30*150</f>
        <v>4500</v>
      </c>
      <c r="L67" s="24">
        <f>K67/I67</f>
        <v>30</v>
      </c>
      <c r="M67" s="24">
        <f>K67/J67</f>
        <v>15</v>
      </c>
      <c r="N67" s="28">
        <f>(A67+M67)</f>
        <v>46052</v>
      </c>
      <c r="O67" s="24">
        <f>+Tabla2[[#This Row],[CODIGO]]</f>
        <v>56</v>
      </c>
      <c r="P67" s="26">
        <f>R67/Q67*1000</f>
        <v>29000</v>
      </c>
      <c r="Q67" s="22">
        <f>K67</f>
        <v>4500</v>
      </c>
      <c r="R67" s="30">
        <v>130500</v>
      </c>
      <c r="S67" s="22" t="s">
        <v>186</v>
      </c>
      <c r="T67" s="22" t="s">
        <v>187</v>
      </c>
      <c r="U67">
        <v>0</v>
      </c>
      <c r="V67" s="79">
        <v>174000</v>
      </c>
    </row>
    <row r="68" spans="1:22" s="10" customFormat="1" x14ac:dyDescent="0.25">
      <c r="A68" s="9" t="str" cm="1">
        <f t="array" ref="A68">IFERROR(LOOKUP(2,1/([1]maestro!I:I=H68),[1]maestro!B:B),"")</f>
        <v/>
      </c>
      <c r="B68" s="10" t="str">
        <f>TEXT(A68,"mmmm")</f>
        <v/>
      </c>
      <c r="C68" s="11">
        <v>57</v>
      </c>
      <c r="D68" s="12" t="s">
        <v>189</v>
      </c>
      <c r="E68" s="13" t="str">
        <f>PROPER(D68)</f>
        <v>Claudia Patricia Torres</v>
      </c>
      <c r="F68" s="13"/>
      <c r="G68" s="14" t="str">
        <f>CONCATENATE($G$1,H68)</f>
        <v>573214076073</v>
      </c>
      <c r="H68" s="13">
        <v>3214076073</v>
      </c>
      <c r="I68" s="15">
        <v>110</v>
      </c>
      <c r="J68" s="15">
        <f>110*2</f>
        <v>220</v>
      </c>
      <c r="K68" s="15">
        <f>+J68*15</f>
        <v>3300</v>
      </c>
      <c r="L68" s="16">
        <f>K68/I68</f>
        <v>30</v>
      </c>
      <c r="M68" s="17">
        <f>K68/J68</f>
        <v>15</v>
      </c>
      <c r="N68" s="18" t="e">
        <f>(A68+M68)</f>
        <v>#VALUE!</v>
      </c>
      <c r="O68" s="13">
        <f>+Tabla2[[#This Row],[CODIGO]]</f>
        <v>57</v>
      </c>
      <c r="P68" s="19">
        <f>R68/Q68*1000</f>
        <v>37818.181818181823</v>
      </c>
      <c r="Q68" s="10">
        <f>K68</f>
        <v>3300</v>
      </c>
      <c r="R68" s="20">
        <v>124800</v>
      </c>
      <c r="S68" s="10" t="s">
        <v>190</v>
      </c>
      <c r="T68" s="10" t="s">
        <v>191</v>
      </c>
      <c r="U68">
        <v>0</v>
      </c>
      <c r="V68" s="79">
        <v>0</v>
      </c>
    </row>
    <row r="69" spans="1:22" s="10" customFormat="1" x14ac:dyDescent="0.25">
      <c r="A69" s="9" t="str" cm="1">
        <f t="array" ref="A69">IFERROR(LOOKUP(2,1/([1]maestro!I:I=H69),[1]maestro!B:B),"")</f>
        <v/>
      </c>
      <c r="B69" s="10" t="str">
        <f>TEXT(A69,"mmmm")</f>
        <v/>
      </c>
      <c r="C69" s="11">
        <v>58</v>
      </c>
      <c r="D69" s="12" t="s">
        <v>192</v>
      </c>
      <c r="E69" s="13" t="str">
        <f>PROPER(D69)</f>
        <v xml:space="preserve">Claudia Yazmin Giraldo Castañeda </v>
      </c>
      <c r="G69" s="14" t="str">
        <f>CONCATENATE('[1]Clientes Inactivos'!$G$1,H69)</f>
        <v>573213239770</v>
      </c>
      <c r="H69" s="13">
        <v>3213239770</v>
      </c>
      <c r="I69" s="15">
        <v>73</v>
      </c>
      <c r="J69" s="15">
        <v>146</v>
      </c>
      <c r="K69" s="15">
        <f>+J69*7</f>
        <v>1022</v>
      </c>
      <c r="L69" s="16">
        <f>K69/I69</f>
        <v>14</v>
      </c>
      <c r="M69" s="17">
        <f>K69/J69</f>
        <v>7</v>
      </c>
      <c r="N69" s="18" t="e">
        <f>(A69+M69)</f>
        <v>#VALUE!</v>
      </c>
      <c r="O69" s="13">
        <f>+Tabla2[[#This Row],[CODIGO]]</f>
        <v>58</v>
      </c>
      <c r="P69" s="19">
        <f>R69/Q69*1000</f>
        <v>9784.7358121330726</v>
      </c>
      <c r="Q69" s="10">
        <f>K69</f>
        <v>1022</v>
      </c>
      <c r="R69" s="20">
        <v>10000</v>
      </c>
      <c r="S69" s="10" t="s">
        <v>193</v>
      </c>
      <c r="T69" s="10" t="s">
        <v>194</v>
      </c>
      <c r="U69">
        <v>0</v>
      </c>
      <c r="V69" s="79">
        <v>0</v>
      </c>
    </row>
    <row r="70" spans="1:22" s="10" customFormat="1" x14ac:dyDescent="0.25">
      <c r="A70" s="9" cm="1">
        <f t="array" ref="A70">IFERROR(LOOKUP(2,1/([1]maestro!I:I=H70),[1]maestro!B:B),"")</f>
        <v>0</v>
      </c>
      <c r="B70" s="10" t="str">
        <f>TEXT(A70,"mmmm")</f>
        <v>enero</v>
      </c>
      <c r="C70" s="11">
        <v>59</v>
      </c>
      <c r="D70" s="12" t="s">
        <v>195</v>
      </c>
      <c r="E70" s="13" t="str">
        <f>PROPER(D70)</f>
        <v>Cristian Gamba</v>
      </c>
      <c r="G70" s="14" t="str">
        <f>CONCATENATE($G$1,H70)</f>
        <v>57</v>
      </c>
      <c r="H70" s="13"/>
      <c r="I70" s="15">
        <v>225</v>
      </c>
      <c r="J70" s="15">
        <f>225*2</f>
        <v>450</v>
      </c>
      <c r="K70" s="15">
        <f>+J70*7</f>
        <v>3150</v>
      </c>
      <c r="L70" s="16">
        <f>K70/I70</f>
        <v>14</v>
      </c>
      <c r="M70" s="17">
        <f>K70/J70</f>
        <v>7</v>
      </c>
      <c r="N70" s="18">
        <f>(A70+M70)</f>
        <v>7</v>
      </c>
      <c r="O70" s="13">
        <f>+Tabla2[[#This Row],[CODIGO]]</f>
        <v>59</v>
      </c>
      <c r="P70" s="19">
        <f>R70/Q70*1000</f>
        <v>0</v>
      </c>
      <c r="Q70" s="10">
        <f>K70</f>
        <v>3150</v>
      </c>
      <c r="R70" s="20"/>
      <c r="S70" s="10" t="s">
        <v>196</v>
      </c>
      <c r="T70" s="10" t="s">
        <v>197</v>
      </c>
      <c r="U70">
        <v>0</v>
      </c>
      <c r="V70" s="79">
        <v>0</v>
      </c>
    </row>
    <row r="71" spans="1:22" s="10" customFormat="1" x14ac:dyDescent="0.25">
      <c r="A71" s="9" t="str" cm="1">
        <f t="array" ref="A71">IFERROR(LOOKUP(2,1/([1]maestro!I:I=H71),[1]maestro!B:B),"")</f>
        <v/>
      </c>
      <c r="B71" s="10" t="str">
        <f>TEXT(A71,"mmmm")</f>
        <v/>
      </c>
      <c r="C71" s="11">
        <v>60</v>
      </c>
      <c r="D71" s="12" t="s">
        <v>198</v>
      </c>
      <c r="E71" s="13" t="str">
        <f>PROPER(D71)</f>
        <v>Daniel Emilio Quijano</v>
      </c>
      <c r="F71" s="13"/>
      <c r="G71" s="14" t="str">
        <f>CONCATENATE($G$1,H71)</f>
        <v>573143193333</v>
      </c>
      <c r="H71" s="13">
        <v>3143193333</v>
      </c>
      <c r="I71" s="15">
        <v>130</v>
      </c>
      <c r="J71" s="15">
        <v>260</v>
      </c>
      <c r="K71" s="15">
        <f>+J71*15</f>
        <v>3900</v>
      </c>
      <c r="L71" s="16">
        <f>K71/I71</f>
        <v>30</v>
      </c>
      <c r="M71" s="17">
        <f>K71/J71</f>
        <v>15</v>
      </c>
      <c r="N71" s="18" t="e">
        <f>(A71+M71)</f>
        <v>#VALUE!</v>
      </c>
      <c r="O71" s="13">
        <f>+Tabla2[[#This Row],[CODIGO]]</f>
        <v>60</v>
      </c>
      <c r="P71" s="19">
        <f>R71/Q71*1000</f>
        <v>37538.461538461539</v>
      </c>
      <c r="Q71" s="10">
        <f>K71</f>
        <v>3900</v>
      </c>
      <c r="R71" s="20">
        <v>146400</v>
      </c>
      <c r="S71" s="10" t="s">
        <v>199</v>
      </c>
      <c r="T71" s="10" t="s">
        <v>200</v>
      </c>
      <c r="U71">
        <v>0</v>
      </c>
      <c r="V71" s="79">
        <v>0</v>
      </c>
    </row>
    <row r="72" spans="1:22" s="10" customFormat="1" x14ac:dyDescent="0.25">
      <c r="A72" s="21" cm="1">
        <f t="array" ref="A72">IFERROR(LOOKUP(2,1/([1]maestro!I:I=H72),[1]maestro!B:B),"")</f>
        <v>46040</v>
      </c>
      <c r="B72" s="22" t="str">
        <f>TEXT(A72,"mmmm")</f>
        <v>enero</v>
      </c>
      <c r="C72" s="23">
        <v>61</v>
      </c>
      <c r="D72" s="22" t="s">
        <v>201</v>
      </c>
      <c r="E72" s="22" t="str">
        <f>PROPER(D72)</f>
        <v>Daniel Latorre</v>
      </c>
      <c r="F72" s="22"/>
      <c r="G72" s="22" t="str">
        <f>CONCATENATE($G$1,H72)</f>
        <v>573124002720</v>
      </c>
      <c r="H72" s="24">
        <v>3124002720</v>
      </c>
      <c r="I72" s="33">
        <v>270</v>
      </c>
      <c r="J72" s="33">
        <f>+Tabla2[[#This Row],[POR COMIDA]]*2</f>
        <v>540</v>
      </c>
      <c r="K72" s="33">
        <f>+Tabla2[[#This Row],[AL DIA]]*15</f>
        <v>8100</v>
      </c>
      <c r="L72" s="34">
        <v>30</v>
      </c>
      <c r="M72" s="35">
        <v>15</v>
      </c>
      <c r="N72" s="28">
        <f>(A72+M72)</f>
        <v>46055</v>
      </c>
      <c r="O72" s="24">
        <f>+Tabla2[[#This Row],[CODIGO]]</f>
        <v>61</v>
      </c>
      <c r="P72" s="26">
        <f>R72/Q72*1000</f>
        <v>26000</v>
      </c>
      <c r="Q72" s="22">
        <f>K72</f>
        <v>8100</v>
      </c>
      <c r="R72" s="31">
        <v>210600</v>
      </c>
      <c r="S72" s="22" t="s">
        <v>202</v>
      </c>
      <c r="T72" s="22" t="s">
        <v>203</v>
      </c>
      <c r="U72">
        <v>0</v>
      </c>
      <c r="V72" s="79">
        <v>0</v>
      </c>
    </row>
    <row r="73" spans="1:22" s="10" customFormat="1" x14ac:dyDescent="0.25">
      <c r="A73" s="9" t="str" cm="1">
        <f t="array" ref="A73">IFERROR(LOOKUP(2,1/([1]maestro!I:I=H73),[1]maestro!B:B),"")</f>
        <v/>
      </c>
      <c r="B73" s="10" t="str">
        <f>TEXT(A73,"mmmm")</f>
        <v/>
      </c>
      <c r="C73" s="11">
        <v>62</v>
      </c>
      <c r="D73" s="12" t="s">
        <v>204</v>
      </c>
      <c r="E73" s="13" t="str">
        <f>PROPER(D73)</f>
        <v>Daniel Martinez 185</v>
      </c>
      <c r="G73" s="14" t="str">
        <f>CONCATENATE($G$1,H73)</f>
        <v>573138791829</v>
      </c>
      <c r="H73" s="13">
        <v>3138791829</v>
      </c>
      <c r="I73" s="15">
        <v>185</v>
      </c>
      <c r="J73" s="15">
        <v>370</v>
      </c>
      <c r="K73" s="15">
        <f>+J73*7</f>
        <v>2590</v>
      </c>
      <c r="L73" s="16">
        <f>K73/I73</f>
        <v>14</v>
      </c>
      <c r="M73" s="17">
        <f>K73/J73</f>
        <v>7</v>
      </c>
      <c r="N73" s="18" t="e">
        <f>(A73+M73)</f>
        <v>#VALUE!</v>
      </c>
      <c r="O73" s="13">
        <f>+Tabla2[[#This Row],[CODIGO]]</f>
        <v>62</v>
      </c>
      <c r="P73" s="19">
        <f>R73/Q73*1000</f>
        <v>3861.0038610038609</v>
      </c>
      <c r="Q73" s="10">
        <f>K73</f>
        <v>2590</v>
      </c>
      <c r="R73" s="20">
        <v>10000</v>
      </c>
      <c r="U73">
        <v>0</v>
      </c>
      <c r="V73" s="79">
        <v>0</v>
      </c>
    </row>
    <row r="74" spans="1:22" s="10" customFormat="1" x14ac:dyDescent="0.25">
      <c r="A74" s="9" t="str" cm="1">
        <f t="array" ref="A74">IFERROR(LOOKUP(2,1/([1]maestro!I:I=H74),[1]maestro!B:B),"")</f>
        <v/>
      </c>
      <c r="B74" s="10" t="str">
        <f>TEXT(A74,"mmmm")</f>
        <v/>
      </c>
      <c r="C74" s="11">
        <v>62</v>
      </c>
      <c r="D74" s="12" t="s">
        <v>205</v>
      </c>
      <c r="E74" s="13" t="str">
        <f>PROPER(D74)</f>
        <v>Daniel Martinez 260</v>
      </c>
      <c r="G74" s="14" t="str">
        <f>CONCATENATE($G$1,H74)</f>
        <v>573138791829</v>
      </c>
      <c r="H74" s="13">
        <v>3138791829</v>
      </c>
      <c r="I74" s="15">
        <v>260</v>
      </c>
      <c r="J74" s="15">
        <v>520</v>
      </c>
      <c r="K74" s="15">
        <f>+J74*7</f>
        <v>3640</v>
      </c>
      <c r="L74" s="16">
        <f>K74/I74</f>
        <v>14</v>
      </c>
      <c r="M74" s="17">
        <f>K74/J74</f>
        <v>7</v>
      </c>
      <c r="N74" s="18" t="e">
        <f>(A74+M74)</f>
        <v>#VALUE!</v>
      </c>
      <c r="O74" s="13">
        <f>+Tabla2[[#This Row],[CODIGO]]</f>
        <v>62</v>
      </c>
      <c r="P74" s="19">
        <f>R74/Q74*1000</f>
        <v>2747.2527472527472</v>
      </c>
      <c r="Q74" s="10">
        <f>K74</f>
        <v>3640</v>
      </c>
      <c r="R74" s="20">
        <v>10000</v>
      </c>
      <c r="U74">
        <v>0</v>
      </c>
      <c r="V74" s="79">
        <v>0</v>
      </c>
    </row>
    <row r="75" spans="1:22" s="10" customFormat="1" x14ac:dyDescent="0.25">
      <c r="A75" s="21" cm="1">
        <f t="array" ref="A75">IFERROR(LOOKUP(2,1/([1]maestro!I:I=H75),[1]maestro!B:B),"")</f>
        <v>46041</v>
      </c>
      <c r="B75" s="22" t="str">
        <f>TEXT(A75,"mmmm")</f>
        <v>enero</v>
      </c>
      <c r="C75" s="23">
        <v>63</v>
      </c>
      <c r="D75" s="22" t="s">
        <v>206</v>
      </c>
      <c r="E75" s="24" t="str">
        <f>PROPER(D75)</f>
        <v>Daniel Orlando García Celeita Mocca</v>
      </c>
      <c r="F75" s="22" t="s">
        <v>207</v>
      </c>
      <c r="G75" s="25" t="str">
        <f>CONCATENATE($G$1,H75)</f>
        <v>573143069108</v>
      </c>
      <c r="H75" s="24">
        <v>3143069108</v>
      </c>
      <c r="I75" s="24">
        <v>140</v>
      </c>
      <c r="J75" s="24">
        <f>+Tabla2[[#This Row],[POR COMIDA]]*3</f>
        <v>420</v>
      </c>
      <c r="K75" s="24">
        <f>+Tabla2[[#This Row],[AL DIA]]*15</f>
        <v>6300</v>
      </c>
      <c r="L75" s="24">
        <f>K75/I75</f>
        <v>45</v>
      </c>
      <c r="M75" s="24">
        <f>K75/J75</f>
        <v>15</v>
      </c>
      <c r="N75" s="28">
        <f>(A75+M75)</f>
        <v>46056</v>
      </c>
      <c r="O75" s="24">
        <f>+Tabla2[[#This Row],[CODIGO]]</f>
        <v>63</v>
      </c>
      <c r="P75" s="26">
        <f>R75/Q75*1000</f>
        <v>27000</v>
      </c>
      <c r="Q75" s="22">
        <f>K75</f>
        <v>6300</v>
      </c>
      <c r="R75" s="30">
        <v>170100</v>
      </c>
      <c r="S75" s="22" t="s">
        <v>208</v>
      </c>
      <c r="T75" s="22" t="s">
        <v>209</v>
      </c>
      <c r="U75">
        <v>0</v>
      </c>
      <c r="V75" s="79">
        <v>0</v>
      </c>
    </row>
    <row r="76" spans="1:22" s="10" customFormat="1" x14ac:dyDescent="0.25">
      <c r="A76" s="21" cm="1">
        <f t="array" ref="A76">IFERROR(LOOKUP(2,1/([1]maestro!I:I=H76),[1]maestro!B:B),"")</f>
        <v>46041</v>
      </c>
      <c r="B76" s="22" t="str">
        <f>TEXT(A76,"mmmm")</f>
        <v>enero</v>
      </c>
      <c r="C76" s="23">
        <v>63</v>
      </c>
      <c r="D76" s="22" t="s">
        <v>210</v>
      </c>
      <c r="E76" s="24" t="str">
        <f>PROPER(D76)</f>
        <v>Daniel Orlando García Celeita Natan</v>
      </c>
      <c r="F76" s="22" t="s">
        <v>207</v>
      </c>
      <c r="G76" s="25" t="str">
        <f>CONCATENATE($G$1,H76)</f>
        <v>573143069108</v>
      </c>
      <c r="H76" s="24">
        <v>3143069108</v>
      </c>
      <c r="I76" s="24">
        <v>140</v>
      </c>
      <c r="J76" s="24">
        <f>+Tabla2[[#This Row],[POR COMIDA]]*3</f>
        <v>420</v>
      </c>
      <c r="K76" s="24">
        <f>+Tabla2[[#This Row],[AL DIA]]*15</f>
        <v>6300</v>
      </c>
      <c r="L76" s="24">
        <f>K76/I76</f>
        <v>45</v>
      </c>
      <c r="M76" s="24">
        <f>K76/J76</f>
        <v>15</v>
      </c>
      <c r="N76" s="28">
        <f>(A76+M76)</f>
        <v>46056</v>
      </c>
      <c r="O76" s="24">
        <f>+Tabla2[[#This Row],[CODIGO]]</f>
        <v>63</v>
      </c>
      <c r="P76" s="26">
        <f>R76/Q76*1000</f>
        <v>27000</v>
      </c>
      <c r="Q76" s="22">
        <f>K76</f>
        <v>6300</v>
      </c>
      <c r="R76" s="30">
        <v>170100</v>
      </c>
      <c r="S76" s="22" t="s">
        <v>208</v>
      </c>
      <c r="T76" s="22" t="s">
        <v>209</v>
      </c>
      <c r="U76">
        <v>0</v>
      </c>
      <c r="V76" s="79">
        <v>0</v>
      </c>
    </row>
    <row r="77" spans="1:22" s="10" customFormat="1" x14ac:dyDescent="0.25">
      <c r="A77" s="9" cm="1">
        <f t="array" ref="A77">IFERROR(LOOKUP(2,1/([1]maestro!I:I=H77),[1]maestro!B:B),"")</f>
        <v>46037</v>
      </c>
      <c r="B77" s="10" t="str">
        <f>TEXT(A77,"mmmm")</f>
        <v>enero</v>
      </c>
      <c r="C77" s="11">
        <v>64</v>
      </c>
      <c r="D77" s="10" t="s">
        <v>211</v>
      </c>
      <c r="E77" s="13" t="str">
        <f>PROPER(D77)</f>
        <v>Daniel Valencia</v>
      </c>
      <c r="G77" s="14" t="str">
        <f>CONCATENATE($G$1,H77)</f>
        <v>573057888483</v>
      </c>
      <c r="H77" s="13">
        <v>3057888483</v>
      </c>
      <c r="I77" s="13">
        <v>220</v>
      </c>
      <c r="J77" s="13">
        <v>220</v>
      </c>
      <c r="K77" s="13">
        <f>15*220</f>
        <v>3300</v>
      </c>
      <c r="L77" s="13">
        <f>K77/I77</f>
        <v>15</v>
      </c>
      <c r="M77" s="13">
        <f>K77/J77</f>
        <v>15</v>
      </c>
      <c r="N77" s="18">
        <f>(A77+M77)</f>
        <v>46052</v>
      </c>
      <c r="O77" s="13">
        <f>+Tabla2[[#This Row],[CODIGO]]</f>
        <v>64</v>
      </c>
      <c r="P77" s="19">
        <f>R77/Q77*1000</f>
        <v>30151.515151515152</v>
      </c>
      <c r="Q77" s="10">
        <f>K77</f>
        <v>3300</v>
      </c>
      <c r="R77" s="20">
        <v>99500</v>
      </c>
      <c r="S77" s="10" t="s">
        <v>212</v>
      </c>
      <c r="T77" s="10" t="s">
        <v>213</v>
      </c>
      <c r="U77">
        <v>0</v>
      </c>
      <c r="V77" s="79">
        <v>0</v>
      </c>
    </row>
    <row r="78" spans="1:22" s="10" customFormat="1" x14ac:dyDescent="0.25">
      <c r="A78" s="9" t="str" cm="1">
        <f t="array" ref="A78">IFERROR(LOOKUP(2,1/([1]maestro!I:I=H78),[1]maestro!B:B),"")</f>
        <v/>
      </c>
      <c r="B78" s="10" t="str">
        <f>TEXT(A78,"mmmm")</f>
        <v/>
      </c>
      <c r="C78" s="11">
        <v>65</v>
      </c>
      <c r="D78" s="10" t="s">
        <v>214</v>
      </c>
      <c r="E78" s="13" t="str">
        <f>PROPER(D78)</f>
        <v>Daniela Gomez Neira 105</v>
      </c>
      <c r="G78" s="14" t="str">
        <f>CONCATENATE('[1]Clientes Inactivos'!$G$1,H78)</f>
        <v>573195630612</v>
      </c>
      <c r="H78" s="13">
        <v>3195630612</v>
      </c>
      <c r="I78" s="13">
        <v>105</v>
      </c>
      <c r="J78" s="13">
        <v>210</v>
      </c>
      <c r="K78" s="13">
        <f>+J78*15</f>
        <v>3150</v>
      </c>
      <c r="L78" s="13">
        <f>K78/I78</f>
        <v>30</v>
      </c>
      <c r="M78" s="13">
        <f>K78/J78</f>
        <v>15</v>
      </c>
      <c r="N78" s="18" t="e">
        <f>(A78+M78)</f>
        <v>#VALUE!</v>
      </c>
      <c r="O78" s="13">
        <f>+Tabla2[[#This Row],[CODIGO]]</f>
        <v>65</v>
      </c>
      <c r="P78" s="19">
        <f>R78/Q78*1000</f>
        <v>28000</v>
      </c>
      <c r="Q78" s="10">
        <f>K78</f>
        <v>3150</v>
      </c>
      <c r="R78" s="20">
        <v>88200</v>
      </c>
      <c r="S78" s="10" t="s">
        <v>215</v>
      </c>
      <c r="T78" s="10" t="s">
        <v>216</v>
      </c>
      <c r="U78">
        <v>0</v>
      </c>
      <c r="V78" s="79">
        <v>0</v>
      </c>
    </row>
    <row r="79" spans="1:22" s="10" customFormat="1" x14ac:dyDescent="0.25">
      <c r="A79" s="9" t="str" cm="1">
        <f t="array" ref="A79">IFERROR(LOOKUP(2,1/([1]maestro!I:I=H79),[1]maestro!B:B),"")</f>
        <v/>
      </c>
      <c r="B79" s="10" t="str">
        <f>TEXT(A79,"mmmm")</f>
        <v/>
      </c>
      <c r="C79" s="11">
        <v>65</v>
      </c>
      <c r="D79" s="10" t="s">
        <v>217</v>
      </c>
      <c r="E79" s="13" t="str">
        <f>PROPER(D79)</f>
        <v>Daniela Gomez Neira 265</v>
      </c>
      <c r="G79" s="14" t="str">
        <f>CONCATENATE('[1]Clientes Inactivos'!$G$1,H79)</f>
        <v>573195630612</v>
      </c>
      <c r="H79" s="13">
        <v>3195630612</v>
      </c>
      <c r="I79" s="13">
        <v>265</v>
      </c>
      <c r="J79" s="13">
        <v>530</v>
      </c>
      <c r="K79" s="13">
        <f>+J79*15</f>
        <v>7950</v>
      </c>
      <c r="L79" s="13">
        <f>K79/I79</f>
        <v>30</v>
      </c>
      <c r="M79" s="13">
        <f>K79/J79</f>
        <v>15</v>
      </c>
      <c r="N79" s="18" t="e">
        <f>(A79+M79)</f>
        <v>#VALUE!</v>
      </c>
      <c r="O79" s="13">
        <f>+Tabla2[[#This Row],[CODIGO]]</f>
        <v>65</v>
      </c>
      <c r="P79" s="19">
        <f>R79/Q79*1000</f>
        <v>28000</v>
      </c>
      <c r="Q79" s="10">
        <f>K79</f>
        <v>7950</v>
      </c>
      <c r="R79" s="20">
        <v>222600</v>
      </c>
      <c r="S79" s="10" t="s">
        <v>215</v>
      </c>
      <c r="T79" s="10" t="s">
        <v>216</v>
      </c>
      <c r="U79">
        <v>0</v>
      </c>
      <c r="V79" s="79">
        <v>0</v>
      </c>
    </row>
    <row r="80" spans="1:22" s="10" customFormat="1" x14ac:dyDescent="0.25">
      <c r="A80" s="21" cm="1">
        <f t="array" ref="A80">IFERROR(LOOKUP(2,1/([1]maestro!I:I=H80),[1]maestro!B:B),"")</f>
        <v>46041</v>
      </c>
      <c r="B80" s="22" t="str">
        <f>TEXT(A80,"mmmm")</f>
        <v>enero</v>
      </c>
      <c r="C80" s="23">
        <v>66</v>
      </c>
      <c r="D80" s="22" t="s">
        <v>218</v>
      </c>
      <c r="E80" s="24" t="str">
        <f>PROPER(D80)</f>
        <v>Daniela Ortiz</v>
      </c>
      <c r="F80" s="22" t="s">
        <v>66</v>
      </c>
      <c r="G80" s="25" t="str">
        <f>CONCATENATE($G$1,H80)</f>
        <v>573013849900</v>
      </c>
      <c r="H80" s="24">
        <v>3013849900</v>
      </c>
      <c r="I80" s="24">
        <v>240</v>
      </c>
      <c r="J80" s="24">
        <v>480</v>
      </c>
      <c r="K80" s="24">
        <v>6720</v>
      </c>
      <c r="L80" s="24">
        <f>K80/I80</f>
        <v>28</v>
      </c>
      <c r="M80" s="24">
        <f>K80/J80</f>
        <v>14</v>
      </c>
      <c r="N80" s="28">
        <f>(A80+M80)</f>
        <v>46055</v>
      </c>
      <c r="O80" s="24">
        <f>+Tabla2[[#This Row],[CODIGO]]</f>
        <v>66</v>
      </c>
      <c r="P80" s="26">
        <f>R80/Q80*1000</f>
        <v>30000</v>
      </c>
      <c r="Q80" s="22">
        <f>K80</f>
        <v>6720</v>
      </c>
      <c r="R80" s="27">
        <v>201600</v>
      </c>
      <c r="S80" s="22" t="s">
        <v>219</v>
      </c>
      <c r="T80" s="22" t="s">
        <v>220</v>
      </c>
      <c r="U80">
        <v>0</v>
      </c>
      <c r="V80" s="79">
        <v>0</v>
      </c>
    </row>
    <row r="81" spans="1:22" s="10" customFormat="1" x14ac:dyDescent="0.25">
      <c r="A81" s="9" t="str" cm="1">
        <f t="array" ref="A81">IFERROR(LOOKUP(2,1/([1]maestro!I:I=H81),[1]maestro!B:B),"")</f>
        <v/>
      </c>
      <c r="B81" s="10" t="str">
        <f>TEXT(A81,"mmmm")</f>
        <v/>
      </c>
      <c r="C81" s="11">
        <v>67</v>
      </c>
      <c r="D81" s="12" t="s">
        <v>221</v>
      </c>
      <c r="E81" s="13" t="str">
        <f>PROPER(D81)</f>
        <v>Darly Duarte</v>
      </c>
      <c r="G81" s="14" t="str">
        <f>CONCATENATE($G$1,H81)</f>
        <v>573142070103</v>
      </c>
      <c r="H81" s="13">
        <v>3142070103</v>
      </c>
      <c r="I81" s="15">
        <v>124</v>
      </c>
      <c r="J81" s="15">
        <v>124</v>
      </c>
      <c r="K81" s="15">
        <f>+J81*15</f>
        <v>1860</v>
      </c>
      <c r="L81" s="16">
        <f>K81/I81</f>
        <v>15</v>
      </c>
      <c r="M81" s="17">
        <f>K81/J81</f>
        <v>15</v>
      </c>
      <c r="N81" s="18" t="e">
        <f>(A81+M81)</f>
        <v>#VALUE!</v>
      </c>
      <c r="O81" s="13">
        <f>+Tabla2[[#This Row],[CODIGO]]</f>
        <v>67</v>
      </c>
      <c r="P81" s="19">
        <f>R81/Q81*1000</f>
        <v>85806.451612903227</v>
      </c>
      <c r="Q81" s="10">
        <f>K81</f>
        <v>1860</v>
      </c>
      <c r="R81" s="20">
        <v>159600</v>
      </c>
      <c r="S81" s="10" t="s">
        <v>222</v>
      </c>
      <c r="T81" s="10" t="s">
        <v>223</v>
      </c>
      <c r="U81">
        <v>0</v>
      </c>
      <c r="V81" s="79">
        <v>0</v>
      </c>
    </row>
    <row r="82" spans="1:22" s="10" customFormat="1" x14ac:dyDescent="0.25">
      <c r="A82" s="21" cm="1">
        <f t="array" ref="A82">IFERROR(LOOKUP(2,1/([1]maestro!I:I=H82),[1]maestro!B:B),"")</f>
        <v>46041</v>
      </c>
      <c r="B82" s="22" t="str">
        <f>TEXT(A82,"mmmm")</f>
        <v>enero</v>
      </c>
      <c r="C82" s="23">
        <v>68</v>
      </c>
      <c r="D82" s="22" t="s">
        <v>224</v>
      </c>
      <c r="E82" s="24" t="str">
        <f>PROPER(D82)</f>
        <v>David Bermudez</v>
      </c>
      <c r="F82" s="22"/>
      <c r="G82" s="25" t="str">
        <f>CONCATENATE($G$1,H82)</f>
        <v>573132651016</v>
      </c>
      <c r="H82" s="24">
        <v>3132651016</v>
      </c>
      <c r="I82" s="33">
        <v>160</v>
      </c>
      <c r="J82" s="33">
        <v>320</v>
      </c>
      <c r="K82" s="33">
        <v>4800</v>
      </c>
      <c r="L82" s="24">
        <f>K82/I82</f>
        <v>30</v>
      </c>
      <c r="M82" s="24">
        <f>K82/J82</f>
        <v>15</v>
      </c>
      <c r="N82" s="28">
        <f>(A82+M82)</f>
        <v>46056</v>
      </c>
      <c r="O82" s="24">
        <f>+Tabla2[[#This Row],[CODIGO]]</f>
        <v>68</v>
      </c>
      <c r="P82" s="26">
        <f>R82/Q82*1000</f>
        <v>38000</v>
      </c>
      <c r="Q82" s="22">
        <f>K82</f>
        <v>4800</v>
      </c>
      <c r="R82" s="30">
        <v>182400</v>
      </c>
      <c r="S82" s="22" t="s">
        <v>225</v>
      </c>
      <c r="T82" s="22" t="s">
        <v>226</v>
      </c>
      <c r="U82">
        <v>0</v>
      </c>
      <c r="V82" s="79">
        <v>0</v>
      </c>
    </row>
    <row r="83" spans="1:22" s="10" customFormat="1" x14ac:dyDescent="0.25">
      <c r="A83" s="9" t="str" cm="1">
        <f t="array" ref="A83">IFERROR(LOOKUP(2,1/([1]maestro!I:I=H83),[1]maestro!B:B),"")</f>
        <v/>
      </c>
      <c r="B83" s="10" t="str">
        <f>TEXT(A83,"mmmm")</f>
        <v/>
      </c>
      <c r="C83" s="11">
        <v>70</v>
      </c>
      <c r="D83" s="12" t="s">
        <v>230</v>
      </c>
      <c r="E83" s="13" t="str">
        <f>PROPER(D83)</f>
        <v>Diana Ardila</v>
      </c>
      <c r="G83" s="14" t="str">
        <f>CONCATENATE($G$1,H83)</f>
        <v>573176451476</v>
      </c>
      <c r="H83" s="13">
        <v>3176451476</v>
      </c>
      <c r="I83" s="15">
        <v>64</v>
      </c>
      <c r="J83" s="15">
        <v>190</v>
      </c>
      <c r="K83" s="15">
        <f>+J83*15</f>
        <v>2850</v>
      </c>
      <c r="L83" s="16">
        <f>K83/I83</f>
        <v>44.53125</v>
      </c>
      <c r="M83" s="17">
        <f>K83/J83</f>
        <v>15</v>
      </c>
      <c r="N83" s="18" t="e">
        <f>(A83+M83)</f>
        <v>#VALUE!</v>
      </c>
      <c r="O83" s="13">
        <f>+Tabla2[[#This Row],[CODIGO]]</f>
        <v>70</v>
      </c>
      <c r="P83" s="19">
        <f>R83/Q83*1000</f>
        <v>38105.26315789474</v>
      </c>
      <c r="Q83" s="10">
        <f>K83</f>
        <v>2850</v>
      </c>
      <c r="R83" s="20">
        <v>108600</v>
      </c>
      <c r="S83" s="10" t="s">
        <v>231</v>
      </c>
      <c r="T83" s="10" t="s">
        <v>232</v>
      </c>
      <c r="U83">
        <v>0</v>
      </c>
      <c r="V83" s="79">
        <v>0</v>
      </c>
    </row>
    <row r="84" spans="1:22" s="22" customFormat="1" x14ac:dyDescent="0.25">
      <c r="A84" s="21" cm="1">
        <f t="array" ref="A84">IFERROR(LOOKUP(2,1/([1]maestro!I:I=H84),[1]maestro!B:B),"")</f>
        <v>46045</v>
      </c>
      <c r="B84" s="22" t="str">
        <f>TEXT(A84,"mmmm")</f>
        <v>enero</v>
      </c>
      <c r="C84" s="23">
        <v>69</v>
      </c>
      <c r="D84" s="22" t="s">
        <v>227</v>
      </c>
      <c r="E84" s="24" t="str">
        <f>PROPER(D84)</f>
        <v>David Max</v>
      </c>
      <c r="G84" s="25" t="str">
        <f>CONCATENATE($G$1,H84)</f>
        <v>573022387448</v>
      </c>
      <c r="H84" s="24">
        <v>3022387448</v>
      </c>
      <c r="I84" s="33">
        <v>150</v>
      </c>
      <c r="J84" s="33">
        <v>300</v>
      </c>
      <c r="K84" s="33">
        <f>30*150</f>
        <v>4500</v>
      </c>
      <c r="L84" s="24">
        <f>K84/I84</f>
        <v>30</v>
      </c>
      <c r="M84" s="24">
        <f>K84/J84</f>
        <v>15</v>
      </c>
      <c r="N84" s="28">
        <f>(A84+M84)</f>
        <v>46060</v>
      </c>
      <c r="O84" s="24">
        <f>+Tabla2[[#This Row],[CODIGO]]</f>
        <v>69</v>
      </c>
      <c r="P84" s="26">
        <f>R84/Q84*1000</f>
        <v>35000</v>
      </c>
      <c r="Q84" s="22">
        <f>K84</f>
        <v>4500</v>
      </c>
      <c r="R84" s="31">
        <v>157500</v>
      </c>
      <c r="S84" s="22" t="s">
        <v>228</v>
      </c>
      <c r="T84" s="22" t="s">
        <v>229</v>
      </c>
      <c r="U84">
        <v>0</v>
      </c>
      <c r="V84" s="79">
        <v>641500</v>
      </c>
    </row>
    <row r="85" spans="1:22" s="10" customFormat="1" x14ac:dyDescent="0.25">
      <c r="A85" s="21" cm="1">
        <f t="array" ref="A85">IFERROR(LOOKUP(2,1/([1]maestro!I:I=H85),[1]maestro!B:B),"")</f>
        <v>46037</v>
      </c>
      <c r="B85" s="22" t="str">
        <f>TEXT(A85,"mmmm")</f>
        <v>enero</v>
      </c>
      <c r="C85" s="23">
        <v>71</v>
      </c>
      <c r="D85" s="22" t="s">
        <v>233</v>
      </c>
      <c r="E85" s="24" t="str">
        <f>PROPER(D85)</f>
        <v>Diana Constanza Ruiz</v>
      </c>
      <c r="F85" s="22"/>
      <c r="G85" s="25" t="str">
        <f>CONCATENATE($G$1,H85)</f>
        <v>573002104747</v>
      </c>
      <c r="H85" s="24">
        <v>3002104747</v>
      </c>
      <c r="I85" s="33">
        <v>180</v>
      </c>
      <c r="J85" s="33">
        <v>360</v>
      </c>
      <c r="K85" s="33">
        <f>180*28</f>
        <v>5040</v>
      </c>
      <c r="L85" s="24">
        <f>K85/I85</f>
        <v>28</v>
      </c>
      <c r="M85" s="24">
        <f>K85/J85</f>
        <v>14</v>
      </c>
      <c r="N85" s="28">
        <f>(A85+M85)</f>
        <v>46051</v>
      </c>
      <c r="O85" s="24">
        <f>+Tabla2[[#This Row],[CODIGO]]</f>
        <v>71</v>
      </c>
      <c r="P85" s="26">
        <f>R85/Q85*1000</f>
        <v>31944.444444444442</v>
      </c>
      <c r="Q85" s="22">
        <f>K85</f>
        <v>5040</v>
      </c>
      <c r="R85" s="30">
        <v>161000</v>
      </c>
      <c r="S85" s="22" t="s">
        <v>234</v>
      </c>
      <c r="T85" s="22" t="s">
        <v>235</v>
      </c>
      <c r="U85">
        <v>0</v>
      </c>
      <c r="V85" s="79">
        <v>0</v>
      </c>
    </row>
    <row r="86" spans="1:22" s="10" customFormat="1" x14ac:dyDescent="0.25">
      <c r="A86" s="48" cm="1">
        <f t="array" ref="A86">IFERROR(LOOKUP(2,1/([1]maestro!I:I=H86),[1]maestro!B:B),"")</f>
        <v>46041</v>
      </c>
      <c r="B86" s="49" t="str">
        <f>TEXT(A86,"mmmm")</f>
        <v>enero</v>
      </c>
      <c r="C86" s="50">
        <v>72</v>
      </c>
      <c r="D86" s="49" t="s">
        <v>236</v>
      </c>
      <c r="E86" s="51" t="str">
        <f>PROPER(D86)</f>
        <v>Diana Guzmán Ruiz</v>
      </c>
      <c r="F86" s="49"/>
      <c r="G86" s="52" t="str">
        <f>CONCATENATE($G$1,H86)</f>
        <v>573043471739</v>
      </c>
      <c r="H86" s="51">
        <v>3043471739</v>
      </c>
      <c r="I86" s="51">
        <v>100</v>
      </c>
      <c r="J86" s="51">
        <v>200</v>
      </c>
      <c r="K86" s="51">
        <f>+J86*15</f>
        <v>3000</v>
      </c>
      <c r="L86" s="58">
        <f>K86/I86</f>
        <v>30</v>
      </c>
      <c r="M86" s="59">
        <f>K86/J86</f>
        <v>15</v>
      </c>
      <c r="N86" s="53">
        <f>(A86+M86)</f>
        <v>46056</v>
      </c>
      <c r="O86" s="51">
        <f>+Tabla2[[#This Row],[CODIGO]]</f>
        <v>72</v>
      </c>
      <c r="P86" s="54">
        <f>R86/Q86*1000</f>
        <v>42000</v>
      </c>
      <c r="Q86" s="49">
        <f>K86</f>
        <v>3000</v>
      </c>
      <c r="R86" s="55">
        <v>126000</v>
      </c>
      <c r="S86" s="49" t="s">
        <v>237</v>
      </c>
      <c r="T86" s="49" t="s">
        <v>238</v>
      </c>
      <c r="U86">
        <v>0</v>
      </c>
      <c r="V86" s="79">
        <v>0</v>
      </c>
    </row>
    <row r="87" spans="1:22" s="49" customFormat="1" x14ac:dyDescent="0.25">
      <c r="A87" s="21" cm="1">
        <f t="array" ref="A87">IFERROR(LOOKUP(2,1/([1]maestro!I:I=H87),[1]maestro!B:B),"")</f>
        <v>46043</v>
      </c>
      <c r="B87" s="22" t="str">
        <f>TEXT(A87,"mmmm")</f>
        <v>enero</v>
      </c>
      <c r="C87" s="23">
        <v>73</v>
      </c>
      <c r="D87" s="22" t="s">
        <v>239</v>
      </c>
      <c r="E87" s="24" t="str">
        <f>PROPER(D87)</f>
        <v>Diana Maria Guzman Becerra</v>
      </c>
      <c r="F87" s="22"/>
      <c r="G87" s="25" t="str">
        <f>CONCATENATE($G$1,H87)</f>
        <v>573104955288</v>
      </c>
      <c r="H87" s="24">
        <v>3104955288</v>
      </c>
      <c r="I87" s="24">
        <v>105</v>
      </c>
      <c r="J87" s="24">
        <v>210</v>
      </c>
      <c r="K87" s="51">
        <f>+J87*15</f>
        <v>3150</v>
      </c>
      <c r="L87" s="24">
        <f>K87/I87</f>
        <v>30</v>
      </c>
      <c r="M87" s="24">
        <f>K87/J87</f>
        <v>15</v>
      </c>
      <c r="N87" s="28">
        <f>(A87+M87)</f>
        <v>46058</v>
      </c>
      <c r="O87" s="24">
        <f>+Tabla2[[#This Row],[CODIGO]]</f>
        <v>73</v>
      </c>
      <c r="P87" s="26">
        <f>R87/Q87*1000</f>
        <v>37904.761904761908</v>
      </c>
      <c r="Q87" s="22">
        <f>K87</f>
        <v>3150</v>
      </c>
      <c r="R87" s="27">
        <v>119400</v>
      </c>
      <c r="S87" s="22" t="s">
        <v>240</v>
      </c>
      <c r="T87" s="22" t="s">
        <v>241</v>
      </c>
      <c r="U87">
        <v>0</v>
      </c>
      <c r="V87" s="79">
        <v>0</v>
      </c>
    </row>
    <row r="88" spans="1:22" s="10" customFormat="1" x14ac:dyDescent="0.25">
      <c r="A88" s="21" cm="1">
        <f t="array" ref="A88">IFERROR(LOOKUP(2,1/([1]maestro!I:I=H88),[1]maestro!B:B),"")</f>
        <v>46037</v>
      </c>
      <c r="B88" s="22" t="str">
        <f>TEXT(A88,"mmmm")</f>
        <v>enero</v>
      </c>
      <c r="C88" s="23">
        <v>74</v>
      </c>
      <c r="D88" s="22" t="s">
        <v>242</v>
      </c>
      <c r="E88" s="24" t="str">
        <f>PROPER(D88)</f>
        <v>Diana Tejedor</v>
      </c>
      <c r="F88" s="22"/>
      <c r="G88" s="25" t="str">
        <f>CONCATENATE($G$1,H88)</f>
        <v>573138291625</v>
      </c>
      <c r="H88" s="24">
        <v>3138291625</v>
      </c>
      <c r="I88" s="24">
        <v>300</v>
      </c>
      <c r="J88" s="24">
        <v>900</v>
      </c>
      <c r="K88" s="24">
        <v>9000</v>
      </c>
      <c r="L88" s="24">
        <f>K88/I88</f>
        <v>30</v>
      </c>
      <c r="M88" s="24">
        <f>K88/J88</f>
        <v>10</v>
      </c>
      <c r="N88" s="28">
        <f>(A88+M88)</f>
        <v>46047</v>
      </c>
      <c r="O88" s="24">
        <f>+Tabla2[[#This Row],[CODIGO]]</f>
        <v>74</v>
      </c>
      <c r="P88" s="26">
        <f>R88/Q88*1000</f>
        <v>25000</v>
      </c>
      <c r="Q88" s="22">
        <f>K88</f>
        <v>9000</v>
      </c>
      <c r="R88" s="30">
        <v>225000</v>
      </c>
      <c r="S88" s="22" t="s">
        <v>243</v>
      </c>
      <c r="T88" s="22" t="s">
        <v>244</v>
      </c>
      <c r="U88">
        <v>0</v>
      </c>
      <c r="V88" s="79">
        <v>0</v>
      </c>
    </row>
    <row r="89" spans="1:22" s="10" customFormat="1" x14ac:dyDescent="0.25">
      <c r="A89" s="9" cm="1">
        <f t="array" ref="A89">IFERROR(LOOKUP(2,1/([1]maestro!I:I=H89),[1]maestro!B:B),"")</f>
        <v>46038</v>
      </c>
      <c r="B89" s="10" t="str">
        <f>TEXT(A89,"mmmm")</f>
        <v>enero</v>
      </c>
      <c r="C89" s="11">
        <v>75</v>
      </c>
      <c r="D89" s="10" t="s">
        <v>248</v>
      </c>
      <c r="E89" s="13" t="str">
        <f>PROPER(D89)</f>
        <v>Diana Zambrano 300 Violeta</v>
      </c>
      <c r="G89" s="14" t="str">
        <f>CONCATENATE($G$1,H89)</f>
        <v>573218280844</v>
      </c>
      <c r="H89" s="13">
        <v>3218280844</v>
      </c>
      <c r="I89" s="13">
        <v>300</v>
      </c>
      <c r="J89" s="13">
        <v>600</v>
      </c>
      <c r="K89" s="13">
        <f>+J89*15</f>
        <v>9000</v>
      </c>
      <c r="L89" s="13">
        <f>K89/I89</f>
        <v>30</v>
      </c>
      <c r="M89" s="13">
        <f>K89/J89</f>
        <v>15</v>
      </c>
      <c r="N89" s="18">
        <f>(A89+M89)</f>
        <v>46053</v>
      </c>
      <c r="O89" s="13">
        <f>+Tabla2[[#This Row],[CODIGO]]</f>
        <v>75</v>
      </c>
      <c r="P89" s="19">
        <v>22000</v>
      </c>
      <c r="Q89" s="10">
        <f>K89</f>
        <v>9000</v>
      </c>
      <c r="R89" s="20">
        <v>198000</v>
      </c>
      <c r="S89" s="10" t="s">
        <v>246</v>
      </c>
      <c r="T89" s="10" t="s">
        <v>247</v>
      </c>
      <c r="U89">
        <v>0</v>
      </c>
      <c r="V89" s="79">
        <v>0</v>
      </c>
    </row>
    <row r="90" spans="1:22" s="10" customFormat="1" x14ac:dyDescent="0.25">
      <c r="A90" s="9" cm="1">
        <f t="array" ref="A90">IFERROR(LOOKUP(2,1/([1]maestro!I:I=H90),[1]maestro!B:B),"")</f>
        <v>46038</v>
      </c>
      <c r="B90" s="10" t="str">
        <f>TEXT(A90,"mmmm")</f>
        <v>enero</v>
      </c>
      <c r="C90" s="11">
        <v>75</v>
      </c>
      <c r="D90" s="10" t="s">
        <v>245</v>
      </c>
      <c r="E90" s="13" t="str">
        <f>PROPER(D90)</f>
        <v>Diana Zambrano 180</v>
      </c>
      <c r="G90" s="14" t="str">
        <f>CONCATENATE($G$1,H90)</f>
        <v>573218280844</v>
      </c>
      <c r="H90" s="13">
        <v>3218280844</v>
      </c>
      <c r="I90" s="13">
        <v>180</v>
      </c>
      <c r="J90" s="13">
        <f>+I90*2</f>
        <v>360</v>
      </c>
      <c r="K90" s="13">
        <f>+J90*15</f>
        <v>5400</v>
      </c>
      <c r="L90" s="13">
        <f>K90/I90</f>
        <v>30</v>
      </c>
      <c r="M90" s="13">
        <f>K90/J90</f>
        <v>15</v>
      </c>
      <c r="N90" s="18">
        <f>(A90+M90)</f>
        <v>46053</v>
      </c>
      <c r="O90" s="13">
        <f>+Tabla2[[#This Row],[CODIGO]]</f>
        <v>75</v>
      </c>
      <c r="P90" s="19">
        <v>22000</v>
      </c>
      <c r="Q90" s="10">
        <f>K90</f>
        <v>5400</v>
      </c>
      <c r="R90" s="20">
        <v>118800</v>
      </c>
      <c r="S90" s="10" t="s">
        <v>246</v>
      </c>
      <c r="T90" s="10" t="s">
        <v>247</v>
      </c>
      <c r="U90">
        <v>0</v>
      </c>
      <c r="V90" s="79">
        <v>582800</v>
      </c>
    </row>
    <row r="91" spans="1:22" s="10" customFormat="1" x14ac:dyDescent="0.25">
      <c r="A91" s="9" cm="1">
        <f t="array" ref="A91">IFERROR(LOOKUP(2,1/([1]maestro!I:I=H91),[1]maestro!B:B),"")</f>
        <v>46038</v>
      </c>
      <c r="B91" s="10" t="str">
        <f>TEXT(A91,"mmmm")</f>
        <v>enero</v>
      </c>
      <c r="C91" s="11">
        <v>75</v>
      </c>
      <c r="D91" s="10" t="s">
        <v>249</v>
      </c>
      <c r="E91" s="13" t="str">
        <f>PROPER(D91)</f>
        <v>Diana Zambrano 350</v>
      </c>
      <c r="G91" s="14" t="str">
        <f>CONCATENATE($G$1,H91)</f>
        <v>573218280844</v>
      </c>
      <c r="H91" s="13">
        <v>3218280844</v>
      </c>
      <c r="I91" s="13">
        <v>350</v>
      </c>
      <c r="J91" s="13">
        <f>+I91*2</f>
        <v>700</v>
      </c>
      <c r="K91" s="13">
        <f>+J91*15</f>
        <v>10500</v>
      </c>
      <c r="L91" s="13">
        <f>K91/I91</f>
        <v>30</v>
      </c>
      <c r="M91" s="13">
        <f>K91/J91</f>
        <v>15</v>
      </c>
      <c r="N91" s="18">
        <f>(A91+M91)</f>
        <v>46053</v>
      </c>
      <c r="O91" s="13">
        <f>+Tabla2[[#This Row],[CODIGO]]</f>
        <v>75</v>
      </c>
      <c r="P91" s="19">
        <v>22000</v>
      </c>
      <c r="Q91" s="10">
        <f>K91</f>
        <v>10500</v>
      </c>
      <c r="R91" s="20">
        <v>231000</v>
      </c>
      <c r="S91" s="10" t="s">
        <v>246</v>
      </c>
      <c r="T91" s="10" t="s">
        <v>247</v>
      </c>
      <c r="U91">
        <v>0</v>
      </c>
      <c r="V91" s="79">
        <v>0</v>
      </c>
    </row>
    <row r="92" spans="1:22" s="10" customFormat="1" x14ac:dyDescent="0.25">
      <c r="A92" s="9" t="str" cm="1">
        <f t="array" ref="A92">IFERROR(LOOKUP(2,1/([1]maestro!I:I=H92),[1]maestro!B:B),"")</f>
        <v/>
      </c>
      <c r="B92" s="10" t="str">
        <f>TEXT(A92,"mmmm")</f>
        <v/>
      </c>
      <c r="C92" s="11">
        <v>76</v>
      </c>
      <c r="D92" s="12" t="s">
        <v>250</v>
      </c>
      <c r="E92" s="13" t="str">
        <f>PROPER(D92)</f>
        <v>Dilan Felipe Asencio Perez 58</v>
      </c>
      <c r="G92" s="14" t="str">
        <f>CONCATENATE('[1]Clientes Inactivos'!$G$1,H92)</f>
        <v>573148128511</v>
      </c>
      <c r="H92" s="13">
        <v>3148128511</v>
      </c>
      <c r="I92" s="15">
        <v>58</v>
      </c>
      <c r="J92" s="15">
        <v>115</v>
      </c>
      <c r="K92" s="15">
        <f>+J92*15</f>
        <v>1725</v>
      </c>
      <c r="L92" s="16">
        <f>K92/I92</f>
        <v>29.741379310344829</v>
      </c>
      <c r="M92" s="17">
        <f>K92/J92</f>
        <v>15</v>
      </c>
      <c r="N92" s="18" t="e">
        <f>(A92+M92)</f>
        <v>#VALUE!</v>
      </c>
      <c r="O92" s="13">
        <f>+Tabla2[[#This Row],[CODIGO]]</f>
        <v>76</v>
      </c>
      <c r="P92" s="19">
        <f>R92/Q92*1000</f>
        <v>42840.579710144928</v>
      </c>
      <c r="Q92" s="10">
        <f>K92</f>
        <v>1725</v>
      </c>
      <c r="R92" s="20">
        <v>73900</v>
      </c>
      <c r="S92" s="10" t="s">
        <v>251</v>
      </c>
      <c r="T92" s="10" t="s">
        <v>252</v>
      </c>
      <c r="U92">
        <v>0</v>
      </c>
      <c r="V92" s="79">
        <v>0</v>
      </c>
    </row>
    <row r="93" spans="1:22" s="10" customFormat="1" x14ac:dyDescent="0.25">
      <c r="A93" s="9" t="str" cm="1">
        <f t="array" ref="A93">IFERROR(LOOKUP(2,1/([1]maestro!I:I=H93),[1]maestro!B:B),"")</f>
        <v/>
      </c>
      <c r="B93" s="10" t="str">
        <f>TEXT(A93,"mmmm")</f>
        <v/>
      </c>
      <c r="C93" s="11">
        <v>76</v>
      </c>
      <c r="D93" s="12" t="s">
        <v>253</v>
      </c>
      <c r="E93" s="13" t="str">
        <f>PROPER(D93)</f>
        <v>Dilan Felipe Asencio Perez 90</v>
      </c>
      <c r="G93" s="14" t="str">
        <f>CONCATENATE('[1]Clientes Inactivos'!$G$1,H93)</f>
        <v>573148128511</v>
      </c>
      <c r="H93" s="13">
        <v>3148128511</v>
      </c>
      <c r="I93" s="15">
        <v>90</v>
      </c>
      <c r="J93" s="15">
        <v>180</v>
      </c>
      <c r="K93" s="15">
        <f>+J93*15</f>
        <v>2700</v>
      </c>
      <c r="L93" s="16">
        <f>K93/I93</f>
        <v>30</v>
      </c>
      <c r="M93" s="17">
        <f>K93/J93</f>
        <v>15</v>
      </c>
      <c r="N93" s="18" t="e">
        <f>(A93+M93)</f>
        <v>#VALUE!</v>
      </c>
      <c r="O93" s="13">
        <f>+Tabla2[[#This Row],[CODIGO]]</f>
        <v>76</v>
      </c>
      <c r="P93" s="19">
        <f>R93/Q93*1000</f>
        <v>38222.222222222219</v>
      </c>
      <c r="Q93" s="10">
        <f>K93</f>
        <v>2700</v>
      </c>
      <c r="R93" s="20">
        <v>103200</v>
      </c>
      <c r="S93" s="10" t="s">
        <v>251</v>
      </c>
      <c r="T93" s="10" t="s">
        <v>252</v>
      </c>
      <c r="U93">
        <v>0</v>
      </c>
      <c r="V93" s="79">
        <v>0</v>
      </c>
    </row>
    <row r="94" spans="1:22" s="10" customFormat="1" x14ac:dyDescent="0.25">
      <c r="A94" s="9" cm="1">
        <f t="array" ref="A94">IFERROR(LOOKUP(2,1/([1]maestro!I:I=H94),[1]maestro!B:B),"")</f>
        <v>46034</v>
      </c>
      <c r="B94" s="10" t="str">
        <f>TEXT(A94,"mmmm")</f>
        <v>enero</v>
      </c>
      <c r="C94" s="11">
        <v>77</v>
      </c>
      <c r="D94" s="12" t="s">
        <v>254</v>
      </c>
      <c r="E94" s="13" t="str">
        <f>PROPER(D94)</f>
        <v>Dog Sano Adriana Del Pilar Romero Cortés</v>
      </c>
      <c r="G94" s="14" t="str">
        <f>CONCATENATE($G$1,H94)</f>
        <v>573118438157</v>
      </c>
      <c r="H94" s="13">
        <v>3118438157</v>
      </c>
      <c r="I94" s="15">
        <v>135</v>
      </c>
      <c r="J94" s="15">
        <v>270</v>
      </c>
      <c r="K94" s="15">
        <f>+J94*7</f>
        <v>1890</v>
      </c>
      <c r="L94" s="16">
        <f>K94/I94</f>
        <v>14</v>
      </c>
      <c r="M94" s="17">
        <f>K94/J94</f>
        <v>7</v>
      </c>
      <c r="N94" s="18">
        <f>(A94+M94)</f>
        <v>46041</v>
      </c>
      <c r="O94" s="13">
        <f>+Tabla2[[#This Row],[CODIGO]]</f>
        <v>77</v>
      </c>
      <c r="P94" s="19">
        <f>R94/Q94*1000</f>
        <v>5291.0052910052909</v>
      </c>
      <c r="Q94" s="10">
        <f>K94</f>
        <v>1890</v>
      </c>
      <c r="R94" s="20">
        <v>10000</v>
      </c>
      <c r="S94" s="10" t="s">
        <v>255</v>
      </c>
      <c r="U94">
        <v>0</v>
      </c>
      <c r="V94" s="79">
        <v>0</v>
      </c>
    </row>
    <row r="95" spans="1:22" s="10" customFormat="1" x14ac:dyDescent="0.25">
      <c r="A95" s="9" t="str" cm="1">
        <f t="array" ref="A95">IFERROR(LOOKUP(2,1/([1]maestro!I:I=H95),[1]maestro!B:B),"")</f>
        <v/>
      </c>
      <c r="B95" s="10" t="str">
        <f>TEXT(A95,"mmmm")</f>
        <v/>
      </c>
      <c r="C95" s="11">
        <v>79</v>
      </c>
      <c r="D95" s="10" t="s">
        <v>259</v>
      </c>
      <c r="E95" s="13" t="str">
        <f>PROPER(D95)</f>
        <v>Dog Sano Daniela Mora</v>
      </c>
      <c r="G95" s="14" t="str">
        <f>CONCATENATE($G$1,H95)</f>
        <v>573114654968</v>
      </c>
      <c r="H95" s="13">
        <v>3114654968</v>
      </c>
      <c r="I95" s="15">
        <v>60</v>
      </c>
      <c r="J95" s="15">
        <v>180</v>
      </c>
      <c r="K95" s="15">
        <f>45*60</f>
        <v>2700</v>
      </c>
      <c r="L95" s="13">
        <f>K95/I95</f>
        <v>45</v>
      </c>
      <c r="M95" s="13">
        <f>K95/J95</f>
        <v>15</v>
      </c>
      <c r="N95" s="18" t="e">
        <f>(A95+M95)</f>
        <v>#VALUE!</v>
      </c>
      <c r="O95" s="13">
        <f>+Tabla2[[#This Row],[CODIGO]]</f>
        <v>79</v>
      </c>
      <c r="P95" s="19">
        <f>R95/Q95*1000</f>
        <v>34222.222222222219</v>
      </c>
      <c r="Q95" s="10">
        <f>K95</f>
        <v>2700</v>
      </c>
      <c r="R95" s="20">
        <v>92400</v>
      </c>
      <c r="S95" s="10" t="s">
        <v>260</v>
      </c>
      <c r="T95" s="10" t="s">
        <v>261</v>
      </c>
      <c r="U95">
        <v>0</v>
      </c>
      <c r="V95" s="79">
        <v>0</v>
      </c>
    </row>
    <row r="96" spans="1:22" s="10" customFormat="1" x14ac:dyDescent="0.25">
      <c r="A96" s="21" cm="1">
        <f t="array" ref="A96">IFERROR(LOOKUP(2,1/([1]maestro!I:I=H96),[1]maestro!B:B),"")</f>
        <v>46045</v>
      </c>
      <c r="B96" s="22" t="str">
        <f>TEXT(A96,"mmmm")</f>
        <v>enero</v>
      </c>
      <c r="C96" s="23">
        <v>78</v>
      </c>
      <c r="D96" s="22" t="s">
        <v>256</v>
      </c>
      <c r="E96" s="24" t="str">
        <f>PROPER(D96)</f>
        <v>Dog Sano Carolina Ayala</v>
      </c>
      <c r="F96" s="22"/>
      <c r="G96" s="25" t="str">
        <f>CONCATENATE($G$1,H96)</f>
        <v>573043765289</v>
      </c>
      <c r="H96" s="24">
        <v>3043765289</v>
      </c>
      <c r="I96" s="33">
        <v>72</v>
      </c>
      <c r="J96" s="33">
        <v>72</v>
      </c>
      <c r="K96" s="33">
        <f>15*72</f>
        <v>1080</v>
      </c>
      <c r="L96" s="24">
        <f>K96/I96</f>
        <v>15</v>
      </c>
      <c r="M96" s="24">
        <f>K96/J96</f>
        <v>15</v>
      </c>
      <c r="N96" s="28">
        <f>(A96+M96)</f>
        <v>46060</v>
      </c>
      <c r="O96" s="24">
        <f>+Tabla2[[#This Row],[CODIGO]]</f>
        <v>78</v>
      </c>
      <c r="P96" s="26">
        <f>R96/Q96*1000</f>
        <v>55000</v>
      </c>
      <c r="Q96" s="22">
        <f>K96</f>
        <v>1080</v>
      </c>
      <c r="R96" s="31">
        <v>59400</v>
      </c>
      <c r="S96" s="22" t="s">
        <v>257</v>
      </c>
      <c r="T96" s="22" t="s">
        <v>258</v>
      </c>
      <c r="U96">
        <v>0</v>
      </c>
      <c r="V96" s="79">
        <v>59400</v>
      </c>
    </row>
    <row r="97" spans="1:22" s="10" customFormat="1" x14ac:dyDescent="0.25">
      <c r="A97" s="21" cm="1">
        <f t="array" ref="A97">IFERROR(LOOKUP(2,1/([1]maestro!I:I=H97),[1]maestro!B:B),"")</f>
        <v>46038</v>
      </c>
      <c r="B97" s="22" t="str">
        <f>TEXT(A97,"mmmm")</f>
        <v>enero</v>
      </c>
      <c r="C97" s="23">
        <v>80</v>
      </c>
      <c r="D97" s="22" t="s">
        <v>262</v>
      </c>
      <c r="E97" s="24" t="str">
        <f>PROPER(D97)</f>
        <v>Dog Sano Gisela Ortiz</v>
      </c>
      <c r="F97" s="22"/>
      <c r="G97" s="25" t="str">
        <f>CONCATENATE($G$1,H97)</f>
        <v>573123350951</v>
      </c>
      <c r="H97" s="24">
        <v>3123350951</v>
      </c>
      <c r="I97" s="24">
        <v>110</v>
      </c>
      <c r="J97" s="24">
        <v>110</v>
      </c>
      <c r="K97" s="24">
        <f>15*110</f>
        <v>1650</v>
      </c>
      <c r="L97" s="24">
        <f>K97/I97</f>
        <v>15</v>
      </c>
      <c r="M97" s="24">
        <f>K97/J97</f>
        <v>15</v>
      </c>
      <c r="N97" s="28">
        <f>(A97+M97)</f>
        <v>46053</v>
      </c>
      <c r="O97" s="24">
        <f>+Tabla2[[#This Row],[CODIGO]]</f>
        <v>80</v>
      </c>
      <c r="P97" s="26">
        <f>R97/Q97*1000</f>
        <v>49090.909090909096</v>
      </c>
      <c r="Q97" s="22">
        <f>K97</f>
        <v>1650</v>
      </c>
      <c r="R97" s="27">
        <v>81000</v>
      </c>
      <c r="S97" s="22" t="s">
        <v>263</v>
      </c>
      <c r="T97" s="22"/>
      <c r="U97">
        <v>0</v>
      </c>
      <c r="V97" s="79">
        <v>0</v>
      </c>
    </row>
    <row r="98" spans="1:22" s="10" customFormat="1" x14ac:dyDescent="0.25">
      <c r="A98" s="9" cm="1">
        <f t="array" ref="A98">IFERROR(LOOKUP(2,1/([1]maestro!I:I=H98),[1]maestro!B:B),"")</f>
        <v>46051</v>
      </c>
      <c r="B98" s="10" t="str">
        <f>TEXT(A98,"mmmm")</f>
        <v>enero</v>
      </c>
      <c r="C98" s="11">
        <v>84</v>
      </c>
      <c r="D98" s="10" t="s">
        <v>273</v>
      </c>
      <c r="E98" s="13" t="str">
        <f>PROPER(D98)</f>
        <v>Dog Sano Karol Nerieth Leon Blue 205</v>
      </c>
      <c r="G98" s="14" t="str">
        <f>CONCATENATE($G$1,H98)</f>
        <v>573153084029</v>
      </c>
      <c r="H98" s="13">
        <v>3153084029</v>
      </c>
      <c r="I98" s="15">
        <v>205</v>
      </c>
      <c r="J98" s="15">
        <v>410</v>
      </c>
      <c r="K98" s="15">
        <f>14*205</f>
        <v>2870</v>
      </c>
      <c r="L98" s="13">
        <f>K98/I98</f>
        <v>14</v>
      </c>
      <c r="M98" s="13">
        <f>K98/J98</f>
        <v>7</v>
      </c>
      <c r="N98" s="18">
        <f>(A98+M98)</f>
        <v>46058</v>
      </c>
      <c r="O98" s="13">
        <f>+Tabla2[[#This Row],[CODIGO]]</f>
        <v>84</v>
      </c>
      <c r="P98" s="19">
        <v>32837</v>
      </c>
      <c r="Q98" s="10">
        <f>K98</f>
        <v>2870</v>
      </c>
      <c r="R98" s="29">
        <v>94245</v>
      </c>
      <c r="S98" s="10" t="s">
        <v>274</v>
      </c>
      <c r="T98" s="10" t="s">
        <v>275</v>
      </c>
      <c r="U98">
        <v>0</v>
      </c>
      <c r="V98" s="79">
        <v>0</v>
      </c>
    </row>
    <row r="99" spans="1:22" s="22" customFormat="1" x14ac:dyDescent="0.25">
      <c r="A99" s="21" cm="1">
        <f t="array" ref="A99">IFERROR(LOOKUP(2,1/([1]maestro!I:I=H99),[1]maestro!B:B),"")</f>
        <v>46045</v>
      </c>
      <c r="B99" s="22" t="str">
        <f>TEXT(A99,"mmmm")</f>
        <v>enero</v>
      </c>
      <c r="C99" s="23">
        <v>81</v>
      </c>
      <c r="D99" s="22" t="s">
        <v>264</v>
      </c>
      <c r="E99" s="24" t="str">
        <f>PROPER(D99)</f>
        <v>Dog Sano Janeth Eslava Garcia 170</v>
      </c>
      <c r="G99" s="25" t="str">
        <f>CONCATENATE($G$1,H99)</f>
        <v>573187091632</v>
      </c>
      <c r="H99" s="24">
        <v>3187091632</v>
      </c>
      <c r="I99" s="33">
        <v>170</v>
      </c>
      <c r="J99" s="33">
        <v>170</v>
      </c>
      <c r="K99" s="33">
        <f>170*14</f>
        <v>2380</v>
      </c>
      <c r="L99" s="24">
        <f>K99/I99</f>
        <v>14</v>
      </c>
      <c r="M99" s="24">
        <f>K99/J99</f>
        <v>14</v>
      </c>
      <c r="N99" s="28">
        <f>(A99+M99)</f>
        <v>46059</v>
      </c>
      <c r="O99" s="24">
        <f>+Tabla2[[#This Row],[CODIGO]]</f>
        <v>81</v>
      </c>
      <c r="P99" s="26">
        <f>R99/Q99*1000</f>
        <v>39495.798319327732</v>
      </c>
      <c r="Q99" s="22">
        <f>K99</f>
        <v>2380</v>
      </c>
      <c r="R99" s="31">
        <v>94000</v>
      </c>
      <c r="S99" s="22" t="s">
        <v>265</v>
      </c>
      <c r="T99" s="22" t="s">
        <v>266</v>
      </c>
      <c r="U99">
        <v>0</v>
      </c>
      <c r="V99" s="79">
        <v>94000</v>
      </c>
    </row>
    <row r="100" spans="1:22" s="10" customFormat="1" x14ac:dyDescent="0.25">
      <c r="A100" s="9" cm="1">
        <f t="array" ref="A100">IFERROR(LOOKUP(2,1/([1]maestro!I:I=H100),[1]maestro!B:B),"")</f>
        <v>46043</v>
      </c>
      <c r="B100" s="10" t="str">
        <f>TEXT(A100,"mmmm")</f>
        <v>enero</v>
      </c>
      <c r="C100" s="11">
        <v>82</v>
      </c>
      <c r="D100" s="10" t="s">
        <v>267</v>
      </c>
      <c r="E100" s="13" t="str">
        <f>PROPER(D100)</f>
        <v>Dog Sano Jeferson Pardo Ospina</v>
      </c>
      <c r="G100" s="14" t="str">
        <f>CONCATENATE($G$1,H100)</f>
        <v>573115644071</v>
      </c>
      <c r="H100" s="13">
        <v>3115644071</v>
      </c>
      <c r="I100" s="13">
        <v>106</v>
      </c>
      <c r="J100" s="13">
        <v>212</v>
      </c>
      <c r="K100" s="13">
        <f>+J100*15</f>
        <v>3180</v>
      </c>
      <c r="L100" s="13">
        <f>K100/I100</f>
        <v>30</v>
      </c>
      <c r="M100" s="13">
        <f>K100/J100</f>
        <v>15</v>
      </c>
      <c r="N100" s="18">
        <f>(A100+M100)</f>
        <v>46058</v>
      </c>
      <c r="O100" s="13">
        <f>+Tabla2[[#This Row],[CODIGO]]</f>
        <v>82</v>
      </c>
      <c r="P100" s="19">
        <f>R100/Q100*1000</f>
        <v>39150.943396226416</v>
      </c>
      <c r="Q100" s="10">
        <f>K100</f>
        <v>3180</v>
      </c>
      <c r="R100" s="20">
        <v>124500</v>
      </c>
      <c r="S100" s="10" t="s">
        <v>268</v>
      </c>
      <c r="T100" s="10" t="s">
        <v>269</v>
      </c>
      <c r="U100">
        <v>0</v>
      </c>
      <c r="V100" s="79">
        <v>124500</v>
      </c>
    </row>
    <row r="101" spans="1:22" s="10" customFormat="1" x14ac:dyDescent="0.25">
      <c r="A101" s="9" cm="1">
        <f t="array" ref="A101">IFERROR(LOOKUP(2,1/([1]maestro!I:I=H101),[1]maestro!B:B),"")</f>
        <v>46044</v>
      </c>
      <c r="B101" s="10" t="str">
        <f>TEXT(A101,"mmmm")</f>
        <v>enero</v>
      </c>
      <c r="C101" s="11">
        <v>83</v>
      </c>
      <c r="D101" s="10" t="s">
        <v>270</v>
      </c>
      <c r="E101" s="13" t="str">
        <f>PROPER(D101)</f>
        <v>Dog Sano Johan Mora</v>
      </c>
      <c r="G101" s="14" t="str">
        <f>CONCATENATE($G$1,H101)</f>
        <v>573007205916</v>
      </c>
      <c r="H101" s="13">
        <v>3007205916</v>
      </c>
      <c r="I101" s="13">
        <v>200</v>
      </c>
      <c r="J101" s="13">
        <v>400</v>
      </c>
      <c r="K101" s="13">
        <f>+J101*15</f>
        <v>6000</v>
      </c>
      <c r="L101" s="13">
        <f>K101/I101</f>
        <v>30</v>
      </c>
      <c r="M101" s="13">
        <f>K101/J101</f>
        <v>15</v>
      </c>
      <c r="N101" s="18">
        <f>(A101+M101)</f>
        <v>46059</v>
      </c>
      <c r="O101" s="13">
        <f>+Tabla2[[#This Row],[CODIGO]]</f>
        <v>83</v>
      </c>
      <c r="P101" s="19">
        <f>R101/Q101*1000</f>
        <v>36000</v>
      </c>
      <c r="Q101" s="10">
        <f>K101</f>
        <v>6000</v>
      </c>
      <c r="R101" s="20">
        <v>216000</v>
      </c>
      <c r="S101" s="10" t="s">
        <v>271</v>
      </c>
      <c r="T101" s="10" t="s">
        <v>272</v>
      </c>
      <c r="U101">
        <v>0</v>
      </c>
      <c r="V101" s="79">
        <v>216000</v>
      </c>
    </row>
    <row r="102" spans="1:22" s="10" customFormat="1" x14ac:dyDescent="0.25">
      <c r="A102" s="9" cm="1">
        <f t="array" ref="A102">IFERROR(LOOKUP(2,1/([1]maestro!I:I=H102),[1]maestro!B:B),"")</f>
        <v>46051</v>
      </c>
      <c r="B102" s="10" t="str">
        <f>TEXT(A102,"mmmm")</f>
        <v>enero</v>
      </c>
      <c r="C102" s="11">
        <v>84</v>
      </c>
      <c r="D102" s="10" t="s">
        <v>276</v>
      </c>
      <c r="E102" s="13" t="str">
        <f>PROPER(D102)</f>
        <v>Dog Sano Karol Nerieth Leon Jacobo 165</v>
      </c>
      <c r="G102" s="14" t="str">
        <f>CONCATENATE($G$1,H102)</f>
        <v>573153084029</v>
      </c>
      <c r="H102" s="13">
        <v>3153084029</v>
      </c>
      <c r="I102" s="15">
        <v>165</v>
      </c>
      <c r="J102" s="15">
        <v>330</v>
      </c>
      <c r="K102" s="15">
        <f>14*165</f>
        <v>2310</v>
      </c>
      <c r="L102" s="13">
        <f>K102/I102</f>
        <v>14</v>
      </c>
      <c r="M102" s="13">
        <f>K102/J102</f>
        <v>7</v>
      </c>
      <c r="N102" s="18">
        <f>(A102+M102)</f>
        <v>46058</v>
      </c>
      <c r="O102" s="13">
        <f>+Tabla2[[#This Row],[CODIGO]]</f>
        <v>84</v>
      </c>
      <c r="P102" s="19">
        <v>32837</v>
      </c>
      <c r="Q102" s="10">
        <f>K102</f>
        <v>2310</v>
      </c>
      <c r="R102" s="29">
        <v>75855</v>
      </c>
      <c r="S102" s="10" t="s">
        <v>274</v>
      </c>
      <c r="T102" s="10" t="s">
        <v>275</v>
      </c>
      <c r="U102">
        <v>0</v>
      </c>
      <c r="V102" s="79">
        <v>0</v>
      </c>
    </row>
    <row r="103" spans="1:22" s="10" customFormat="1" x14ac:dyDescent="0.25">
      <c r="A103" s="21" cm="1">
        <f t="array" ref="A103">IFERROR(LOOKUP(2,1/([1]maestro!I:I=H103),[1]maestro!B:B),"")</f>
        <v>46042</v>
      </c>
      <c r="B103" s="22" t="str">
        <f>TEXT(A103,"mmmm")</f>
        <v>enero</v>
      </c>
      <c r="C103" s="23">
        <v>85</v>
      </c>
      <c r="D103" s="22" t="s">
        <v>277</v>
      </c>
      <c r="E103" s="24" t="str">
        <f>PROPER(D103)</f>
        <v>Dog Sano Paola Acosta</v>
      </c>
      <c r="F103" s="22"/>
      <c r="G103" s="25" t="str">
        <f>CONCATENATE($G$1,H103)</f>
        <v>573223793529</v>
      </c>
      <c r="H103" s="24">
        <v>3223793529</v>
      </c>
      <c r="I103" s="24">
        <v>170</v>
      </c>
      <c r="J103" s="24">
        <v>170</v>
      </c>
      <c r="K103" s="24">
        <f>I103*14</f>
        <v>2380</v>
      </c>
      <c r="L103" s="24">
        <f>K103/I103</f>
        <v>14</v>
      </c>
      <c r="M103" s="24">
        <f>K103/J103</f>
        <v>14</v>
      </c>
      <c r="N103" s="28">
        <f>(A103+M103)</f>
        <v>46056</v>
      </c>
      <c r="O103" s="24">
        <f>+Tabla2[[#This Row],[CODIGO]]</f>
        <v>85</v>
      </c>
      <c r="P103" s="26">
        <f>R103/Q103*1000</f>
        <v>36000</v>
      </c>
      <c r="Q103" s="22">
        <f>K103</f>
        <v>2380</v>
      </c>
      <c r="R103" s="27">
        <v>85680</v>
      </c>
      <c r="S103" s="22" t="s">
        <v>278</v>
      </c>
      <c r="T103" s="22" t="s">
        <v>279</v>
      </c>
      <c r="U103">
        <v>0</v>
      </c>
      <c r="V103" s="79">
        <v>0</v>
      </c>
    </row>
    <row r="104" spans="1:22" s="10" customFormat="1" x14ac:dyDescent="0.25">
      <c r="A104" s="9" t="str" cm="1">
        <f t="array" ref="A104">IFERROR(LOOKUP(2,1/([1]maestro!I:I=H104),[1]maestro!B:B),"")</f>
        <v/>
      </c>
      <c r="B104" s="10" t="str">
        <f>TEXT(A104,"mmmm")</f>
        <v/>
      </c>
      <c r="C104" s="11">
        <v>86</v>
      </c>
      <c r="D104" s="10" t="s">
        <v>280</v>
      </c>
      <c r="E104" s="13" t="str">
        <f>PROPER(D104)</f>
        <v>Dog Sano Paola Forero</v>
      </c>
      <c r="F104" s="10" t="s">
        <v>66</v>
      </c>
      <c r="G104" s="14" t="str">
        <f>CONCATENATE($G$1,H104)</f>
        <v>573118238285</v>
      </c>
      <c r="H104" s="13">
        <v>3118238285</v>
      </c>
      <c r="I104" s="15">
        <v>200</v>
      </c>
      <c r="J104" s="15">
        <v>1000</v>
      </c>
      <c r="K104" s="15">
        <v>10000</v>
      </c>
      <c r="L104" s="13">
        <f>K104/I104</f>
        <v>50</v>
      </c>
      <c r="M104" s="13">
        <f>K104/J104</f>
        <v>10</v>
      </c>
      <c r="N104" s="18" t="e">
        <f>(A104+M104)</f>
        <v>#VALUE!</v>
      </c>
      <c r="O104" s="13">
        <f>+Tabla2[[#This Row],[CODIGO]]</f>
        <v>86</v>
      </c>
      <c r="P104" s="19">
        <f>R104/Q104*1000</f>
        <v>23000</v>
      </c>
      <c r="Q104" s="10">
        <f>K104</f>
        <v>10000</v>
      </c>
      <c r="R104" s="29">
        <v>230000</v>
      </c>
      <c r="S104" s="10" t="s">
        <v>281</v>
      </c>
      <c r="T104" s="10" t="s">
        <v>282</v>
      </c>
      <c r="U104">
        <v>0</v>
      </c>
      <c r="V104" s="79">
        <v>0</v>
      </c>
    </row>
    <row r="105" spans="1:22" s="10" customFormat="1" x14ac:dyDescent="0.25">
      <c r="A105" s="9" cm="1">
        <f t="array" ref="A105">IFERROR(LOOKUP(2,1/([1]maestro!I:I=H105),[1]maestro!B:B),"")</f>
        <v>46034</v>
      </c>
      <c r="B105" s="10" t="str">
        <f>TEXT(A105,"mmmm")</f>
        <v>enero</v>
      </c>
      <c r="C105" s="11">
        <v>88</v>
      </c>
      <c r="D105" s="10" t="s">
        <v>286</v>
      </c>
      <c r="E105" s="13" t="str">
        <f>PROPER(D105)</f>
        <v>Dog Sano Sharon Gissel Ramírez Silva</v>
      </c>
      <c r="G105" s="14" t="str">
        <f>CONCATENATE($G$1,H105)</f>
        <v>573222505832</v>
      </c>
      <c r="H105" s="13">
        <v>3222505832</v>
      </c>
      <c r="I105" s="15">
        <v>130</v>
      </c>
      <c r="J105" s="15">
        <v>390</v>
      </c>
      <c r="K105" s="15">
        <f>J105*15</f>
        <v>5850</v>
      </c>
      <c r="L105" s="13">
        <f>K105/I105</f>
        <v>45</v>
      </c>
      <c r="M105" s="13">
        <f>K105/J105</f>
        <v>15</v>
      </c>
      <c r="N105" s="18">
        <f>(A105+M105)</f>
        <v>46049</v>
      </c>
      <c r="O105" s="13">
        <f>+Tabla2[[#This Row],[CODIGO]]</f>
        <v>88</v>
      </c>
      <c r="P105" s="19">
        <f>R105/Q105*1000</f>
        <v>36564.102564102563</v>
      </c>
      <c r="Q105" s="10">
        <f>K105</f>
        <v>5850</v>
      </c>
      <c r="R105" s="29">
        <v>213900</v>
      </c>
      <c r="S105" s="10" t="s">
        <v>287</v>
      </c>
      <c r="T105" s="10" t="s">
        <v>288</v>
      </c>
      <c r="U105">
        <v>0</v>
      </c>
      <c r="V105" s="79">
        <v>0</v>
      </c>
    </row>
    <row r="106" spans="1:22" s="10" customFormat="1" x14ac:dyDescent="0.25">
      <c r="A106" s="21" cm="1">
        <f t="array" ref="A106">IFERROR(LOOKUP(2,1/([1]maestro!I:I=H106),[1]maestro!B:B),"")</f>
        <v>46048</v>
      </c>
      <c r="B106" s="22" t="str">
        <f>TEXT(A106,"mmmm")</f>
        <v>enero</v>
      </c>
      <c r="C106" s="23">
        <v>87</v>
      </c>
      <c r="D106" s="22" t="s">
        <v>283</v>
      </c>
      <c r="E106" s="24" t="str">
        <f>PROPER(D106)</f>
        <v>Dog Sano Pet O Vet</v>
      </c>
      <c r="F106" s="22" t="s">
        <v>66</v>
      </c>
      <c r="G106" s="25" t="str">
        <f>CONCATENATE($G$1,H106)</f>
        <v>573017866042</v>
      </c>
      <c r="H106" s="24">
        <v>3017866042</v>
      </c>
      <c r="I106" s="33">
        <v>200</v>
      </c>
      <c r="J106" s="33">
        <v>2000</v>
      </c>
      <c r="K106" s="33">
        <v>24000</v>
      </c>
      <c r="L106" s="24">
        <f>K106/I106</f>
        <v>120</v>
      </c>
      <c r="M106" s="24">
        <f>K106/J106</f>
        <v>12</v>
      </c>
      <c r="N106" s="28">
        <f>(A106+M106)</f>
        <v>46060</v>
      </c>
      <c r="O106" s="24">
        <f>+Tabla2[[#This Row],[CODIGO]]</f>
        <v>87</v>
      </c>
      <c r="P106" s="26">
        <f>R106/Q106*1000</f>
        <v>22000</v>
      </c>
      <c r="Q106" s="57">
        <f>K106</f>
        <v>24000</v>
      </c>
      <c r="R106" s="31">
        <v>528000</v>
      </c>
      <c r="S106" s="22" t="s">
        <v>284</v>
      </c>
      <c r="T106" s="22" t="s">
        <v>285</v>
      </c>
      <c r="U106">
        <v>0</v>
      </c>
      <c r="V106" s="79">
        <v>723100</v>
      </c>
    </row>
    <row r="107" spans="1:22" s="10" customFormat="1" x14ac:dyDescent="0.25">
      <c r="A107" s="21" cm="1">
        <f t="array" ref="A107">IFERROR(LOOKUP(2,1/([1]maestro!I:I=H107),[1]maestro!B:B),"")</f>
        <v>46034</v>
      </c>
      <c r="B107" s="22" t="str">
        <f>TEXT(A107,"mmmm")</f>
        <v>enero</v>
      </c>
      <c r="C107" s="23">
        <v>89</v>
      </c>
      <c r="D107" s="22" t="s">
        <v>289</v>
      </c>
      <c r="E107" s="24" t="str">
        <f>PROPER(D107)</f>
        <v>Dog Sano Suanny Cando Coky</v>
      </c>
      <c r="F107" s="22"/>
      <c r="G107" s="25" t="str">
        <f>CONCATENATE($G$1,H107)</f>
        <v>573157943245</v>
      </c>
      <c r="H107" s="24">
        <v>3157943245</v>
      </c>
      <c r="I107" s="33">
        <v>215</v>
      </c>
      <c r="J107" s="33">
        <f>215*2</f>
        <v>430</v>
      </c>
      <c r="K107" s="33">
        <f>+J107*15</f>
        <v>6450</v>
      </c>
      <c r="L107" s="24">
        <f>K107/I107</f>
        <v>30</v>
      </c>
      <c r="M107" s="24">
        <f>K107/J107</f>
        <v>15</v>
      </c>
      <c r="N107" s="28">
        <f>(A107+M107)</f>
        <v>46049</v>
      </c>
      <c r="O107" s="24">
        <f>+Tabla2[[#This Row],[CODIGO]]</f>
        <v>89</v>
      </c>
      <c r="P107" s="26">
        <f>R107/Q107*1000</f>
        <v>26000</v>
      </c>
      <c r="Q107" s="22">
        <f>K107</f>
        <v>6450</v>
      </c>
      <c r="R107" s="30">
        <v>167700</v>
      </c>
      <c r="S107" s="22" t="s">
        <v>290</v>
      </c>
      <c r="T107" s="22" t="s">
        <v>291</v>
      </c>
      <c r="U107">
        <v>0</v>
      </c>
      <c r="V107" s="79">
        <v>0</v>
      </c>
    </row>
    <row r="108" spans="1:22" s="10" customFormat="1" x14ac:dyDescent="0.25">
      <c r="A108" s="21" cm="1">
        <f t="array" ref="A108">IFERROR(LOOKUP(2,1/([1]maestro!I:I=H108),[1]maestro!B:B),"")</f>
        <v>46034</v>
      </c>
      <c r="B108" s="22" t="str">
        <f>TEXT(A108,"mmmm")</f>
        <v>enero</v>
      </c>
      <c r="C108" s="23">
        <v>89</v>
      </c>
      <c r="D108" s="22" t="s">
        <v>292</v>
      </c>
      <c r="E108" s="24" t="str">
        <f>PROPER(D108)</f>
        <v>Dog Sano Suanny Cando Frida</v>
      </c>
      <c r="F108" s="22"/>
      <c r="G108" s="25" t="str">
        <f>CONCATENATE($G$1,H108)</f>
        <v>573157943245</v>
      </c>
      <c r="H108" s="24">
        <v>3157943245</v>
      </c>
      <c r="I108" s="33">
        <v>125</v>
      </c>
      <c r="J108" s="33">
        <f>125*2</f>
        <v>250</v>
      </c>
      <c r="K108" s="33">
        <f>+J108*15</f>
        <v>3750</v>
      </c>
      <c r="L108" s="24">
        <f>K108/I108</f>
        <v>30</v>
      </c>
      <c r="M108" s="24">
        <f>K108/J108</f>
        <v>15</v>
      </c>
      <c r="N108" s="28">
        <f>(A108+M108)</f>
        <v>46049</v>
      </c>
      <c r="O108" s="24">
        <f>+Tabla2[[#This Row],[CODIGO]]</f>
        <v>89</v>
      </c>
      <c r="P108" s="26">
        <f>R108/Q108*1000</f>
        <v>26000</v>
      </c>
      <c r="Q108" s="22">
        <f>K108</f>
        <v>3750</v>
      </c>
      <c r="R108" s="30">
        <v>97500</v>
      </c>
      <c r="S108" s="22" t="s">
        <v>290</v>
      </c>
      <c r="T108" s="22" t="s">
        <v>293</v>
      </c>
      <c r="U108">
        <v>0</v>
      </c>
      <c r="V108" s="79">
        <v>0</v>
      </c>
    </row>
    <row r="109" spans="1:22" s="10" customFormat="1" x14ac:dyDescent="0.25">
      <c r="A109" s="21" cm="1">
        <f t="array" ref="A109">IFERROR(LOOKUP(2,1/([1]maestro!I:I=H109),[1]maestro!B:B),"")</f>
        <v>46034</v>
      </c>
      <c r="B109" s="22" t="str">
        <f>TEXT(A109,"mmmm")</f>
        <v>enero</v>
      </c>
      <c r="C109" s="23">
        <v>89</v>
      </c>
      <c r="D109" s="22" t="s">
        <v>294</v>
      </c>
      <c r="E109" s="24" t="str">
        <f>PROPER(D109)</f>
        <v>Dog Sano Suanny Cando Luna</v>
      </c>
      <c r="F109" s="22"/>
      <c r="G109" s="25" t="str">
        <f>CONCATENATE($G$1,H109)</f>
        <v>573157943245</v>
      </c>
      <c r="H109" s="24">
        <v>3157943245</v>
      </c>
      <c r="I109" s="33">
        <v>75</v>
      </c>
      <c r="J109" s="33">
        <v>150</v>
      </c>
      <c r="K109" s="33">
        <f>+J109*15</f>
        <v>2250</v>
      </c>
      <c r="L109" s="24">
        <f>K109/I109</f>
        <v>30</v>
      </c>
      <c r="M109" s="24">
        <f>K109/J109</f>
        <v>15</v>
      </c>
      <c r="N109" s="28">
        <f>(A109+M109)</f>
        <v>46049</v>
      </c>
      <c r="O109" s="24">
        <f>+Tabla2[[#This Row],[CODIGO]]</f>
        <v>89</v>
      </c>
      <c r="P109" s="26">
        <f>R109/Q109*1000</f>
        <v>26000</v>
      </c>
      <c r="Q109" s="22">
        <f>K109</f>
        <v>2250</v>
      </c>
      <c r="R109" s="30">
        <v>58500</v>
      </c>
      <c r="S109" s="22" t="s">
        <v>290</v>
      </c>
      <c r="T109" s="22" t="s">
        <v>291</v>
      </c>
      <c r="U109">
        <v>0</v>
      </c>
      <c r="V109" s="79">
        <v>0</v>
      </c>
    </row>
    <row r="110" spans="1:22" s="10" customFormat="1" x14ac:dyDescent="0.25">
      <c r="A110" s="21" cm="1">
        <f t="array" ref="A110">IFERROR(LOOKUP(2,1/([1]maestro!I:I=H110),[1]maestro!B:B),"")</f>
        <v>46034</v>
      </c>
      <c r="B110" s="22" t="str">
        <f>TEXT(A110,"mmmm")</f>
        <v>enero</v>
      </c>
      <c r="C110" s="23">
        <v>89</v>
      </c>
      <c r="D110" s="22" t="s">
        <v>295</v>
      </c>
      <c r="E110" s="24" t="str">
        <f>PROPER(D110)</f>
        <v>Dog Sano Suanny Cando Sol</v>
      </c>
      <c r="F110" s="22"/>
      <c r="G110" s="25" t="str">
        <f>CONCATENATE($G$1,H110)</f>
        <v>573157943245</v>
      </c>
      <c r="H110" s="24">
        <v>3157943245</v>
      </c>
      <c r="I110" s="33">
        <v>68</v>
      </c>
      <c r="J110" s="33">
        <v>136</v>
      </c>
      <c r="K110" s="33">
        <f>+I110*30</f>
        <v>2040</v>
      </c>
      <c r="L110" s="24">
        <f>K110/I110</f>
        <v>30</v>
      </c>
      <c r="M110" s="24">
        <f>K110/J110</f>
        <v>15</v>
      </c>
      <c r="N110" s="28">
        <f>(A110+M110)</f>
        <v>46049</v>
      </c>
      <c r="O110" s="24">
        <f>+Tabla2[[#This Row],[CODIGO]]</f>
        <v>89</v>
      </c>
      <c r="P110" s="26">
        <f>R110/Q110*1000</f>
        <v>26000</v>
      </c>
      <c r="Q110" s="22">
        <f>K110</f>
        <v>2040</v>
      </c>
      <c r="R110" s="30">
        <v>53040</v>
      </c>
      <c r="S110" s="22" t="s">
        <v>290</v>
      </c>
      <c r="T110" s="22" t="s">
        <v>291</v>
      </c>
      <c r="U110">
        <v>0</v>
      </c>
      <c r="V110" s="79">
        <v>0</v>
      </c>
    </row>
    <row r="111" spans="1:22" s="10" customFormat="1" x14ac:dyDescent="0.25">
      <c r="A111" s="21" cm="1">
        <f t="array" ref="A111">IFERROR(LOOKUP(2,1/([1]maestro!I:I=H111),[1]maestro!B:B),"")</f>
        <v>46034</v>
      </c>
      <c r="B111" s="22" t="str">
        <f>TEXT(A111,"mmmm")</f>
        <v>enero</v>
      </c>
      <c r="C111" s="23">
        <v>89</v>
      </c>
      <c r="D111" s="22" t="s">
        <v>296</v>
      </c>
      <c r="E111" s="24" t="str">
        <f>PROPER(D111)</f>
        <v xml:space="preserve">Dog Sano Suanny Cando Teo </v>
      </c>
      <c r="F111" s="22"/>
      <c r="G111" s="25" t="str">
        <f>CONCATENATE($G$1,H111)</f>
        <v>573157943245</v>
      </c>
      <c r="H111" s="24">
        <v>3157943245</v>
      </c>
      <c r="I111" s="33">
        <v>30</v>
      </c>
      <c r="J111" s="33">
        <v>60</v>
      </c>
      <c r="K111" s="33">
        <f>J111*15</f>
        <v>900</v>
      </c>
      <c r="L111" s="24">
        <f>K111/I111</f>
        <v>30</v>
      </c>
      <c r="M111" s="24">
        <f>K111/J111</f>
        <v>15</v>
      </c>
      <c r="N111" s="28">
        <f>(A111+M111)</f>
        <v>46049</v>
      </c>
      <c r="O111" s="24">
        <f>+Tabla2[[#This Row],[CODIGO]]</f>
        <v>89</v>
      </c>
      <c r="P111" s="26">
        <f>R111/Q111*1000</f>
        <v>26000</v>
      </c>
      <c r="Q111" s="22">
        <f>K111</f>
        <v>900</v>
      </c>
      <c r="R111" s="30">
        <v>23400</v>
      </c>
      <c r="S111" s="22" t="s">
        <v>290</v>
      </c>
      <c r="T111" s="22" t="s">
        <v>291</v>
      </c>
      <c r="U111">
        <v>0</v>
      </c>
      <c r="V111" s="79">
        <v>0</v>
      </c>
    </row>
    <row r="112" spans="1:22" s="10" customFormat="1" x14ac:dyDescent="0.25">
      <c r="A112" s="21" cm="1">
        <f t="array" ref="A112">IFERROR(LOOKUP(2,1/([1]maestro!I:I=H112),[1]maestro!B:B),"")</f>
        <v>46036</v>
      </c>
      <c r="B112" s="22" t="str">
        <f>TEXT(A112,"mmmm")</f>
        <v>enero</v>
      </c>
      <c r="C112" s="23">
        <v>90</v>
      </c>
      <c r="D112" s="32" t="s">
        <v>297</v>
      </c>
      <c r="E112" s="24" t="str">
        <f>PROPER(D112)</f>
        <v>Dog Sano Yina Rios Akamaru</v>
      </c>
      <c r="F112" s="22"/>
      <c r="G112" s="25" t="str">
        <f>CONCATENATE($G$1,H112)</f>
        <v>573016627101</v>
      </c>
      <c r="H112" s="24">
        <v>3016627101</v>
      </c>
      <c r="I112" s="33">
        <v>345</v>
      </c>
      <c r="J112" s="33">
        <v>690</v>
      </c>
      <c r="K112" s="33">
        <f>+J112*15</f>
        <v>10350</v>
      </c>
      <c r="L112" s="34">
        <f>K112/I112</f>
        <v>30</v>
      </c>
      <c r="M112" s="35">
        <f>K112/J112</f>
        <v>15</v>
      </c>
      <c r="N112" s="28">
        <f>(A112+M112)</f>
        <v>46051</v>
      </c>
      <c r="O112" s="24">
        <f>+Tabla2[[#This Row],[CODIGO]]</f>
        <v>90</v>
      </c>
      <c r="P112" s="26">
        <f>R112/Q112*1000</f>
        <v>24743.961352657007</v>
      </c>
      <c r="Q112" s="22">
        <f>K112</f>
        <v>10350</v>
      </c>
      <c r="R112" s="27">
        <v>256100</v>
      </c>
      <c r="S112" s="22" t="s">
        <v>298</v>
      </c>
      <c r="T112" s="22" t="s">
        <v>299</v>
      </c>
      <c r="U112">
        <v>0</v>
      </c>
      <c r="V112" s="79">
        <v>0</v>
      </c>
    </row>
    <row r="113" spans="1:22" s="10" customFormat="1" x14ac:dyDescent="0.25">
      <c r="A113" s="21" cm="1">
        <f t="array" ref="A113">IFERROR(LOOKUP(2,1/([1]maestro!I:I=H113),[1]maestro!B:B),"")</f>
        <v>46036</v>
      </c>
      <c r="B113" s="22" t="str">
        <f>TEXT(A113,"mmmm")</f>
        <v>enero</v>
      </c>
      <c r="C113" s="23">
        <v>90</v>
      </c>
      <c r="D113" s="32" t="s">
        <v>300</v>
      </c>
      <c r="E113" s="24" t="str">
        <f>PROPER(D113)</f>
        <v>Dog Sano Yina Rios Bolt</v>
      </c>
      <c r="F113" s="22"/>
      <c r="G113" s="25" t="str">
        <f>CONCATENATE($G$1,H113)</f>
        <v>573016627101</v>
      </c>
      <c r="H113" s="24">
        <v>3016627101</v>
      </c>
      <c r="I113" s="33">
        <v>65</v>
      </c>
      <c r="J113" s="33">
        <v>130</v>
      </c>
      <c r="K113" s="33">
        <f>+J113*15</f>
        <v>1950</v>
      </c>
      <c r="L113" s="34">
        <f>K113/I113</f>
        <v>30</v>
      </c>
      <c r="M113" s="35">
        <f>K113/J113</f>
        <v>15</v>
      </c>
      <c r="N113" s="28">
        <f>(A113+M113)</f>
        <v>46051</v>
      </c>
      <c r="O113" s="24">
        <f>+Tabla2[[#This Row],[CODIGO]]</f>
        <v>90</v>
      </c>
      <c r="P113" s="26">
        <f>R113/Q113*1000</f>
        <v>42717.948717948719</v>
      </c>
      <c r="Q113" s="22">
        <f>K113</f>
        <v>1950</v>
      </c>
      <c r="R113" s="27">
        <v>83300</v>
      </c>
      <c r="S113" s="22" t="s">
        <v>298</v>
      </c>
      <c r="T113" s="22" t="s">
        <v>299</v>
      </c>
      <c r="U113">
        <v>0</v>
      </c>
      <c r="V113" s="79">
        <v>0</v>
      </c>
    </row>
    <row r="114" spans="1:22" s="10" customFormat="1" x14ac:dyDescent="0.25">
      <c r="A114" s="21" cm="1">
        <f t="array" ref="A114">IFERROR(LOOKUP(2,1/([1]maestro!I:I=H114),[1]maestro!B:B),"")</f>
        <v>46036</v>
      </c>
      <c r="B114" s="22" t="str">
        <f>TEXT(A114,"mmmm")</f>
        <v>enero</v>
      </c>
      <c r="C114" s="23">
        <v>90</v>
      </c>
      <c r="D114" s="32" t="s">
        <v>301</v>
      </c>
      <c r="E114" s="24" t="str">
        <f>PROPER(D114)</f>
        <v>Dog Sano Yina Rios Polar</v>
      </c>
      <c r="F114" s="22"/>
      <c r="G114" s="25" t="str">
        <f>CONCATENATE($G$1,H114)</f>
        <v>573016627101</v>
      </c>
      <c r="H114" s="24">
        <v>3016627101</v>
      </c>
      <c r="I114" s="33">
        <v>75</v>
      </c>
      <c r="J114" s="33">
        <v>150</v>
      </c>
      <c r="K114" s="33">
        <f>+J114*15</f>
        <v>2250</v>
      </c>
      <c r="L114" s="34">
        <f>K114/I114</f>
        <v>30</v>
      </c>
      <c r="M114" s="35">
        <f>K114/J114</f>
        <v>15</v>
      </c>
      <c r="N114" s="28">
        <f>(A114+M114)</f>
        <v>46051</v>
      </c>
      <c r="O114" s="24">
        <f>+Tabla2[[#This Row],[CODIGO]]</f>
        <v>90</v>
      </c>
      <c r="P114" s="26">
        <f>R114/Q114*1000</f>
        <v>38666.666666666664</v>
      </c>
      <c r="Q114" s="22">
        <f>K114</f>
        <v>2250</v>
      </c>
      <c r="R114" s="27">
        <v>87000</v>
      </c>
      <c r="S114" s="22" t="s">
        <v>298</v>
      </c>
      <c r="T114" s="22" t="s">
        <v>299</v>
      </c>
      <c r="U114">
        <v>0</v>
      </c>
      <c r="V114" s="79">
        <v>0</v>
      </c>
    </row>
    <row r="115" spans="1:22" s="10" customFormat="1" x14ac:dyDescent="0.25">
      <c r="A115" s="21" cm="1">
        <f t="array" ref="A115">IFERROR(LOOKUP(2,1/([1]maestro!I:I=H115),[1]maestro!B:B),"")</f>
        <v>46041</v>
      </c>
      <c r="B115" s="22" t="str">
        <f>TEXT(A115,"mmmm")</f>
        <v>enero</v>
      </c>
      <c r="C115" s="23">
        <v>91</v>
      </c>
      <c r="D115" s="22" t="s">
        <v>302</v>
      </c>
      <c r="E115" s="24" t="str">
        <f>PROPER(D115)</f>
        <v>Doggy Lunch Camila Roma</v>
      </c>
      <c r="F115" s="22"/>
      <c r="G115" s="25" t="str">
        <f>CONCATENATE($G$1,H115)</f>
        <v>573006968740</v>
      </c>
      <c r="H115" s="24">
        <v>3006968740</v>
      </c>
      <c r="I115" s="24">
        <v>135</v>
      </c>
      <c r="J115" s="24">
        <v>405</v>
      </c>
      <c r="K115" s="24">
        <f>+Tabla2[[#This Row],[AL DIA]]*15</f>
        <v>6075</v>
      </c>
      <c r="L115" s="34">
        <f>K115/I115</f>
        <v>45</v>
      </c>
      <c r="M115" s="35">
        <f>K115/J115</f>
        <v>15</v>
      </c>
      <c r="N115" s="28">
        <f>(A115+M115)</f>
        <v>46056</v>
      </c>
      <c r="O115" s="24">
        <f>+Tabla2[[#This Row],[CODIGO]]</f>
        <v>91</v>
      </c>
      <c r="P115" s="26">
        <f>R115/Q115*1000</f>
        <v>22000</v>
      </c>
      <c r="Q115" s="22">
        <f>K115</f>
        <v>6075</v>
      </c>
      <c r="R115" s="27">
        <v>133650</v>
      </c>
      <c r="S115" s="22" t="s">
        <v>303</v>
      </c>
      <c r="T115" s="22" t="s">
        <v>304</v>
      </c>
      <c r="U115">
        <v>0</v>
      </c>
      <c r="V115" s="79">
        <v>0</v>
      </c>
    </row>
    <row r="116" spans="1:22" s="10" customFormat="1" x14ac:dyDescent="0.25">
      <c r="A116" s="9" t="str" cm="1">
        <f t="array" ref="A116">IFERROR(LOOKUP(2,1/([1]maestro!I:I=H116),[1]maestro!B:B),"")</f>
        <v/>
      </c>
      <c r="B116" s="10" t="str">
        <f>TEXT(A116,"mmmm")</f>
        <v/>
      </c>
      <c r="C116" s="11">
        <v>92</v>
      </c>
      <c r="D116" s="10" t="s">
        <v>305</v>
      </c>
      <c r="E116" s="13" t="str">
        <f>PROPER(D116)</f>
        <v>Doggy Lunch Dora Gomez</v>
      </c>
      <c r="G116" s="14" t="str">
        <f>CONCATENATE($G$1,H116)</f>
        <v>573103228444</v>
      </c>
      <c r="H116" s="13">
        <v>3103228444</v>
      </c>
      <c r="I116" s="13">
        <v>56</v>
      </c>
      <c r="J116" s="13">
        <v>168</v>
      </c>
      <c r="K116" s="13">
        <f>+J116*15</f>
        <v>2520</v>
      </c>
      <c r="L116" s="13">
        <f>K116/I116</f>
        <v>45</v>
      </c>
      <c r="M116" s="13">
        <f>K116/J116</f>
        <v>15</v>
      </c>
      <c r="N116" s="18" t="e">
        <f>(A116+M116)</f>
        <v>#VALUE!</v>
      </c>
      <c r="O116" s="13">
        <f>+Tabla2[[#This Row],[CODIGO]]</f>
        <v>92</v>
      </c>
      <c r="P116" s="19">
        <f>R116/Q116*1000</f>
        <v>20238.095238095237</v>
      </c>
      <c r="Q116" s="10">
        <f>K116</f>
        <v>2520</v>
      </c>
      <c r="R116" s="20">
        <v>51000</v>
      </c>
      <c r="S116" s="60" t="s">
        <v>306</v>
      </c>
      <c r="T116" s="10" t="s">
        <v>307</v>
      </c>
      <c r="U116">
        <v>0</v>
      </c>
      <c r="V116" s="79">
        <v>0</v>
      </c>
    </row>
    <row r="117" spans="1:22" s="10" customFormat="1" x14ac:dyDescent="0.25">
      <c r="A117" s="48" cm="1">
        <f t="array" ref="A117">IFERROR(LOOKUP(2,1/([1]maestro!I:I=H117),[1]maestro!B:B),"")</f>
        <v>46041</v>
      </c>
      <c r="B117" s="49" t="str">
        <f>TEXT(A117,"mmmm")</f>
        <v>enero</v>
      </c>
      <c r="C117" s="50">
        <v>93</v>
      </c>
      <c r="D117" s="61" t="s">
        <v>308</v>
      </c>
      <c r="E117" s="13" t="str">
        <f>PROPER(D117)</f>
        <v>Doggy Lunch Fabián Restrepo</v>
      </c>
      <c r="G117" s="14" t="str">
        <f>CONCATENATE($G$1,H117)</f>
        <v>573015850114</v>
      </c>
      <c r="H117" s="13">
        <v>3015850114</v>
      </c>
      <c r="I117" s="62">
        <v>116</v>
      </c>
      <c r="J117" s="62">
        <v>232</v>
      </c>
      <c r="K117" s="62">
        <f>+J117*15</f>
        <v>3480</v>
      </c>
      <c r="L117" s="58">
        <v>30</v>
      </c>
      <c r="M117" s="59">
        <f>K117/J117</f>
        <v>15</v>
      </c>
      <c r="N117" s="53">
        <f>(A117+M117)</f>
        <v>46056</v>
      </c>
      <c r="O117" s="51">
        <f>+Tabla2[[#This Row],[CODIGO]]</f>
        <v>93</v>
      </c>
      <c r="P117" s="54">
        <f>R117/Q117*1000</f>
        <v>21982.758620689656</v>
      </c>
      <c r="Q117" s="49">
        <f>K117</f>
        <v>3480</v>
      </c>
      <c r="R117" s="55">
        <v>76500</v>
      </c>
      <c r="S117" s="49" t="s">
        <v>309</v>
      </c>
      <c r="T117" s="49" t="s">
        <v>310</v>
      </c>
      <c r="U117">
        <v>0</v>
      </c>
      <c r="V117" s="79">
        <v>0</v>
      </c>
    </row>
    <row r="118" spans="1:22" s="10" customFormat="1" x14ac:dyDescent="0.25">
      <c r="A118" s="48" cm="1">
        <f t="array" ref="A118">IFERROR(LOOKUP(2,1/([1]maestro!I:I=H118),[1]maestro!B:B),"")</f>
        <v>46034</v>
      </c>
      <c r="B118" s="49" t="str">
        <f>TEXT(A118,"mmmm")</f>
        <v>enero</v>
      </c>
      <c r="C118" s="50">
        <v>94</v>
      </c>
      <c r="D118" s="61" t="s">
        <v>311</v>
      </c>
      <c r="E118" s="51" t="str">
        <f>PROPER(D118)</f>
        <v>Doggy Lunch Orlando Lancheros</v>
      </c>
      <c r="F118" s="49"/>
      <c r="G118" s="52" t="str">
        <f>CONCATENATE('[1]Clientes Inactivos'!$G$1,H118)</f>
        <v>573134339849</v>
      </c>
      <c r="H118" s="51">
        <v>3134339849</v>
      </c>
      <c r="I118" s="62">
        <v>144</v>
      </c>
      <c r="J118" s="62">
        <v>432</v>
      </c>
      <c r="K118" s="62">
        <f>+J118*15</f>
        <v>6480</v>
      </c>
      <c r="L118" s="58">
        <f>K118/I118</f>
        <v>45</v>
      </c>
      <c r="M118" s="59">
        <f>K118/J118</f>
        <v>15</v>
      </c>
      <c r="N118" s="53">
        <f>(A118+M118)</f>
        <v>46049</v>
      </c>
      <c r="O118" s="51">
        <f>+Tabla2[[#This Row],[CODIGO]]</f>
        <v>94</v>
      </c>
      <c r="P118" s="54">
        <f>R118/Q118*1000</f>
        <v>22407.407407407409</v>
      </c>
      <c r="Q118" s="49">
        <f>K118</f>
        <v>6480</v>
      </c>
      <c r="R118" s="55">
        <v>145200</v>
      </c>
      <c r="S118" s="49" t="s">
        <v>312</v>
      </c>
      <c r="T118" s="49"/>
      <c r="U118">
        <v>0</v>
      </c>
      <c r="V118" s="79">
        <v>0</v>
      </c>
    </row>
    <row r="119" spans="1:22" s="49" customFormat="1" x14ac:dyDescent="0.25">
      <c r="A119" s="21" cm="1">
        <f t="array" ref="A119">IFERROR(LOOKUP(2,1/([1]maestro!I:I=H119),[1]maestro!B:B),"")</f>
        <v>46043</v>
      </c>
      <c r="B119" s="22" t="str">
        <f>TEXT(A119,"mmmm")</f>
        <v>enero</v>
      </c>
      <c r="C119" s="23">
        <v>95</v>
      </c>
      <c r="D119" s="22" t="s">
        <v>313</v>
      </c>
      <c r="E119" s="24" t="str">
        <f>PROPER(D119)</f>
        <v>Doggy Lunch Ricardo</v>
      </c>
      <c r="F119" s="33"/>
      <c r="G119" s="25" t="str">
        <f>CONCATENATE('[1]Clientes Inactivos'!$G$1,H119)</f>
        <v>573123935050</v>
      </c>
      <c r="H119" s="24">
        <v>3123935050</v>
      </c>
      <c r="I119" s="24">
        <v>90</v>
      </c>
      <c r="J119" s="24">
        <f>+I119*2</f>
        <v>180</v>
      </c>
      <c r="K119" s="24">
        <f>+J119*16</f>
        <v>2880</v>
      </c>
      <c r="L119" s="24">
        <f>K119/I119</f>
        <v>32</v>
      </c>
      <c r="M119" s="24">
        <f>K119/J119</f>
        <v>16</v>
      </c>
      <c r="N119" s="28">
        <f>(A119+M119)</f>
        <v>46059</v>
      </c>
      <c r="O119" s="24">
        <f>+Tabla2[[#This Row],[CODIGO]]</f>
        <v>95</v>
      </c>
      <c r="P119" s="26">
        <f>R119/Q119*1000</f>
        <v>21875</v>
      </c>
      <c r="Q119" s="22">
        <f>K119</f>
        <v>2880</v>
      </c>
      <c r="R119" s="27">
        <v>63000</v>
      </c>
      <c r="S119" s="22" t="s">
        <v>314</v>
      </c>
      <c r="T119" s="22" t="s">
        <v>315</v>
      </c>
      <c r="U119">
        <v>0</v>
      </c>
      <c r="V119" s="79">
        <v>0</v>
      </c>
    </row>
    <row r="120" spans="1:22" s="22" customFormat="1" x14ac:dyDescent="0.25">
      <c r="A120" s="9" cm="1">
        <f t="array" ref="A120">IFERROR(LOOKUP(2,1/([1]maestro!I:I=H120),[1]maestro!B:B),"")</f>
        <v>46036</v>
      </c>
      <c r="B120" s="10" t="str">
        <f>TEXT(A120,"mmmm")</f>
        <v>enero</v>
      </c>
      <c r="C120" s="11">
        <v>96</v>
      </c>
      <c r="D120" s="12" t="s">
        <v>316</v>
      </c>
      <c r="E120" s="13" t="str">
        <f>PROPER(D120)</f>
        <v xml:space="preserve">Doris Cortés Urrea </v>
      </c>
      <c r="F120" s="10"/>
      <c r="G120" s="14" t="str">
        <f>CONCATENATE('[1]Clientes Inactivos'!$G$1,H120)</f>
        <v>573123570114</v>
      </c>
      <c r="H120" s="13">
        <v>3123570114</v>
      </c>
      <c r="I120" s="15">
        <v>100</v>
      </c>
      <c r="J120" s="15">
        <v>200</v>
      </c>
      <c r="K120" s="15">
        <f>+J120*15</f>
        <v>3000</v>
      </c>
      <c r="L120" s="16">
        <f>K120/I120</f>
        <v>30</v>
      </c>
      <c r="M120" s="17">
        <f>K120/J120</f>
        <v>15</v>
      </c>
      <c r="N120" s="18">
        <f>(A120+M120)</f>
        <v>46051</v>
      </c>
      <c r="O120" s="13">
        <f>+Tabla2[[#This Row],[CODIGO]]</f>
        <v>96</v>
      </c>
      <c r="P120" s="19">
        <f>R120/Q120*1000</f>
        <v>38000</v>
      </c>
      <c r="Q120" s="10">
        <f>K120</f>
        <v>3000</v>
      </c>
      <c r="R120" s="20">
        <v>114000</v>
      </c>
      <c r="S120" s="10" t="s">
        <v>317</v>
      </c>
      <c r="T120" s="10" t="s">
        <v>318</v>
      </c>
      <c r="U120">
        <v>0</v>
      </c>
      <c r="V120" s="79">
        <v>0</v>
      </c>
    </row>
    <row r="121" spans="1:22" s="10" customFormat="1" x14ac:dyDescent="0.25">
      <c r="A121" s="9" t="str" cm="1">
        <f t="array" ref="A121">IFERROR(LOOKUP(2,1/([1]maestro!I:I=H121),[1]maestro!B:B),"")</f>
        <v/>
      </c>
      <c r="B121" s="10" t="str">
        <f>TEXT(A121,"mmmm")</f>
        <v/>
      </c>
      <c r="C121" s="11">
        <v>97</v>
      </c>
      <c r="D121" s="13" t="s">
        <v>319</v>
      </c>
      <c r="E121" s="13" t="s">
        <v>319</v>
      </c>
      <c r="G121" s="14" t="str">
        <f>CONCATENATE($G$1,H121)</f>
        <v>573103140694</v>
      </c>
      <c r="H121" s="13">
        <v>3103140694</v>
      </c>
      <c r="I121" s="15">
        <v>90</v>
      </c>
      <c r="J121" s="15">
        <v>270</v>
      </c>
      <c r="K121" s="15">
        <f>+J121*15</f>
        <v>4050</v>
      </c>
      <c r="L121" s="16">
        <f>K121/I121</f>
        <v>45</v>
      </c>
      <c r="M121" s="17">
        <f>K121/J121</f>
        <v>15</v>
      </c>
      <c r="N121" s="18" t="e">
        <f>(A121+M121)</f>
        <v>#VALUE!</v>
      </c>
      <c r="O121" s="13">
        <f>+Tabla2[[#This Row],[CODIGO]]</f>
        <v>97</v>
      </c>
      <c r="P121" s="19">
        <f>R121/Q121*1000</f>
        <v>37481.481481481482</v>
      </c>
      <c r="Q121" s="10">
        <f>K121</f>
        <v>4050</v>
      </c>
      <c r="R121" s="20">
        <v>151800</v>
      </c>
      <c r="S121" s="10" t="s">
        <v>320</v>
      </c>
      <c r="T121" s="10" t="s">
        <v>321</v>
      </c>
      <c r="U121">
        <v>0</v>
      </c>
      <c r="V121" s="79">
        <v>0</v>
      </c>
    </row>
    <row r="122" spans="1:22" s="10" customFormat="1" x14ac:dyDescent="0.25">
      <c r="A122" s="21" cm="1">
        <f t="array" ref="A122">IFERROR(LOOKUP(2,1/([1]maestro!I:I=H122),[1]maestro!B:B),"")</f>
        <v>46037</v>
      </c>
      <c r="B122" s="22" t="str">
        <f>TEXT(A122,"mmmm")</f>
        <v>enero</v>
      </c>
      <c r="C122" s="23">
        <v>99</v>
      </c>
      <c r="D122" s="22" t="s">
        <v>325</v>
      </c>
      <c r="E122" s="24" t="str">
        <f>PROPER(D122)</f>
        <v>Edwin Romero</v>
      </c>
      <c r="F122" s="22"/>
      <c r="G122" s="25" t="str">
        <f>CONCATENATE($G$1,H122)</f>
        <v>573194667470</v>
      </c>
      <c r="H122" s="24">
        <v>3194667470</v>
      </c>
      <c r="I122" s="33">
        <v>200</v>
      </c>
      <c r="J122" s="33">
        <v>200</v>
      </c>
      <c r="K122" s="33">
        <v>5000</v>
      </c>
      <c r="L122" s="24">
        <f>K122/I122</f>
        <v>25</v>
      </c>
      <c r="M122" s="24">
        <f>K122/J122</f>
        <v>25</v>
      </c>
      <c r="N122" s="28">
        <f>(A122+M122)</f>
        <v>46062</v>
      </c>
      <c r="O122" s="24">
        <f>+Tabla2[[#This Row],[CODIGO]]</f>
        <v>99</v>
      </c>
      <c r="P122" s="26">
        <f>R122/Q122*1000</f>
        <v>25000</v>
      </c>
      <c r="Q122" s="22">
        <f>K122</f>
        <v>5000</v>
      </c>
      <c r="R122" s="30">
        <v>125000</v>
      </c>
      <c r="S122" s="22" t="s">
        <v>326</v>
      </c>
      <c r="T122" s="22" t="s">
        <v>327</v>
      </c>
      <c r="U122">
        <v>0</v>
      </c>
      <c r="V122" s="79">
        <v>0</v>
      </c>
    </row>
    <row r="123" spans="1:22" s="22" customFormat="1" x14ac:dyDescent="0.25">
      <c r="A123" s="21" cm="1">
        <f t="array" ref="A123">IFERROR(LOOKUP(2,1/([1]maestro!I:I=H123),[1]maestro!B:B),"")</f>
        <v>46045</v>
      </c>
      <c r="B123" s="22" t="str">
        <f>TEXT(A123,"mmmm")</f>
        <v>enero</v>
      </c>
      <c r="C123" s="23">
        <v>98</v>
      </c>
      <c r="D123" s="22" t="s">
        <v>322</v>
      </c>
      <c r="E123" s="24" t="str">
        <f>PROPER(D123)</f>
        <v>Eduardo Arias Garcia</v>
      </c>
      <c r="G123" s="25" t="str">
        <f>CONCATENATE($G$1,H123)</f>
        <v>573003004703</v>
      </c>
      <c r="H123" s="24">
        <v>3003004703</v>
      </c>
      <c r="I123" s="33">
        <v>106</v>
      </c>
      <c r="J123" s="33">
        <f>106*3</f>
        <v>318</v>
      </c>
      <c r="K123" s="33">
        <f>+J123*10</f>
        <v>3180</v>
      </c>
      <c r="L123" s="24">
        <f>K123/I123</f>
        <v>30</v>
      </c>
      <c r="M123" s="24">
        <f>K123/J123</f>
        <v>10</v>
      </c>
      <c r="N123" s="28">
        <f>(A123+M123)</f>
        <v>46055</v>
      </c>
      <c r="O123" s="24">
        <f>+Tabla2[[#This Row],[CODIGO]]</f>
        <v>98</v>
      </c>
      <c r="P123" s="26">
        <f>R123/Q123*1000</f>
        <v>35974.842767295595</v>
      </c>
      <c r="Q123" s="22">
        <f>K123</f>
        <v>3180</v>
      </c>
      <c r="R123" s="27">
        <v>114400</v>
      </c>
      <c r="S123" s="22" t="s">
        <v>323</v>
      </c>
      <c r="T123" s="22" t="s">
        <v>324</v>
      </c>
      <c r="U123">
        <v>0</v>
      </c>
      <c r="V123" s="79">
        <v>171400</v>
      </c>
    </row>
    <row r="124" spans="1:22" s="10" customFormat="1" x14ac:dyDescent="0.25">
      <c r="A124" s="21" cm="1">
        <f t="array" ref="A124">IFERROR(LOOKUP(2,1/([1]maestro!I:I=H124),[1]maestro!B:B),"")</f>
        <v>46038</v>
      </c>
      <c r="B124" s="22" t="str">
        <f>TEXT(A124,"mmmm")</f>
        <v>enero</v>
      </c>
      <c r="C124" s="23">
        <v>100</v>
      </c>
      <c r="D124" s="32" t="s">
        <v>328</v>
      </c>
      <c r="E124" s="24" t="str">
        <f>PROPER(D124)</f>
        <v>Eleonora Mutis</v>
      </c>
      <c r="F124" s="24"/>
      <c r="G124" s="25" t="str">
        <f>CONCATENATE($G$1,H124)</f>
        <v>573016189999</v>
      </c>
      <c r="H124" s="24">
        <v>3016189999</v>
      </c>
      <c r="I124" s="33">
        <v>74</v>
      </c>
      <c r="J124" s="33">
        <f>74*3</f>
        <v>222</v>
      </c>
      <c r="K124" s="33">
        <f>+J124*15</f>
        <v>3330</v>
      </c>
      <c r="L124" s="34">
        <f>K124/I124</f>
        <v>45</v>
      </c>
      <c r="M124" s="35">
        <f>K124/J124</f>
        <v>15</v>
      </c>
      <c r="N124" s="28">
        <f>(A124+M124)</f>
        <v>46053</v>
      </c>
      <c r="O124" s="24">
        <f>+Tabla2[[#This Row],[CODIGO]]</f>
        <v>100</v>
      </c>
      <c r="P124" s="26">
        <f>R124/Q124*1000</f>
        <v>38648.648648648646</v>
      </c>
      <c r="Q124" s="22">
        <f>K124</f>
        <v>3330</v>
      </c>
      <c r="R124" s="30">
        <v>128700</v>
      </c>
      <c r="S124" s="22" t="s">
        <v>329</v>
      </c>
      <c r="T124" s="22" t="s">
        <v>330</v>
      </c>
      <c r="U124">
        <v>0</v>
      </c>
      <c r="V124" s="79">
        <v>0</v>
      </c>
    </row>
    <row r="125" spans="1:22" s="10" customFormat="1" x14ac:dyDescent="0.25">
      <c r="A125" s="9" t="str" cm="1">
        <f t="array" ref="A125">IFERROR(LOOKUP(2,1/([1]maestro!I:I=H125),[1]maestro!B:B),"")</f>
        <v/>
      </c>
      <c r="B125" s="10" t="str">
        <f>TEXT(A125,"mmmm")</f>
        <v/>
      </c>
      <c r="C125" s="11">
        <v>102</v>
      </c>
      <c r="D125" s="10" t="s">
        <v>335</v>
      </c>
      <c r="E125" s="10" t="str">
        <f>PROPER(D125)</f>
        <v>Enith Tarazona Ardila</v>
      </c>
      <c r="G125" s="10" t="str">
        <f>CONCATENATE($G$1,H125)</f>
        <v>573134974621</v>
      </c>
      <c r="H125" s="13">
        <v>3134974621</v>
      </c>
      <c r="I125" s="15">
        <v>40</v>
      </c>
      <c r="J125" s="15">
        <v>120</v>
      </c>
      <c r="K125" s="15">
        <f>+J125*8</f>
        <v>960</v>
      </c>
      <c r="L125" s="16">
        <f>K125/I125</f>
        <v>24</v>
      </c>
      <c r="M125" s="17">
        <f>K125/J125</f>
        <v>8</v>
      </c>
      <c r="N125" s="18" t="e">
        <f>(A125+M125)</f>
        <v>#VALUE!</v>
      </c>
      <c r="O125" s="13">
        <f>+Tabla2[[#This Row],[CODIGO]]</f>
        <v>102</v>
      </c>
      <c r="P125" s="19">
        <f>R125/Q125*1000</f>
        <v>40416.666666666664</v>
      </c>
      <c r="Q125" s="10">
        <f>K125</f>
        <v>960</v>
      </c>
      <c r="R125" s="29">
        <v>38800</v>
      </c>
      <c r="S125" s="10" t="s">
        <v>336</v>
      </c>
      <c r="T125" s="10" t="s">
        <v>337</v>
      </c>
      <c r="U125">
        <v>0</v>
      </c>
      <c r="V125" s="79">
        <v>0</v>
      </c>
    </row>
    <row r="126" spans="1:22" s="10" customFormat="1" x14ac:dyDescent="0.25">
      <c r="A126" s="21" cm="1">
        <f t="array" ref="A126">IFERROR(LOOKUP(2,1/([1]maestro!I:I=H126),[1]maestro!B:B),"")</f>
        <v>46045</v>
      </c>
      <c r="B126" s="22" t="str">
        <f>TEXT(A126,"mmmm")</f>
        <v>enero</v>
      </c>
      <c r="C126" s="23">
        <v>101</v>
      </c>
      <c r="D126" s="32" t="s">
        <v>331</v>
      </c>
      <c r="E126" s="24" t="str">
        <f>PROPER(D126)</f>
        <v>Eliana Turrini</v>
      </c>
      <c r="F126" s="22"/>
      <c r="G126" s="25" t="str">
        <f>CONCATENATE($G$1,H126)</f>
        <v>57313 8013032</v>
      </c>
      <c r="H126" s="24" t="s">
        <v>332</v>
      </c>
      <c r="I126" s="33">
        <v>150</v>
      </c>
      <c r="J126" s="33">
        <v>300</v>
      </c>
      <c r="K126" s="33">
        <f>+J126*15</f>
        <v>4500</v>
      </c>
      <c r="L126" s="34">
        <f>K126/I126</f>
        <v>30</v>
      </c>
      <c r="M126" s="35">
        <f>K126/J126</f>
        <v>15</v>
      </c>
      <c r="N126" s="28">
        <f>(A126+M126)</f>
        <v>46060</v>
      </c>
      <c r="O126" s="24">
        <f>+Tabla2[[#This Row],[CODIGO]]</f>
        <v>101</v>
      </c>
      <c r="P126" s="26">
        <f>R126/Q126*1000</f>
        <v>41700</v>
      </c>
      <c r="Q126" s="22">
        <f>K126</f>
        <v>4500</v>
      </c>
      <c r="R126" s="27">
        <v>187650</v>
      </c>
      <c r="S126" s="22" t="s">
        <v>333</v>
      </c>
      <c r="T126" s="22" t="s">
        <v>334</v>
      </c>
      <c r="U126">
        <v>0</v>
      </c>
      <c r="V126" s="79">
        <v>187650</v>
      </c>
    </row>
    <row r="127" spans="1:22" s="10" customFormat="1" x14ac:dyDescent="0.25">
      <c r="A127" s="9" t="str" cm="1">
        <f t="array" ref="A127">IFERROR(LOOKUP(2,1/([1]maestro!I:I=H127),[1]maestro!B:B),"")</f>
        <v/>
      </c>
      <c r="B127" s="10" t="str">
        <f>TEXT(A127,"mmmm")</f>
        <v/>
      </c>
      <c r="C127" s="11">
        <v>103</v>
      </c>
      <c r="D127" s="12" t="s">
        <v>338</v>
      </c>
      <c r="E127" s="13" t="str">
        <f>PROPER(D127)</f>
        <v>Ericka Núñez</v>
      </c>
      <c r="F127" s="13"/>
      <c r="G127" s="14" t="str">
        <f>CONCATENATE($G$1,H127)</f>
        <v>573052896347</v>
      </c>
      <c r="H127" s="13">
        <v>3052896347</v>
      </c>
      <c r="I127" s="15">
        <v>85</v>
      </c>
      <c r="J127" s="15">
        <v>170</v>
      </c>
      <c r="K127" s="15">
        <f>+J127*15</f>
        <v>2550</v>
      </c>
      <c r="L127" s="16">
        <f>K127/I127</f>
        <v>30</v>
      </c>
      <c r="M127" s="17">
        <f>K127/J127</f>
        <v>15</v>
      </c>
      <c r="N127" s="18" t="e">
        <f>(A127+M127)</f>
        <v>#VALUE!</v>
      </c>
      <c r="O127" s="13">
        <f>+Tabla2[[#This Row],[CODIGO]]</f>
        <v>103</v>
      </c>
      <c r="P127" s="19">
        <f>R127/Q127*1000</f>
        <v>38352.941176470587</v>
      </c>
      <c r="Q127" s="10">
        <f>K127</f>
        <v>2550</v>
      </c>
      <c r="R127" s="20">
        <v>97800</v>
      </c>
      <c r="S127" s="10" t="s">
        <v>339</v>
      </c>
      <c r="T127" s="10" t="s">
        <v>340</v>
      </c>
      <c r="U127">
        <v>0</v>
      </c>
      <c r="V127" s="79">
        <v>0</v>
      </c>
    </row>
    <row r="128" spans="1:22" s="10" customFormat="1" x14ac:dyDescent="0.25">
      <c r="A128" s="9" cm="1">
        <f t="array" ref="A128">IFERROR(LOOKUP(2,1/([1]maestro!I:I=H128),[1]maestro!B:B),"")</f>
        <v>0</v>
      </c>
      <c r="B128" s="10" t="str">
        <f>TEXT(A128,"mmmm")</f>
        <v>enero</v>
      </c>
      <c r="C128" s="11">
        <v>104</v>
      </c>
      <c r="D128" s="12" t="s">
        <v>341</v>
      </c>
      <c r="E128" s="13" t="str">
        <f>PROPER(D128)</f>
        <v>Erika Sofia Bautista Nieves</v>
      </c>
      <c r="G128" s="14" t="str">
        <f>CONCATENATE($G$1,H128)</f>
        <v>57</v>
      </c>
      <c r="H128" s="13"/>
      <c r="I128" s="15">
        <v>177</v>
      </c>
      <c r="J128" s="15">
        <f>177*2</f>
        <v>354</v>
      </c>
      <c r="K128" s="15">
        <f>+J128*7</f>
        <v>2478</v>
      </c>
      <c r="L128" s="16">
        <f>K128/I128</f>
        <v>14</v>
      </c>
      <c r="M128" s="17">
        <f>K128/J128</f>
        <v>7</v>
      </c>
      <c r="N128" s="18">
        <f>(A128+M128)</f>
        <v>7</v>
      </c>
      <c r="O128" s="13">
        <f>+Tabla2[[#This Row],[CODIGO]]</f>
        <v>104</v>
      </c>
      <c r="P128" s="19">
        <f>R128/Q128*1000</f>
        <v>0</v>
      </c>
      <c r="Q128" s="10">
        <f>K128</f>
        <v>2478</v>
      </c>
      <c r="R128" s="20"/>
      <c r="S128" s="10" t="s">
        <v>342</v>
      </c>
      <c r="T128" s="10" t="s">
        <v>343</v>
      </c>
      <c r="U128">
        <v>0</v>
      </c>
      <c r="V128" s="79">
        <v>0</v>
      </c>
    </row>
    <row r="129" spans="1:22" s="10" customFormat="1" x14ac:dyDescent="0.25">
      <c r="A129" s="21" cm="1">
        <f t="array" ref="A129">IFERROR(LOOKUP(2,1/([1]maestro!I:I=H129),[1]maestro!B:B),"")</f>
        <v>46048</v>
      </c>
      <c r="B129" s="22" t="str">
        <f>TEXT(A129,"mmmm")</f>
        <v>enero</v>
      </c>
      <c r="C129" s="23">
        <v>105</v>
      </c>
      <c r="D129" s="22" t="s">
        <v>344</v>
      </c>
      <c r="E129" s="24" t="str">
        <f>PROPER(D129)</f>
        <v>Erika Villamizar Bruno</v>
      </c>
      <c r="F129" s="22"/>
      <c r="G129" s="25" t="str">
        <f>CONCATENATE($G$1,H129)</f>
        <v>573209927180</v>
      </c>
      <c r="H129" s="24">
        <v>3209927180</v>
      </c>
      <c r="I129" s="24">
        <v>200</v>
      </c>
      <c r="J129" s="24">
        <v>200</v>
      </c>
      <c r="K129" s="24">
        <f>15*200</f>
        <v>3000</v>
      </c>
      <c r="L129" s="24">
        <f>K129/I129</f>
        <v>15</v>
      </c>
      <c r="M129" s="24">
        <f>K129/J129</f>
        <v>15</v>
      </c>
      <c r="N129" s="28">
        <f>(A129+M129)</f>
        <v>46063</v>
      </c>
      <c r="O129" s="24">
        <f>+Tabla2[[#This Row],[CODIGO]]</f>
        <v>105</v>
      </c>
      <c r="P129" s="26">
        <f>R129/Q129*1000</f>
        <v>32000</v>
      </c>
      <c r="Q129" s="22">
        <f>K129</f>
        <v>3000</v>
      </c>
      <c r="R129" s="27">
        <v>96000</v>
      </c>
      <c r="S129" s="22" t="s">
        <v>345</v>
      </c>
      <c r="T129" s="22" t="s">
        <v>346</v>
      </c>
      <c r="U129">
        <v>0</v>
      </c>
      <c r="V129" s="79">
        <v>0</v>
      </c>
    </row>
    <row r="130" spans="1:22" s="22" customFormat="1" x14ac:dyDescent="0.25">
      <c r="A130" s="9" t="str" cm="1">
        <f t="array" ref="A130">IFERROR(LOOKUP(2,1/([1]maestro!I:I=H130),[1]maestro!B:B),"")</f>
        <v/>
      </c>
      <c r="B130" s="10" t="str">
        <f>TEXT(A130,"mmmm")</f>
        <v/>
      </c>
      <c r="C130" s="11">
        <v>106</v>
      </c>
      <c r="D130" s="12" t="s">
        <v>347</v>
      </c>
      <c r="E130" s="13" t="str">
        <f>PROPER(D130)</f>
        <v>Esperanza Calderon</v>
      </c>
      <c r="F130" s="10"/>
      <c r="G130" s="14" t="str">
        <f>CONCATENATE($G$1,H130)</f>
        <v>573232840240</v>
      </c>
      <c r="H130" s="13">
        <v>3232840240</v>
      </c>
      <c r="I130" s="15">
        <v>295</v>
      </c>
      <c r="J130" s="15">
        <v>295</v>
      </c>
      <c r="K130" s="15">
        <f>+J130*10</f>
        <v>2950</v>
      </c>
      <c r="L130" s="16">
        <f>K130/I130</f>
        <v>10</v>
      </c>
      <c r="M130" s="17">
        <f>K130/J130</f>
        <v>10</v>
      </c>
      <c r="N130" s="18" t="e">
        <f>(A130+M130)</f>
        <v>#VALUE!</v>
      </c>
      <c r="O130" s="13">
        <f>+Tabla2[[#This Row],[CODIGO]]</f>
        <v>106</v>
      </c>
      <c r="P130" s="19">
        <f>R130/Q130*1000</f>
        <v>33898.305084745763</v>
      </c>
      <c r="Q130" s="10">
        <f>K130</f>
        <v>2950</v>
      </c>
      <c r="R130" s="20">
        <v>100000</v>
      </c>
      <c r="S130" s="10" t="s">
        <v>348</v>
      </c>
      <c r="T130" s="10" t="s">
        <v>349</v>
      </c>
      <c r="U130">
        <v>0</v>
      </c>
      <c r="V130" s="79">
        <v>0</v>
      </c>
    </row>
    <row r="131" spans="1:22" s="10" customFormat="1" x14ac:dyDescent="0.25">
      <c r="A131" s="21" cm="1">
        <f t="array" ref="A131">IFERROR(LOOKUP(2,1/([1]maestro!I:I=H131),[1]maestro!B:B),"")</f>
        <v>46038</v>
      </c>
      <c r="B131" s="22" t="str">
        <f>TEXT(A131,"mmmm")</f>
        <v>enero</v>
      </c>
      <c r="C131" s="23">
        <v>107</v>
      </c>
      <c r="D131" s="32" t="s">
        <v>350</v>
      </c>
      <c r="E131" s="24" t="str">
        <f>PROPER(D131)</f>
        <v>Evelin Herrera</v>
      </c>
      <c r="F131" s="22"/>
      <c r="G131" s="25" t="str">
        <f>CONCATENATE('[1]Clientes Inactivos'!$G$1,H131)</f>
        <v>573150525254</v>
      </c>
      <c r="H131" s="24">
        <v>3150525254</v>
      </c>
      <c r="I131" s="33">
        <v>28</v>
      </c>
      <c r="J131" s="33">
        <v>84</v>
      </c>
      <c r="K131" s="33">
        <f>+J131*15</f>
        <v>1260</v>
      </c>
      <c r="L131" s="34">
        <f>K131/I131</f>
        <v>45</v>
      </c>
      <c r="M131" s="35">
        <f>K131/J131</f>
        <v>15</v>
      </c>
      <c r="N131" s="28">
        <f>(A131+M131)</f>
        <v>46053</v>
      </c>
      <c r="O131" s="24">
        <f>+Tabla2[[#This Row],[CODIGO]]</f>
        <v>107</v>
      </c>
      <c r="P131" s="26">
        <f>R131/Q131*1000</f>
        <v>58000</v>
      </c>
      <c r="Q131" s="22">
        <f>K131</f>
        <v>1260</v>
      </c>
      <c r="R131" s="30">
        <v>73080</v>
      </c>
      <c r="S131" s="22" t="s">
        <v>351</v>
      </c>
      <c r="T131" s="22"/>
      <c r="U131">
        <v>71080</v>
      </c>
      <c r="V131" s="79">
        <v>0</v>
      </c>
    </row>
    <row r="132" spans="1:22" s="10" customFormat="1" x14ac:dyDescent="0.25">
      <c r="A132" s="21" cm="1">
        <f t="array" ref="A132">IFERROR(LOOKUP(2,1/([1]maestro!I:I=H132),[1]maestro!B:B),"")</f>
        <v>46037</v>
      </c>
      <c r="B132" s="22" t="str">
        <f>TEXT(A132,"mmmm")</f>
        <v>enero</v>
      </c>
      <c r="C132" s="23">
        <v>108</v>
      </c>
      <c r="D132" s="22" t="s">
        <v>352</v>
      </c>
      <c r="E132" s="24" t="str">
        <f>PROPER(D132)</f>
        <v>Fabiola Delgado Montalbo</v>
      </c>
      <c r="F132" s="22"/>
      <c r="G132" s="25" t="str">
        <f>CONCATENATE($G$1,H132)</f>
        <v>573103126656</v>
      </c>
      <c r="H132" s="24">
        <v>3103126656</v>
      </c>
      <c r="I132" s="33">
        <v>64</v>
      </c>
      <c r="J132" s="33">
        <f>+I132*3</f>
        <v>192</v>
      </c>
      <c r="K132" s="33">
        <f>+J132*15</f>
        <v>2880</v>
      </c>
      <c r="L132" s="24">
        <f>K132/I132</f>
        <v>45</v>
      </c>
      <c r="M132" s="24">
        <f>K132/J132</f>
        <v>15</v>
      </c>
      <c r="N132" s="28">
        <f>(A132+M132)</f>
        <v>46052</v>
      </c>
      <c r="O132" s="24">
        <f>+Tabla2[[#This Row],[CODIGO]]</f>
        <v>108</v>
      </c>
      <c r="P132" s="26">
        <f>R132/Q132*1000</f>
        <v>38993.055555555555</v>
      </c>
      <c r="Q132" s="22">
        <f>K132</f>
        <v>2880</v>
      </c>
      <c r="R132" s="30">
        <v>112300</v>
      </c>
      <c r="S132" s="22" t="s">
        <v>353</v>
      </c>
      <c r="T132" s="22" t="s">
        <v>354</v>
      </c>
      <c r="U132">
        <v>0</v>
      </c>
      <c r="V132" s="79">
        <v>0</v>
      </c>
    </row>
    <row r="133" spans="1:22" s="10" customFormat="1" x14ac:dyDescent="0.25">
      <c r="A133" s="9" t="str" cm="1">
        <f t="array" ref="A133">IFERROR(LOOKUP(2,1/([1]maestro!I:I=H133),[1]maestro!B:B),"")</f>
        <v/>
      </c>
      <c r="B133" s="10" t="str">
        <f>TEXT(A133,"mmmm")</f>
        <v/>
      </c>
      <c r="C133" s="11">
        <v>109</v>
      </c>
      <c r="D133" s="12" t="s">
        <v>355</v>
      </c>
      <c r="E133" s="13" t="str">
        <f>PROPER(D133)</f>
        <v>Fanny Duque Guinard</v>
      </c>
      <c r="G133" s="14" t="str">
        <f>CONCATENATE($G$1,H133)</f>
        <v>573005281323</v>
      </c>
      <c r="H133" s="13">
        <v>3005281323</v>
      </c>
      <c r="I133" s="15">
        <v>64</v>
      </c>
      <c r="J133" s="15">
        <v>190</v>
      </c>
      <c r="K133" s="15">
        <f>+J133*7</f>
        <v>1330</v>
      </c>
      <c r="L133" s="16">
        <f>K133/I133</f>
        <v>20.78125</v>
      </c>
      <c r="M133" s="17">
        <f>K133/J133</f>
        <v>7</v>
      </c>
      <c r="N133" s="18" t="e">
        <f>(A133+M133)</f>
        <v>#VALUE!</v>
      </c>
      <c r="O133" s="13">
        <f>+Tabla2[[#This Row],[CODIGO]]</f>
        <v>109</v>
      </c>
      <c r="P133" s="19">
        <f>R133/Q133*1000</f>
        <v>11278.195488721805</v>
      </c>
      <c r="Q133" s="10">
        <f>K133</f>
        <v>1330</v>
      </c>
      <c r="R133" s="20">
        <v>15000</v>
      </c>
      <c r="S133" s="10" t="s">
        <v>356</v>
      </c>
      <c r="U133">
        <v>0</v>
      </c>
      <c r="V133" s="79">
        <v>0</v>
      </c>
    </row>
    <row r="134" spans="1:22" s="10" customFormat="1" x14ac:dyDescent="0.25">
      <c r="A134" s="9" t="str" cm="1">
        <f t="array" ref="A134">IFERROR(LOOKUP(2,1/([1]maestro!I:I=H134),[1]maestro!B:B),"")</f>
        <v/>
      </c>
      <c r="B134" s="10" t="str">
        <f>TEXT(A134,"mmmm")</f>
        <v/>
      </c>
      <c r="C134" s="11">
        <v>110</v>
      </c>
      <c r="D134" s="10" t="s">
        <v>357</v>
      </c>
      <c r="E134" s="13" t="str">
        <f>PROPER(D134)</f>
        <v>Fernando Monroy</v>
      </c>
      <c r="G134" s="14" t="str">
        <f>CONCATENATE($G$1,H134)</f>
        <v>573208795345</v>
      </c>
      <c r="H134" s="13">
        <v>3208795345</v>
      </c>
      <c r="I134" s="13">
        <v>50</v>
      </c>
      <c r="J134" s="13">
        <v>150</v>
      </c>
      <c r="K134" s="13">
        <f>+J134*30</f>
        <v>4500</v>
      </c>
      <c r="L134" s="13">
        <f>K134/I134</f>
        <v>90</v>
      </c>
      <c r="M134" s="13">
        <f>K134/J134</f>
        <v>30</v>
      </c>
      <c r="N134" s="18" t="e">
        <f>(A134+M134)</f>
        <v>#VALUE!</v>
      </c>
      <c r="O134" s="13">
        <f>+Tabla2[[#This Row],[CODIGO]]</f>
        <v>110</v>
      </c>
      <c r="P134" s="19">
        <f>R134/Q134*1000</f>
        <v>38000</v>
      </c>
      <c r="Q134" s="10">
        <f>K134</f>
        <v>4500</v>
      </c>
      <c r="R134" s="20">
        <v>171000</v>
      </c>
      <c r="S134" s="10" t="s">
        <v>358</v>
      </c>
      <c r="T134" s="10" t="s">
        <v>359</v>
      </c>
      <c r="U134">
        <v>0</v>
      </c>
      <c r="V134" s="79">
        <v>0</v>
      </c>
    </row>
    <row r="135" spans="1:22" s="10" customFormat="1" x14ac:dyDescent="0.25">
      <c r="A135" s="21" cm="1">
        <f t="array" ref="A135">IFERROR(LOOKUP(2,1/([1]maestro!I:I=H135),[1]maestro!B:B),"")</f>
        <v>46041</v>
      </c>
      <c r="B135" s="22" t="str">
        <f>TEXT(A135,"mmmm")</f>
        <v>enero</v>
      </c>
      <c r="C135" s="23">
        <v>112</v>
      </c>
      <c r="D135" s="22" t="s">
        <v>363</v>
      </c>
      <c r="E135" s="24" t="str">
        <f>PROPER(D135)</f>
        <v>Geraldin Bustamante</v>
      </c>
      <c r="F135" s="22"/>
      <c r="G135" s="22" t="str">
        <f>CONCATENATE($G$1,H135)</f>
        <v>573138086463</v>
      </c>
      <c r="H135" s="24">
        <v>3138086463</v>
      </c>
      <c r="I135" s="33">
        <v>110</v>
      </c>
      <c r="J135" s="33">
        <v>330</v>
      </c>
      <c r="K135" s="24">
        <f>+J135*15</f>
        <v>4950</v>
      </c>
      <c r="L135" s="24">
        <f>K135/I135</f>
        <v>45</v>
      </c>
      <c r="M135" s="24">
        <f>K135/J135</f>
        <v>15</v>
      </c>
      <c r="N135" s="28">
        <f>(A135+M135)</f>
        <v>46056</v>
      </c>
      <c r="O135" s="24">
        <f>+Tabla2[[#This Row],[CODIGO]]</f>
        <v>112</v>
      </c>
      <c r="P135" s="26">
        <f>R135/Q135*1000</f>
        <v>0</v>
      </c>
      <c r="Q135" s="22">
        <f>K135</f>
        <v>4950</v>
      </c>
      <c r="R135" s="27">
        <v>0</v>
      </c>
      <c r="S135" s="22">
        <v>0</v>
      </c>
      <c r="T135" s="22" t="s">
        <v>364</v>
      </c>
      <c r="U135">
        <v>0</v>
      </c>
      <c r="V135" s="79">
        <v>0</v>
      </c>
    </row>
    <row r="136" spans="1:22" s="22" customFormat="1" x14ac:dyDescent="0.25">
      <c r="A136" s="21" cm="1">
        <f t="array" ref="A136">IFERROR(LOOKUP(2,1/([1]maestro!I:I=H136),[1]maestro!B:B),"")</f>
        <v>46045</v>
      </c>
      <c r="B136" s="22" t="str">
        <f>TEXT(A136,"mmmm")</f>
        <v>enero</v>
      </c>
      <c r="C136" s="23">
        <v>111</v>
      </c>
      <c r="D136" s="22" t="s">
        <v>360</v>
      </c>
      <c r="E136" s="24" t="str">
        <f>PROPER(D136)</f>
        <v>Gabriela Ramirez Caro</v>
      </c>
      <c r="G136" s="25" t="str">
        <f>CONCATENATE($G$1,H136)</f>
        <v>573108508105</v>
      </c>
      <c r="H136" s="24">
        <v>3108508105</v>
      </c>
      <c r="I136" s="33">
        <v>100</v>
      </c>
      <c r="J136" s="33">
        <v>200</v>
      </c>
      <c r="K136" s="33">
        <v>6000</v>
      </c>
      <c r="L136" s="34">
        <f>K136/I136</f>
        <v>60</v>
      </c>
      <c r="M136" s="35">
        <f>K136/J136</f>
        <v>30</v>
      </c>
      <c r="N136" s="28">
        <f>(A136+M136)</f>
        <v>46075</v>
      </c>
      <c r="O136" s="24">
        <f>+Tabla2[[#This Row],[CODIGO]]</f>
        <v>111</v>
      </c>
      <c r="P136" s="26">
        <f>R136/Q136*1000</f>
        <v>28000</v>
      </c>
      <c r="Q136" s="22">
        <f>K136</f>
        <v>6000</v>
      </c>
      <c r="R136" s="27">
        <v>168000</v>
      </c>
      <c r="S136" s="22" t="s">
        <v>361</v>
      </c>
      <c r="T136" s="22" t="s">
        <v>362</v>
      </c>
      <c r="U136">
        <v>0</v>
      </c>
      <c r="V136" s="79">
        <v>84000</v>
      </c>
    </row>
    <row r="137" spans="1:22" s="10" customFormat="1" x14ac:dyDescent="0.25">
      <c r="A137" s="21" cm="1">
        <f t="array" ref="A137">IFERROR(LOOKUP(2,1/([1]maestro!I:I=H137),[1]maestro!B:B),"")</f>
        <v>46038</v>
      </c>
      <c r="B137" s="22" t="str">
        <f>TEXT(A137,"mmmm")</f>
        <v>enero</v>
      </c>
      <c r="C137" s="23">
        <v>113</v>
      </c>
      <c r="D137" s="22" t="s">
        <v>365</v>
      </c>
      <c r="E137" s="24" t="str">
        <f>PROPER(D137)</f>
        <v>Giovanny Andrés Gómez</v>
      </c>
      <c r="F137" s="22"/>
      <c r="G137" s="25" t="str">
        <f>CONCATENATE($G$1,H137)</f>
        <v>573150570538</v>
      </c>
      <c r="H137" s="24">
        <v>3150570538</v>
      </c>
      <c r="I137" s="33">
        <v>140</v>
      </c>
      <c r="J137" s="33">
        <v>280</v>
      </c>
      <c r="K137" s="33">
        <f>15*280</f>
        <v>4200</v>
      </c>
      <c r="L137" s="24">
        <f>K137/I137</f>
        <v>30</v>
      </c>
      <c r="M137" s="24">
        <f>K137/J137</f>
        <v>15</v>
      </c>
      <c r="N137" s="28">
        <f>(A137+M137)</f>
        <v>46053</v>
      </c>
      <c r="O137" s="24">
        <f>+Tabla2[[#This Row],[CODIGO]]</f>
        <v>113</v>
      </c>
      <c r="P137" s="26">
        <f>R137/Q137*1000</f>
        <v>36000</v>
      </c>
      <c r="Q137" s="22">
        <f>K137</f>
        <v>4200</v>
      </c>
      <c r="R137" s="30">
        <v>151200</v>
      </c>
      <c r="S137" s="22" t="s">
        <v>366</v>
      </c>
      <c r="T137" s="22" t="s">
        <v>367</v>
      </c>
      <c r="U137">
        <v>0</v>
      </c>
      <c r="V137" s="79">
        <v>0</v>
      </c>
    </row>
    <row r="138" spans="1:22" s="10" customFormat="1" x14ac:dyDescent="0.25">
      <c r="A138" s="9" t="str" cm="1">
        <f t="array" ref="A138">IFERROR(LOOKUP(2,1/([1]maestro!I:I=H138),[1]maestro!B:B),"")</f>
        <v/>
      </c>
      <c r="B138" s="10" t="str">
        <f>TEXT(A138,"mmmm")</f>
        <v/>
      </c>
      <c r="C138" s="11">
        <v>114</v>
      </c>
      <c r="D138" s="10" t="s">
        <v>368</v>
      </c>
      <c r="E138" s="13" t="str">
        <f>PROPER(D138)</f>
        <v>Gladis Baquero</v>
      </c>
      <c r="G138" s="14" t="str">
        <f>CONCATENATE($G$1,H138)</f>
        <v>573132088593</v>
      </c>
      <c r="H138" s="13">
        <v>3132088593</v>
      </c>
      <c r="I138" s="13">
        <v>40</v>
      </c>
      <c r="J138" s="13">
        <v>120</v>
      </c>
      <c r="K138" s="13">
        <f>15*120</f>
        <v>1800</v>
      </c>
      <c r="L138" s="13">
        <f>K138/I138</f>
        <v>45</v>
      </c>
      <c r="M138" s="13">
        <f>K138/J138</f>
        <v>15</v>
      </c>
      <c r="N138" s="18" t="e">
        <f>(A138+M138)</f>
        <v>#VALUE!</v>
      </c>
      <c r="O138" s="13">
        <f>+Tabla2[[#This Row],[CODIGO]]</f>
        <v>114</v>
      </c>
      <c r="P138" s="19">
        <f>R138/Q138*1000</f>
        <v>31222.222222222223</v>
      </c>
      <c r="Q138" s="10">
        <f>K138</f>
        <v>1800</v>
      </c>
      <c r="R138" s="20">
        <v>56200</v>
      </c>
      <c r="S138" s="10" t="s">
        <v>369</v>
      </c>
      <c r="U138">
        <v>56200</v>
      </c>
      <c r="V138" s="79">
        <v>0</v>
      </c>
    </row>
    <row r="139" spans="1:22" s="10" customFormat="1" x14ac:dyDescent="0.25">
      <c r="A139" s="21" cm="1">
        <f t="array" ref="A139">IFERROR(LOOKUP(2,1/([1]maestro!I:I=H139),[1]maestro!B:B),"")</f>
        <v>46040</v>
      </c>
      <c r="B139" s="22" t="str">
        <f>TEXT(A139,"mmmm")</f>
        <v>enero</v>
      </c>
      <c r="C139" s="23">
        <v>115</v>
      </c>
      <c r="D139" s="32" t="s">
        <v>370</v>
      </c>
      <c r="E139" s="24" t="str">
        <f>PROPER(D139)</f>
        <v>Gloria Ines Ayala Baquero</v>
      </c>
      <c r="F139" s="22"/>
      <c r="G139" s="25" t="str">
        <f>CONCATENATE($G$1,H139)</f>
        <v>573508608264</v>
      </c>
      <c r="H139" s="24">
        <v>3508608264</v>
      </c>
      <c r="I139" s="33">
        <v>250</v>
      </c>
      <c r="J139" s="33">
        <v>500</v>
      </c>
      <c r="K139" s="33">
        <f>+J139*15</f>
        <v>7500</v>
      </c>
      <c r="L139" s="34">
        <v>30</v>
      </c>
      <c r="M139" s="35">
        <v>15</v>
      </c>
      <c r="N139" s="28">
        <f>(A139+M139)</f>
        <v>46055</v>
      </c>
      <c r="O139" s="24">
        <f>+Tabla2[[#This Row],[CODIGO]]</f>
        <v>115</v>
      </c>
      <c r="P139" s="26">
        <f>R139/Q139*1000</f>
        <v>27000</v>
      </c>
      <c r="Q139" s="22">
        <f>K139</f>
        <v>7500</v>
      </c>
      <c r="R139" s="27">
        <v>202500</v>
      </c>
      <c r="S139" s="22" t="s">
        <v>371</v>
      </c>
      <c r="T139" s="22" t="s">
        <v>372</v>
      </c>
      <c r="U139">
        <v>0</v>
      </c>
      <c r="V139" s="79">
        <v>0</v>
      </c>
    </row>
    <row r="140" spans="1:22" s="10" customFormat="1" x14ac:dyDescent="0.25">
      <c r="A140" s="21" cm="1">
        <f t="array" ref="A140">IFERROR(LOOKUP(2,1/([1]maestro!I:I=H140),[1]maestro!B:B),"")</f>
        <v>46041</v>
      </c>
      <c r="B140" s="22" t="str">
        <f>TEXT(A140,"mmmm")</f>
        <v>enero</v>
      </c>
      <c r="C140" s="23">
        <v>116</v>
      </c>
      <c r="D140" s="32" t="s">
        <v>373</v>
      </c>
      <c r="E140" s="24" t="str">
        <f>PROPER(D140)</f>
        <v>Gloria Muriel Botero</v>
      </c>
      <c r="F140" s="22"/>
      <c r="G140" s="25" t="str">
        <f>CONCATENATE($G$1,H140)</f>
        <v>573108753186</v>
      </c>
      <c r="H140" s="24">
        <v>3108753186</v>
      </c>
      <c r="I140" s="33">
        <v>60</v>
      </c>
      <c r="J140" s="33">
        <v>120</v>
      </c>
      <c r="K140" s="33">
        <f>+J140*15</f>
        <v>1800</v>
      </c>
      <c r="L140" s="34">
        <f>K140/I140</f>
        <v>30</v>
      </c>
      <c r="M140" s="35">
        <f>K140/J140</f>
        <v>15</v>
      </c>
      <c r="N140" s="28">
        <f>(A140+M140)</f>
        <v>46056</v>
      </c>
      <c r="O140" s="24">
        <f>+Tabla2[[#This Row],[CODIGO]]</f>
        <v>116</v>
      </c>
      <c r="P140" s="26">
        <f>R140/Q140*1000</f>
        <v>60000</v>
      </c>
      <c r="Q140" s="22">
        <f>K140</f>
        <v>1800</v>
      </c>
      <c r="R140" s="27">
        <v>108000</v>
      </c>
      <c r="S140" s="22" t="s">
        <v>374</v>
      </c>
      <c r="T140" s="22" t="s">
        <v>375</v>
      </c>
      <c r="U140">
        <v>0</v>
      </c>
      <c r="V140" s="79">
        <v>0</v>
      </c>
    </row>
    <row r="141" spans="1:22" s="10" customFormat="1" x14ac:dyDescent="0.25">
      <c r="A141" s="9" t="str" cm="1">
        <f t="array" ref="A141">IFERROR(LOOKUP(2,1/([1]maestro!I:I=H141),[1]maestro!B:B),"")</f>
        <v/>
      </c>
      <c r="B141" s="10" t="str">
        <f>TEXT(A141,"mmmm")</f>
        <v/>
      </c>
      <c r="C141" s="11">
        <v>117</v>
      </c>
      <c r="D141" s="12" t="s">
        <v>376</v>
      </c>
      <c r="E141" s="13" t="str">
        <f>PROPER(D141)</f>
        <v>Gloria Patricia Peña 100</v>
      </c>
      <c r="G141" s="14" t="str">
        <f>CONCATENATE("61",H141)</f>
        <v>61493608991</v>
      </c>
      <c r="H141" s="13">
        <v>493608991</v>
      </c>
      <c r="I141" s="15">
        <v>100</v>
      </c>
      <c r="J141" s="15">
        <v>200</v>
      </c>
      <c r="K141" s="15">
        <f>+J141*7</f>
        <v>1400</v>
      </c>
      <c r="L141" s="16">
        <f>K141/I141</f>
        <v>14</v>
      </c>
      <c r="M141" s="17">
        <f>K141/J141</f>
        <v>7</v>
      </c>
      <c r="N141" s="18" t="e">
        <f>(A141+M141)</f>
        <v>#VALUE!</v>
      </c>
      <c r="O141" s="13">
        <f>+Tabla2[[#This Row],[CODIGO]]</f>
        <v>117</v>
      </c>
      <c r="P141" s="19">
        <f>R141/Q141*1000</f>
        <v>0</v>
      </c>
      <c r="Q141" s="10">
        <f>K141</f>
        <v>1400</v>
      </c>
      <c r="R141" s="20"/>
      <c r="S141" s="10" t="s">
        <v>377</v>
      </c>
      <c r="U141">
        <v>0</v>
      </c>
      <c r="V141" s="79">
        <v>0</v>
      </c>
    </row>
    <row r="142" spans="1:22" s="10" customFormat="1" x14ac:dyDescent="0.25">
      <c r="A142" s="9" t="str" cm="1">
        <f t="array" ref="A142">IFERROR(LOOKUP(2,1/([1]maestro!I:I=H142),[1]maestro!B:B),"")</f>
        <v/>
      </c>
      <c r="B142" s="10" t="str">
        <f>TEXT(A142,"mmmm")</f>
        <v/>
      </c>
      <c r="C142" s="11">
        <v>117</v>
      </c>
      <c r="D142" s="12" t="s">
        <v>378</v>
      </c>
      <c r="E142" s="13" t="str">
        <f>PROPER(D142)</f>
        <v>Gloria Patricia Peña 110</v>
      </c>
      <c r="G142" s="14" t="str">
        <f>CONCATENATE("61",H142)</f>
        <v>61493608991</v>
      </c>
      <c r="H142" s="13">
        <v>493608991</v>
      </c>
      <c r="I142" s="15">
        <v>110</v>
      </c>
      <c r="J142" s="15">
        <v>220</v>
      </c>
      <c r="K142" s="15">
        <f>+J142*7</f>
        <v>1540</v>
      </c>
      <c r="L142" s="16">
        <f>K142/I142</f>
        <v>14</v>
      </c>
      <c r="M142" s="17">
        <f>K142/J142</f>
        <v>7</v>
      </c>
      <c r="N142" s="18" t="e">
        <f>(A142+M142)</f>
        <v>#VALUE!</v>
      </c>
      <c r="O142" s="13">
        <f>+Tabla2[[#This Row],[CODIGO]]</f>
        <v>117</v>
      </c>
      <c r="P142" s="19">
        <f>R142/Q142*1000</f>
        <v>0</v>
      </c>
      <c r="Q142" s="10">
        <f>K142</f>
        <v>1540</v>
      </c>
      <c r="R142" s="20"/>
      <c r="S142" s="10" t="s">
        <v>377</v>
      </c>
      <c r="U142">
        <v>0</v>
      </c>
      <c r="V142" s="79">
        <v>0</v>
      </c>
    </row>
    <row r="143" spans="1:22" s="10" customFormat="1" x14ac:dyDescent="0.25">
      <c r="A143" s="9" t="str" cm="1">
        <f t="array" ref="A143">IFERROR(LOOKUP(2,1/([1]maestro!I:I=H143),[1]maestro!B:B),"")</f>
        <v/>
      </c>
      <c r="B143" s="10" t="str">
        <f>TEXT(A143,"mmmm")</f>
        <v/>
      </c>
      <c r="C143" s="11">
        <v>117</v>
      </c>
      <c r="D143" s="12" t="s">
        <v>379</v>
      </c>
      <c r="E143" s="13" t="str">
        <f>PROPER(D143)</f>
        <v>Gloria Patricia Peña 180</v>
      </c>
      <c r="G143" s="14" t="str">
        <f>CONCATENATE("61",H143)</f>
        <v>61493608991</v>
      </c>
      <c r="H143" s="13">
        <v>493608991</v>
      </c>
      <c r="I143" s="15">
        <v>180</v>
      </c>
      <c r="J143" s="15">
        <v>360</v>
      </c>
      <c r="K143" s="15">
        <f>+J143*7</f>
        <v>2520</v>
      </c>
      <c r="L143" s="16">
        <f>K143/I143</f>
        <v>14</v>
      </c>
      <c r="M143" s="17">
        <f>K143/J143</f>
        <v>7</v>
      </c>
      <c r="N143" s="18" t="e">
        <f>(A143+M143)</f>
        <v>#VALUE!</v>
      </c>
      <c r="O143" s="13">
        <f>+Tabla2[[#This Row],[CODIGO]]</f>
        <v>117</v>
      </c>
      <c r="P143" s="19">
        <f>R143/Q143*1000</f>
        <v>0</v>
      </c>
      <c r="Q143" s="10">
        <f>K143</f>
        <v>2520</v>
      </c>
      <c r="R143" s="20"/>
      <c r="S143" s="10" t="s">
        <v>377</v>
      </c>
      <c r="U143">
        <v>0</v>
      </c>
      <c r="V143" s="79">
        <v>0</v>
      </c>
    </row>
    <row r="144" spans="1:22" s="10" customFormat="1" x14ac:dyDescent="0.25">
      <c r="A144" s="9" cm="1">
        <f t="array" ref="A144">IFERROR(LOOKUP(2,1/([1]maestro!I:I=H144),[1]maestro!B:B),"")</f>
        <v>46036</v>
      </c>
      <c r="B144" s="10" t="str">
        <f>TEXT(A144,"mmmm")</f>
        <v>enero</v>
      </c>
      <c r="C144" s="11">
        <v>118</v>
      </c>
      <c r="D144" s="10" t="s">
        <v>380</v>
      </c>
      <c r="E144" s="13" t="str">
        <f>PROPER(D144)</f>
        <v>Guillermo Gonzalez</v>
      </c>
      <c r="G144" s="14" t="str">
        <f>CONCATENATE($G$1,H144)</f>
        <v>573212166664</v>
      </c>
      <c r="H144" s="13">
        <v>3212166664</v>
      </c>
      <c r="I144" s="13">
        <v>210</v>
      </c>
      <c r="J144" s="13">
        <v>420</v>
      </c>
      <c r="K144" s="13">
        <f>30*210</f>
        <v>6300</v>
      </c>
      <c r="L144" s="13">
        <f>K144/I144</f>
        <v>30</v>
      </c>
      <c r="M144" s="13">
        <f>K144/J144</f>
        <v>15</v>
      </c>
      <c r="N144" s="18">
        <f>(A144+M144)</f>
        <v>46051</v>
      </c>
      <c r="O144" s="13">
        <f>+Tabla2[[#This Row],[CODIGO]]</f>
        <v>118</v>
      </c>
      <c r="P144" s="19">
        <f>R144/Q144*1000</f>
        <v>29000</v>
      </c>
      <c r="Q144" s="10">
        <f>K144</f>
        <v>6300</v>
      </c>
      <c r="R144" s="20">
        <v>182700</v>
      </c>
      <c r="S144" s="10" t="s">
        <v>381</v>
      </c>
      <c r="T144" s="10" t="s">
        <v>382</v>
      </c>
      <c r="U144">
        <v>182700</v>
      </c>
      <c r="V144" s="79">
        <v>0</v>
      </c>
    </row>
    <row r="145" spans="1:22" s="10" customFormat="1" x14ac:dyDescent="0.25">
      <c r="A145" s="9" t="str" cm="1">
        <f t="array" ref="A145">IFERROR(LOOKUP(2,1/([1]maestro!I:I=H145),[1]maestro!B:B),"")</f>
        <v/>
      </c>
      <c r="B145" s="10" t="str">
        <f>TEXT(A145,"mmmm")</f>
        <v/>
      </c>
      <c r="C145" s="11">
        <v>119</v>
      </c>
      <c r="D145" s="10" t="s">
        <v>383</v>
      </c>
      <c r="E145" s="13" t="str">
        <f>PROPER(D145)</f>
        <v>Gustavo Ferro</v>
      </c>
      <c r="G145" s="14" t="str">
        <f>CONCATENATE($G$1,H145)</f>
        <v>573124300773</v>
      </c>
      <c r="H145" s="13">
        <v>3124300773</v>
      </c>
      <c r="I145" s="13">
        <v>230</v>
      </c>
      <c r="J145" s="13">
        <v>230</v>
      </c>
      <c r="K145" s="13">
        <f>230*15</f>
        <v>3450</v>
      </c>
      <c r="L145" s="13">
        <f>K145/I145</f>
        <v>15</v>
      </c>
      <c r="M145" s="13">
        <f>K145/J145</f>
        <v>15</v>
      </c>
      <c r="N145" s="18" t="e">
        <f>(A145+M145)</f>
        <v>#VALUE!</v>
      </c>
      <c r="O145" s="13">
        <f>+Tabla2[[#This Row],[CODIGO]]</f>
        <v>119</v>
      </c>
      <c r="P145" s="19">
        <f>R145/Q145*1000</f>
        <v>26086.956521739128</v>
      </c>
      <c r="Q145" s="10">
        <f>K145</f>
        <v>3450</v>
      </c>
      <c r="R145" s="20">
        <v>90000</v>
      </c>
      <c r="S145" s="10" t="s">
        <v>384</v>
      </c>
      <c r="T145" s="10" t="s">
        <v>385</v>
      </c>
      <c r="U145">
        <v>0</v>
      </c>
      <c r="V145" s="79">
        <v>0</v>
      </c>
    </row>
    <row r="146" spans="1:22" s="10" customFormat="1" x14ac:dyDescent="0.25">
      <c r="A146" s="9" t="str" cm="1">
        <f t="array" ref="A146">IFERROR(LOOKUP(2,1/([1]maestro!I:I=H146),[1]maestro!B:B),"")</f>
        <v/>
      </c>
      <c r="B146" s="10" t="str">
        <f>TEXT(A146,"mmmm")</f>
        <v/>
      </c>
      <c r="C146" s="11">
        <v>121</v>
      </c>
      <c r="D146" s="12" t="s">
        <v>389</v>
      </c>
      <c r="E146" s="13" t="str">
        <f>PROPER(D146)</f>
        <v>Hair Muñoz 250</v>
      </c>
      <c r="F146" s="13"/>
      <c r="G146" s="14" t="str">
        <f>CONCATENATE($G$1,H146)</f>
        <v>573008676283</v>
      </c>
      <c r="H146" s="13">
        <v>3008676283</v>
      </c>
      <c r="I146" s="15">
        <v>250</v>
      </c>
      <c r="J146" s="15">
        <v>500</v>
      </c>
      <c r="K146" s="15">
        <f>+J146*12</f>
        <v>6000</v>
      </c>
      <c r="L146" s="16">
        <f>K146/I146</f>
        <v>24</v>
      </c>
      <c r="M146" s="17">
        <f>K146/J146</f>
        <v>12</v>
      </c>
      <c r="N146" s="18" t="e">
        <f>(A146+M146)</f>
        <v>#VALUE!</v>
      </c>
      <c r="O146" s="13">
        <f>+Tabla2[[#This Row],[CODIGO]]</f>
        <v>121</v>
      </c>
      <c r="P146" s="19">
        <f>R146/Q146*1000</f>
        <v>25000</v>
      </c>
      <c r="Q146" s="10">
        <f>K146</f>
        <v>6000</v>
      </c>
      <c r="R146" s="20">
        <v>150000</v>
      </c>
      <c r="S146" s="10" t="s">
        <v>390</v>
      </c>
      <c r="T146" s="10" t="s">
        <v>391</v>
      </c>
      <c r="U146">
        <v>0</v>
      </c>
      <c r="V146" s="79">
        <v>0</v>
      </c>
    </row>
    <row r="147" spans="1:22" s="10" customFormat="1" x14ac:dyDescent="0.25">
      <c r="A147" s="9" t="str" cm="1">
        <f t="array" ref="A147">IFERROR(LOOKUP(2,1/([1]maestro!I:I=H147),[1]maestro!B:B),"")</f>
        <v/>
      </c>
      <c r="B147" s="10" t="str">
        <f>TEXT(A147,"mmmm")</f>
        <v/>
      </c>
      <c r="C147" s="11">
        <v>120</v>
      </c>
      <c r="D147" s="10" t="s">
        <v>386</v>
      </c>
      <c r="E147" s="13" t="str">
        <f>PROPER(D147)</f>
        <v>Gustavo Toro</v>
      </c>
      <c r="G147" s="14" t="str">
        <f>CONCATENATE($G$1,H147)</f>
        <v>573504265525</v>
      </c>
      <c r="H147" s="13">
        <v>3504265525</v>
      </c>
      <c r="I147" s="13">
        <v>200</v>
      </c>
      <c r="J147" s="13">
        <v>200</v>
      </c>
      <c r="K147" s="13">
        <v>6000</v>
      </c>
      <c r="L147" s="13">
        <f>K147/I147</f>
        <v>30</v>
      </c>
      <c r="M147" s="13">
        <f>K147/J147</f>
        <v>30</v>
      </c>
      <c r="N147" s="18" t="e">
        <f>(A147+M147)</f>
        <v>#VALUE!</v>
      </c>
      <c r="O147" s="13">
        <f>+Tabla2[[#This Row],[CODIGO]]</f>
        <v>120</v>
      </c>
      <c r="P147" s="19">
        <f>R147/Q147*1000</f>
        <v>25000</v>
      </c>
      <c r="Q147" s="10">
        <f>K147</f>
        <v>6000</v>
      </c>
      <c r="R147" s="20">
        <v>150000</v>
      </c>
      <c r="S147" s="10" t="s">
        <v>387</v>
      </c>
      <c r="T147" s="10" t="s">
        <v>388</v>
      </c>
      <c r="U147">
        <v>0</v>
      </c>
      <c r="V147" s="79">
        <v>120000</v>
      </c>
    </row>
    <row r="148" spans="1:22" s="10" customFormat="1" x14ac:dyDescent="0.25">
      <c r="A148" s="21" cm="1">
        <f t="array" ref="A148">IFERROR(LOOKUP(2,1/([1]maestro!I:I=H148),[1]maestro!B:B),"")</f>
        <v>46036</v>
      </c>
      <c r="B148" s="22" t="str">
        <f>TEXT(A148,"mmmm")</f>
        <v>enero</v>
      </c>
      <c r="C148" s="23">
        <v>122</v>
      </c>
      <c r="D148" s="22" t="s">
        <v>392</v>
      </c>
      <c r="E148" s="24" t="str">
        <f>PROPER(D148)</f>
        <v>Happy Pets Paradise</v>
      </c>
      <c r="F148" s="22"/>
      <c r="G148" s="25" t="str">
        <f>CONCATENATE($G$1,H148)</f>
        <v>573226140150</v>
      </c>
      <c r="H148" s="24">
        <v>3226140150</v>
      </c>
      <c r="I148" s="24">
        <v>250</v>
      </c>
      <c r="J148" s="24">
        <v>250</v>
      </c>
      <c r="K148" s="24">
        <v>11000</v>
      </c>
      <c r="L148" s="24">
        <f>K148/I148</f>
        <v>44</v>
      </c>
      <c r="M148" s="24">
        <f>K148/J148</f>
        <v>44</v>
      </c>
      <c r="N148" s="28">
        <f>(A148+M148)</f>
        <v>46080</v>
      </c>
      <c r="O148" s="24">
        <f>+Tabla2[[#This Row],[CODIGO]]</f>
        <v>122</v>
      </c>
      <c r="P148" s="26">
        <f>R148/Q148*1000</f>
        <v>22500</v>
      </c>
      <c r="Q148" s="22">
        <f>K148</f>
        <v>11000</v>
      </c>
      <c r="R148" s="27">
        <v>247500</v>
      </c>
      <c r="S148" s="22" t="s">
        <v>393</v>
      </c>
      <c r="T148" s="22" t="s">
        <v>394</v>
      </c>
      <c r="U148">
        <v>0</v>
      </c>
      <c r="V148" s="79">
        <v>0</v>
      </c>
    </row>
    <row r="149" spans="1:22" s="10" customFormat="1" x14ac:dyDescent="0.25">
      <c r="A149" s="9" cm="1">
        <f t="array" ref="A149">IFERROR(LOOKUP(2,1/([1]maestro!I:I=H149),[1]maestro!B:B),"")</f>
        <v>0</v>
      </c>
      <c r="B149" s="10" t="str">
        <f>TEXT(A149,"mmmm")</f>
        <v>enero</v>
      </c>
      <c r="C149" s="11">
        <v>123</v>
      </c>
      <c r="D149" s="12" t="s">
        <v>395</v>
      </c>
      <c r="E149" s="13" t="str">
        <f>PROPER(D149)</f>
        <v>Harinas</v>
      </c>
      <c r="G149" s="14" t="str">
        <f>CONCATENATE($G$1,H149)</f>
        <v>57</v>
      </c>
      <c r="H149" s="13"/>
      <c r="I149" s="15">
        <v>0</v>
      </c>
      <c r="J149" s="15">
        <v>0</v>
      </c>
      <c r="K149" s="15">
        <f>+J149*7</f>
        <v>0</v>
      </c>
      <c r="L149" s="16">
        <v>0</v>
      </c>
      <c r="M149" s="17">
        <v>0</v>
      </c>
      <c r="N149" s="18">
        <v>0</v>
      </c>
      <c r="O149" s="13">
        <f>+Tabla2[[#This Row],[CODIGO]]</f>
        <v>123</v>
      </c>
      <c r="P149" s="19">
        <v>0</v>
      </c>
      <c r="Q149" s="10">
        <f>K149</f>
        <v>0</v>
      </c>
      <c r="R149" s="20"/>
      <c r="T149" s="10" t="s">
        <v>396</v>
      </c>
      <c r="U149">
        <v>0</v>
      </c>
      <c r="V149" s="79">
        <v>0</v>
      </c>
    </row>
    <row r="150" spans="1:22" s="10" customFormat="1" x14ac:dyDescent="0.25">
      <c r="A150" s="9" t="str" cm="1">
        <f t="array" ref="A150">IFERROR(LOOKUP(2,1/([1]maestro!I:I=H150),[1]maestro!B:B),"")</f>
        <v/>
      </c>
      <c r="B150" s="10" t="str">
        <f>TEXT(A150,"mmmm")</f>
        <v/>
      </c>
      <c r="C150" s="11">
        <v>124</v>
      </c>
      <c r="D150" s="10" t="s">
        <v>397</v>
      </c>
      <c r="E150" s="13" t="str">
        <f>PROPER(D150)</f>
        <v>Harley Irene Monsalve</v>
      </c>
      <c r="F150" s="15"/>
      <c r="G150" s="14" t="str">
        <f>CONCATENATE('[1]Clientes Inactivos'!$G$1,H150)</f>
        <v>573219967349</v>
      </c>
      <c r="H150" s="13">
        <v>3219967349</v>
      </c>
      <c r="I150" s="15">
        <v>53</v>
      </c>
      <c r="J150" s="15">
        <f>53*2</f>
        <v>106</v>
      </c>
      <c r="K150" s="15">
        <f>+J150*15</f>
        <v>1590</v>
      </c>
      <c r="L150" s="16">
        <f>K150/I150</f>
        <v>30</v>
      </c>
      <c r="M150" s="17">
        <f>K150/J150</f>
        <v>15</v>
      </c>
      <c r="N150" s="18" t="e">
        <f>(A150+M150)</f>
        <v>#VALUE!</v>
      </c>
      <c r="O150" s="13">
        <f>+Tabla2[[#This Row],[CODIGO]]</f>
        <v>124</v>
      </c>
      <c r="P150" s="19">
        <f>R150/Q150*1000</f>
        <v>43144.654088050316</v>
      </c>
      <c r="Q150" s="10">
        <f>K150</f>
        <v>1590</v>
      </c>
      <c r="R150" s="20">
        <v>68600</v>
      </c>
      <c r="S150" s="10" t="s">
        <v>398</v>
      </c>
      <c r="U150">
        <v>0</v>
      </c>
      <c r="V150" s="79">
        <v>0</v>
      </c>
    </row>
    <row r="151" spans="1:22" s="10" customFormat="1" x14ac:dyDescent="0.25">
      <c r="A151" s="9" t="str" cm="1">
        <f t="array" ref="A151">IFERROR(LOOKUP(2,1/([1]maestro!I:I=H151),[1]maestro!B:B),"")</f>
        <v/>
      </c>
      <c r="B151" s="10" t="str">
        <f>TEXT(A151,"mmmm")</f>
        <v/>
      </c>
      <c r="C151" s="11">
        <v>125</v>
      </c>
      <c r="D151" s="12" t="s">
        <v>399</v>
      </c>
      <c r="E151" s="13" t="str">
        <f>PROPER(D151)</f>
        <v>Hector Lizarazo</v>
      </c>
      <c r="G151" s="14" t="str">
        <f>CONCATENATE($G$1,H151)</f>
        <v>573208941892</v>
      </c>
      <c r="H151" s="13">
        <v>3208941892</v>
      </c>
      <c r="I151" s="15">
        <v>215</v>
      </c>
      <c r="J151" s="15">
        <v>430</v>
      </c>
      <c r="K151" s="15">
        <f>+J151*7</f>
        <v>3010</v>
      </c>
      <c r="L151" s="16">
        <f>K151/I151</f>
        <v>14</v>
      </c>
      <c r="M151" s="17">
        <f>K151/J151</f>
        <v>7</v>
      </c>
      <c r="N151" s="18" t="e">
        <f>(A151+M151)</f>
        <v>#VALUE!</v>
      </c>
      <c r="O151" s="13">
        <f>+Tabla2[[#This Row],[CODIGO]]</f>
        <v>125</v>
      </c>
      <c r="P151" s="19">
        <f>R151/Q151*1000</f>
        <v>3322.2591362126245</v>
      </c>
      <c r="Q151" s="10">
        <f>K151</f>
        <v>3010</v>
      </c>
      <c r="R151" s="20">
        <v>10000</v>
      </c>
      <c r="S151" s="10" t="s">
        <v>400</v>
      </c>
      <c r="U151">
        <v>0</v>
      </c>
      <c r="V151" s="79">
        <v>0</v>
      </c>
    </row>
    <row r="152" spans="1:22" s="10" customFormat="1" x14ac:dyDescent="0.25">
      <c r="A152" s="9" cm="1">
        <f t="array" ref="A152">IFERROR(LOOKUP(2,1/([1]maestro!I:I=H152),[1]maestro!B:B),"")</f>
        <v>46041</v>
      </c>
      <c r="B152" s="10" t="str">
        <f>TEXT(A152,"mmmm")</f>
        <v>enero</v>
      </c>
      <c r="C152" s="11">
        <v>127</v>
      </c>
      <c r="D152" s="12" t="s">
        <v>404</v>
      </c>
      <c r="E152" s="13" t="str">
        <f>PROPER(D152)</f>
        <v>Ingrid Natalia Beltrán Ramírez</v>
      </c>
      <c r="G152" s="14" t="str">
        <f>CONCATENATE($G$1,H152)</f>
        <v>573046420936</v>
      </c>
      <c r="H152" s="13">
        <v>3046420936</v>
      </c>
      <c r="I152" s="15">
        <v>250</v>
      </c>
      <c r="J152" s="15">
        <v>500</v>
      </c>
      <c r="K152" s="15">
        <f>+J152*15</f>
        <v>7500</v>
      </c>
      <c r="L152" s="16">
        <f>K152/I152</f>
        <v>30</v>
      </c>
      <c r="M152" s="17">
        <f>K152/J152</f>
        <v>15</v>
      </c>
      <c r="N152" s="18">
        <f>(A152+M152)</f>
        <v>46056</v>
      </c>
      <c r="O152" s="13">
        <f>+Tabla2[[#This Row],[CODIGO]]</f>
        <v>127</v>
      </c>
      <c r="P152" s="19">
        <f>R152/Q152*1000</f>
        <v>27000</v>
      </c>
      <c r="Q152" s="10">
        <f>K152</f>
        <v>7500</v>
      </c>
      <c r="R152" s="20">
        <v>202500</v>
      </c>
      <c r="S152" s="10" t="s">
        <v>405</v>
      </c>
      <c r="T152" s="10" t="s">
        <v>406</v>
      </c>
      <c r="U152">
        <v>0</v>
      </c>
      <c r="V152" s="79">
        <v>0</v>
      </c>
    </row>
    <row r="153" spans="1:22" s="10" customFormat="1" x14ac:dyDescent="0.25">
      <c r="A153" s="9" t="str" cm="1">
        <f t="array" ref="A153">IFERROR(LOOKUP(2,1/([1]maestro!I:I=H153),[1]maestro!B:B),"")</f>
        <v/>
      </c>
      <c r="B153" s="10" t="str">
        <f>TEXT(A153,"mmmm")</f>
        <v/>
      </c>
      <c r="C153" s="11">
        <v>126</v>
      </c>
      <c r="D153" s="12" t="s">
        <v>401</v>
      </c>
      <c r="E153" s="13" t="str">
        <f>PROPER(D153)</f>
        <v>Helena Mojica</v>
      </c>
      <c r="G153" s="14" t="str">
        <f>CONCATENATE($G$1,H153)</f>
        <v>573153597347</v>
      </c>
      <c r="H153" s="13">
        <v>3153597347</v>
      </c>
      <c r="I153" s="15">
        <v>260</v>
      </c>
      <c r="J153" s="15">
        <v>520</v>
      </c>
      <c r="K153" s="15">
        <f>+J153*15</f>
        <v>7800</v>
      </c>
      <c r="L153" s="16">
        <f>K153/I153</f>
        <v>30</v>
      </c>
      <c r="M153" s="17">
        <f>K153/J153</f>
        <v>15</v>
      </c>
      <c r="N153" s="18" t="e">
        <f>(A153+M153)</f>
        <v>#VALUE!</v>
      </c>
      <c r="O153" s="13">
        <f>+Tabla2[[#This Row],[CODIGO]]</f>
        <v>126</v>
      </c>
      <c r="P153" s="19">
        <f>R153/Q153*1000</f>
        <v>27000</v>
      </c>
      <c r="Q153" s="10">
        <f>K153</f>
        <v>7800</v>
      </c>
      <c r="R153" s="20">
        <v>210600</v>
      </c>
      <c r="S153" s="10" t="s">
        <v>402</v>
      </c>
      <c r="T153" s="10" t="s">
        <v>403</v>
      </c>
      <c r="U153">
        <v>0</v>
      </c>
      <c r="V153" s="79">
        <v>421200</v>
      </c>
    </row>
    <row r="154" spans="1:22" s="10" customFormat="1" x14ac:dyDescent="0.25">
      <c r="A154" s="9" cm="1">
        <f t="array" ref="A154">IFERROR(LOOKUP(2,1/([1]maestro!I:I=H154),[1]maestro!B:B),"")</f>
        <v>46035</v>
      </c>
      <c r="B154" s="10" t="str">
        <f>TEXT(A154,"mmmm")</f>
        <v>enero</v>
      </c>
      <c r="C154" s="11">
        <v>128</v>
      </c>
      <c r="D154" s="10" t="s">
        <v>407</v>
      </c>
      <c r="E154" s="13" t="str">
        <f>PROPER(D154)</f>
        <v>Ingrid Vanessa Pinzón Sánchez</v>
      </c>
      <c r="F154" s="15"/>
      <c r="G154" s="14" t="str">
        <f>CONCATENATE($G$1,H154)</f>
        <v>573195945515</v>
      </c>
      <c r="H154" s="13">
        <v>3195945515</v>
      </c>
      <c r="I154" s="13">
        <v>170</v>
      </c>
      <c r="J154" s="13">
        <v>340</v>
      </c>
      <c r="K154" s="13">
        <f>+J154*7</f>
        <v>2380</v>
      </c>
      <c r="L154" s="13">
        <f>K154/I154</f>
        <v>14</v>
      </c>
      <c r="M154" s="13">
        <f>K154/J154</f>
        <v>7</v>
      </c>
      <c r="N154" s="18">
        <f>(A154+M154)</f>
        <v>46042</v>
      </c>
      <c r="O154" s="13">
        <f>+Tabla2[[#This Row],[CODIGO]]</f>
        <v>128</v>
      </c>
      <c r="P154" s="19">
        <f>R154/Q154*1000</f>
        <v>4201.680672268908</v>
      </c>
      <c r="Q154" s="10">
        <f>K154</f>
        <v>2380</v>
      </c>
      <c r="R154" s="20">
        <v>10000</v>
      </c>
      <c r="S154" s="10" t="s">
        <v>408</v>
      </c>
      <c r="U154">
        <v>0</v>
      </c>
      <c r="V154" s="79">
        <v>0</v>
      </c>
    </row>
    <row r="155" spans="1:22" s="10" customFormat="1" x14ac:dyDescent="0.25">
      <c r="A155" s="9" cm="1">
        <f t="array" ref="A155">IFERROR(LOOKUP(2,1/([1]maestro!I:I=H155),[1]maestro!B:B),"")</f>
        <v>46042</v>
      </c>
      <c r="B155" s="10" t="str">
        <f>TEXT(A155,"mmmm")</f>
        <v>enero</v>
      </c>
      <c r="C155" s="11">
        <v>129</v>
      </c>
      <c r="D155" s="10" t="s">
        <v>409</v>
      </c>
      <c r="E155" s="13" t="str">
        <f>PROPER(D155)</f>
        <v>Isabel Gómez</v>
      </c>
      <c r="G155" s="14" t="str">
        <f>CONCATENATE($G$1,H155)</f>
        <v>573057672267</v>
      </c>
      <c r="H155" s="13">
        <v>3057672267</v>
      </c>
      <c r="I155" s="13">
        <v>200</v>
      </c>
      <c r="J155" s="13">
        <v>600</v>
      </c>
      <c r="K155" s="13">
        <f>+J155*10</f>
        <v>6000</v>
      </c>
      <c r="L155" s="13">
        <f>K155/I155</f>
        <v>30</v>
      </c>
      <c r="M155" s="13">
        <f>K155/J155</f>
        <v>10</v>
      </c>
      <c r="N155" s="18">
        <f>(A155+M155)</f>
        <v>46052</v>
      </c>
      <c r="O155" s="13">
        <f>+Tabla2[[#This Row],[CODIGO]]</f>
        <v>129</v>
      </c>
      <c r="P155" s="19">
        <f>R155/Q155*1000</f>
        <v>20000</v>
      </c>
      <c r="Q155" s="10">
        <f>K155</f>
        <v>6000</v>
      </c>
      <c r="R155" s="29">
        <v>120000</v>
      </c>
      <c r="S155" s="10" t="s">
        <v>410</v>
      </c>
      <c r="T155" s="10" t="s">
        <v>41</v>
      </c>
      <c r="U155">
        <v>0</v>
      </c>
      <c r="V155" s="79">
        <v>0</v>
      </c>
    </row>
    <row r="156" spans="1:22" s="10" customFormat="1" x14ac:dyDescent="0.25">
      <c r="A156" s="9" t="str" cm="1">
        <f t="array" ref="A156">IFERROR(LOOKUP(2,1/([1]maestro!I:I=H156),[1]maestro!B:B),"")</f>
        <v/>
      </c>
      <c r="B156" s="10" t="str">
        <f>TEXT(A156,"mmmm")</f>
        <v/>
      </c>
      <c r="C156" s="11">
        <v>130</v>
      </c>
      <c r="D156" s="12" t="s">
        <v>411</v>
      </c>
      <c r="E156" s="13" t="str">
        <f>PROPER(D156)</f>
        <v>Ivonne Aguirre</v>
      </c>
      <c r="G156" s="14" t="str">
        <f>CONCATENATE('[1]Clientes Inactivos'!$G$1,H156)</f>
        <v>573103019618</v>
      </c>
      <c r="H156" s="13">
        <v>3103019618</v>
      </c>
      <c r="I156" s="15">
        <v>280</v>
      </c>
      <c r="J156" s="15">
        <v>280</v>
      </c>
      <c r="K156" s="15">
        <f>+J156*7</f>
        <v>1960</v>
      </c>
      <c r="L156" s="16">
        <f>K156/I156</f>
        <v>7</v>
      </c>
      <c r="M156" s="17">
        <f>K156/J156</f>
        <v>7</v>
      </c>
      <c r="N156" s="18" t="e">
        <f>(A156+M156)</f>
        <v>#VALUE!</v>
      </c>
      <c r="O156" s="13">
        <f>+Tabla2[[#This Row],[CODIGO]]</f>
        <v>130</v>
      </c>
      <c r="P156" s="19">
        <f>R156/Q156*1000</f>
        <v>5102.0408163265301</v>
      </c>
      <c r="Q156" s="10">
        <f>K156</f>
        <v>1960</v>
      </c>
      <c r="R156" s="20">
        <v>10000</v>
      </c>
      <c r="S156" s="10" t="s">
        <v>412</v>
      </c>
      <c r="T156" s="10" t="s">
        <v>413</v>
      </c>
      <c r="U156">
        <v>0</v>
      </c>
      <c r="V156" s="79">
        <v>0</v>
      </c>
    </row>
    <row r="157" spans="1:22" s="10" customFormat="1" x14ac:dyDescent="0.25">
      <c r="A157" s="21" cm="1">
        <f t="array" ref="A157">IFERROR(LOOKUP(2,1/([1]maestro!I:I=H157),[1]maestro!B:B),"")</f>
        <v>46036</v>
      </c>
      <c r="B157" s="22" t="str">
        <f>TEXT(A157,"mmmm")</f>
        <v>enero</v>
      </c>
      <c r="C157" s="23">
        <v>131</v>
      </c>
      <c r="D157" s="32" t="s">
        <v>414</v>
      </c>
      <c r="E157" s="24" t="str">
        <f>PROPER(D157)</f>
        <v>Jaime Rolando Ayala Garcia</v>
      </c>
      <c r="F157" s="22"/>
      <c r="G157" s="25" t="str">
        <f>CONCATENATE('[1]Clientes Inactivos'!$G$1,H157)</f>
        <v>573123775027</v>
      </c>
      <c r="H157" s="24">
        <v>3123775027</v>
      </c>
      <c r="I157" s="33">
        <v>100</v>
      </c>
      <c r="J157" s="33">
        <v>200</v>
      </c>
      <c r="K157" s="33">
        <f>+J157*15</f>
        <v>3000</v>
      </c>
      <c r="L157" s="34">
        <f>K157/I157</f>
        <v>30</v>
      </c>
      <c r="M157" s="35">
        <f>K157/J157</f>
        <v>15</v>
      </c>
      <c r="N157" s="28">
        <f>(A157+M157)</f>
        <v>46051</v>
      </c>
      <c r="O157" s="24">
        <f>+Tabla2[[#This Row],[CODIGO]]</f>
        <v>131</v>
      </c>
      <c r="P157" s="26">
        <f>R157/Q157*1000</f>
        <v>40000</v>
      </c>
      <c r="Q157" s="22">
        <f>K157</f>
        <v>3000</v>
      </c>
      <c r="R157" s="30">
        <v>120000</v>
      </c>
      <c r="S157" s="22" t="s">
        <v>415</v>
      </c>
      <c r="T157" s="22" t="s">
        <v>416</v>
      </c>
      <c r="U157">
        <v>0</v>
      </c>
      <c r="V157" s="79">
        <v>0</v>
      </c>
    </row>
    <row r="158" spans="1:22" s="10" customFormat="1" x14ac:dyDescent="0.25">
      <c r="A158" s="21" cm="1">
        <f t="array" ref="A158">IFERROR(LOOKUP(2,1/([1]maestro!I:I=H158),[1]maestro!B:B),"")</f>
        <v>46057</v>
      </c>
      <c r="B158" s="22" t="str">
        <f>TEXT(A158,"mmmm")</f>
        <v>febrero</v>
      </c>
      <c r="C158" s="23">
        <v>133</v>
      </c>
      <c r="D158" s="32" t="s">
        <v>420</v>
      </c>
      <c r="E158" s="24" t="str">
        <f>PROPER(D158)</f>
        <v>Javier Diaz</v>
      </c>
      <c r="F158" s="22"/>
      <c r="G158" s="25" t="str">
        <f>CONCATENATE($G$1,H158)</f>
        <v>573205179480</v>
      </c>
      <c r="H158" s="24">
        <v>3205179480</v>
      </c>
      <c r="I158" s="33">
        <v>80</v>
      </c>
      <c r="J158" s="33">
        <f>+Tabla2[[#This Row],[POR COMIDA]]*3</f>
        <v>240</v>
      </c>
      <c r="K158" s="33">
        <f>+J158*7</f>
        <v>1680</v>
      </c>
      <c r="L158" s="34">
        <f>K158/I158</f>
        <v>21</v>
      </c>
      <c r="M158" s="35">
        <f>K158/J158</f>
        <v>7</v>
      </c>
      <c r="N158" s="28">
        <f>(A158+M158)</f>
        <v>46064</v>
      </c>
      <c r="O158" s="24">
        <f>+Tabla2[[#This Row],[CODIGO]]</f>
        <v>133</v>
      </c>
      <c r="P158" s="26">
        <f>R158/Q158*1000</f>
        <v>41964.285714285717</v>
      </c>
      <c r="Q158" s="22">
        <f>K158</f>
        <v>1680</v>
      </c>
      <c r="R158" s="27">
        <v>70500</v>
      </c>
      <c r="S158" s="22" t="s">
        <v>421</v>
      </c>
      <c r="T158" s="22" t="s">
        <v>422</v>
      </c>
      <c r="U158">
        <v>0</v>
      </c>
      <c r="V158" s="79">
        <v>0</v>
      </c>
    </row>
    <row r="159" spans="1:22" s="10" customFormat="1" x14ac:dyDescent="0.25">
      <c r="A159" s="21" cm="1">
        <f t="array" ref="A159">IFERROR(LOOKUP(2,1/([1]maestro!I:I=H159),[1]maestro!B:B),"")</f>
        <v>46038</v>
      </c>
      <c r="B159" s="22" t="str">
        <f>TEXT(A159,"mmmm")</f>
        <v>enero</v>
      </c>
      <c r="C159" s="23">
        <v>132</v>
      </c>
      <c r="D159" s="22" t="s">
        <v>417</v>
      </c>
      <c r="E159" s="24" t="str">
        <f>PROPER(D159)</f>
        <v>Jairo Rosas Hernandez</v>
      </c>
      <c r="F159" s="22" t="s">
        <v>66</v>
      </c>
      <c r="G159" s="25" t="str">
        <f>CONCATENATE($G$1,H159)</f>
        <v>573053122534</v>
      </c>
      <c r="H159" s="24">
        <v>3053122534</v>
      </c>
      <c r="I159" s="24">
        <v>200</v>
      </c>
      <c r="J159" s="24">
        <v>400</v>
      </c>
      <c r="K159" s="24">
        <v>6000</v>
      </c>
      <c r="L159" s="24">
        <f>K159/I159</f>
        <v>30</v>
      </c>
      <c r="M159" s="24">
        <f>K159/J159</f>
        <v>15</v>
      </c>
      <c r="N159" s="28">
        <f>(A159+M159)</f>
        <v>46053</v>
      </c>
      <c r="O159" s="24">
        <f>+Tabla2[[#This Row],[CODIGO]]</f>
        <v>132</v>
      </c>
      <c r="P159" s="26">
        <f>R159/Q159*1000</f>
        <v>30000</v>
      </c>
      <c r="Q159" s="22">
        <f>K159</f>
        <v>6000</v>
      </c>
      <c r="R159" s="27">
        <v>180000</v>
      </c>
      <c r="S159" s="22" t="s">
        <v>418</v>
      </c>
      <c r="T159" s="22" t="s">
        <v>419</v>
      </c>
      <c r="U159">
        <v>0</v>
      </c>
      <c r="V159" s="79">
        <v>180000</v>
      </c>
    </row>
    <row r="160" spans="1:22" s="22" customFormat="1" x14ac:dyDescent="0.25">
      <c r="A160" s="21" cm="1">
        <f t="array" ref="A160">IFERROR(LOOKUP(2,1/([1]maestro!I:I=H160),[1]maestro!B:B),"")</f>
        <v>46037</v>
      </c>
      <c r="B160" s="22" t="str">
        <f>TEXT(A160,"mmmm")</f>
        <v>enero</v>
      </c>
      <c r="C160" s="23">
        <v>136</v>
      </c>
      <c r="D160" s="22" t="s">
        <v>429</v>
      </c>
      <c r="E160" s="24" t="str">
        <f>PROPER(D160)</f>
        <v>Jessica Cabrera</v>
      </c>
      <c r="G160" s="25" t="str">
        <f>CONCATENATE($G$1,H160)</f>
        <v>573012828335</v>
      </c>
      <c r="H160" s="24">
        <v>3012828335</v>
      </c>
      <c r="I160" s="24">
        <v>250</v>
      </c>
      <c r="J160" s="24">
        <v>250</v>
      </c>
      <c r="K160" s="24">
        <v>3750</v>
      </c>
      <c r="L160" s="24">
        <f>K160/I160</f>
        <v>15</v>
      </c>
      <c r="M160" s="24">
        <f>K160/J160</f>
        <v>15</v>
      </c>
      <c r="N160" s="28">
        <f>(A160+M160)</f>
        <v>46052</v>
      </c>
      <c r="O160" s="24">
        <f>+Tabla2[[#This Row],[CODIGO]]</f>
        <v>136</v>
      </c>
      <c r="P160" s="26">
        <f>R160/Q160*1000</f>
        <v>32000</v>
      </c>
      <c r="Q160" s="22">
        <f>K160</f>
        <v>3750</v>
      </c>
      <c r="R160" s="30">
        <v>120000</v>
      </c>
      <c r="S160" s="22" t="s">
        <v>430</v>
      </c>
      <c r="T160" s="22" t="s">
        <v>431</v>
      </c>
      <c r="U160">
        <v>0</v>
      </c>
      <c r="V160" s="79">
        <v>0</v>
      </c>
    </row>
    <row r="161" spans="1:22" s="10" customFormat="1" x14ac:dyDescent="0.25">
      <c r="A161" s="21" cm="1">
        <f t="array" ref="A161">IFERROR(LOOKUP(2,1/([1]maestro!I:I=H161),[1]maestro!B:B),"")</f>
        <v>46044</v>
      </c>
      <c r="B161" s="22" t="str">
        <f>TEXT(A161,"mmmm")</f>
        <v>enero</v>
      </c>
      <c r="C161" s="23">
        <v>134</v>
      </c>
      <c r="D161" s="22" t="s">
        <v>423</v>
      </c>
      <c r="E161" s="24" t="str">
        <f>PROPER(D161)</f>
        <v xml:space="preserve">Jeimmy Pinzon </v>
      </c>
      <c r="F161" s="22"/>
      <c r="G161" s="25" t="str">
        <f>CONCATENATE($G$1,H161)</f>
        <v>573133669967</v>
      </c>
      <c r="H161" s="24">
        <v>3133669967</v>
      </c>
      <c r="I161" s="24">
        <v>113</v>
      </c>
      <c r="J161" s="24">
        <v>339</v>
      </c>
      <c r="K161" s="33">
        <f>+J161*30</f>
        <v>10170</v>
      </c>
      <c r="L161" s="25">
        <f>K161/I161</f>
        <v>90</v>
      </c>
      <c r="M161" s="25">
        <f>K161/J161</f>
        <v>30</v>
      </c>
      <c r="N161" s="28">
        <f>(A161+M161)</f>
        <v>46074</v>
      </c>
      <c r="O161" s="24">
        <f>+Tabla2[[#This Row],[CODIGO]]</f>
        <v>134</v>
      </c>
      <c r="P161" s="26">
        <f>R161/Q161*1000</f>
        <v>38112.094395280241</v>
      </c>
      <c r="Q161" s="22">
        <f>K161</f>
        <v>10170</v>
      </c>
      <c r="R161" s="27">
        <v>387600</v>
      </c>
      <c r="S161" s="22" t="s">
        <v>424</v>
      </c>
      <c r="T161" s="22" t="s">
        <v>425</v>
      </c>
      <c r="U161">
        <v>0</v>
      </c>
      <c r="V161" s="79">
        <v>387600</v>
      </c>
    </row>
    <row r="162" spans="1:22" s="10" customFormat="1" x14ac:dyDescent="0.25">
      <c r="A162" s="21" cm="1">
        <f t="array" ref="A162">IFERROR(LOOKUP(2,1/([1]maestro!I:I=H162),[1]maestro!B:B),"")</f>
        <v>46048</v>
      </c>
      <c r="B162" s="22" t="str">
        <f>TEXT(A162,"mmmm")</f>
        <v>enero</v>
      </c>
      <c r="C162" s="23">
        <v>137</v>
      </c>
      <c r="D162" s="22" t="s">
        <v>432</v>
      </c>
      <c r="E162" s="24" t="str">
        <f>PROPER(D162)</f>
        <v>Jessica Moreno 48</v>
      </c>
      <c r="F162" s="22"/>
      <c r="G162" s="25" t="str">
        <f>CONCATENATE($G$1,H162)</f>
        <v>573505658503</v>
      </c>
      <c r="H162" s="24">
        <v>3505658503</v>
      </c>
      <c r="I162" s="33">
        <v>48</v>
      </c>
      <c r="J162" s="33">
        <f>48*3</f>
        <v>144</v>
      </c>
      <c r="K162" s="33">
        <f>48*45</f>
        <v>2160</v>
      </c>
      <c r="L162" s="24">
        <f>K162/I162</f>
        <v>45</v>
      </c>
      <c r="M162" s="24">
        <f>K162/J162</f>
        <v>15</v>
      </c>
      <c r="N162" s="28">
        <f>(A162+M162)</f>
        <v>46063</v>
      </c>
      <c r="O162" s="24">
        <f>+Tabla2[[#This Row],[CODIGO]]</f>
        <v>137</v>
      </c>
      <c r="P162" s="26">
        <f>R162/Q162*1000</f>
        <v>49537.037037037036</v>
      </c>
      <c r="Q162" s="22">
        <f>K162</f>
        <v>2160</v>
      </c>
      <c r="R162" s="30">
        <v>107000</v>
      </c>
      <c r="S162" s="22" t="s">
        <v>433</v>
      </c>
      <c r="T162" s="22" t="s">
        <v>434</v>
      </c>
      <c r="U162">
        <v>0</v>
      </c>
      <c r="V162" s="79">
        <v>0</v>
      </c>
    </row>
    <row r="163" spans="1:22" s="10" customFormat="1" x14ac:dyDescent="0.25">
      <c r="A163" s="21" cm="1">
        <f t="array" ref="A163">IFERROR(LOOKUP(2,1/([1]maestro!I:I=H163),[1]maestro!B:B),"")</f>
        <v>46036</v>
      </c>
      <c r="B163" s="22" t="str">
        <f>TEXT(A163,"mmmm")</f>
        <v>enero</v>
      </c>
      <c r="C163" s="23">
        <v>138</v>
      </c>
      <c r="D163" s="32" t="s">
        <v>435</v>
      </c>
      <c r="E163" s="24" t="str">
        <f>PROPER(D163)</f>
        <v>Jessica Ortega</v>
      </c>
      <c r="F163" s="22"/>
      <c r="G163" s="25" t="str">
        <f>CONCATENATE($G$1,H163)</f>
        <v>573227137325</v>
      </c>
      <c r="H163" s="24">
        <v>3227137325</v>
      </c>
      <c r="I163" s="33">
        <v>70</v>
      </c>
      <c r="J163" s="33">
        <v>140</v>
      </c>
      <c r="K163" s="33">
        <f>+J163*15</f>
        <v>2100</v>
      </c>
      <c r="L163" s="34">
        <f>K163/I163</f>
        <v>30</v>
      </c>
      <c r="M163" s="35">
        <f>K163/J163</f>
        <v>15</v>
      </c>
      <c r="N163" s="28">
        <f>(A163+M163)</f>
        <v>46051</v>
      </c>
      <c r="O163" s="24">
        <f>+Tabla2[[#This Row],[CODIGO]]</f>
        <v>138</v>
      </c>
      <c r="P163" s="26">
        <f>R163/Q163*1000</f>
        <v>40000</v>
      </c>
      <c r="Q163" s="22">
        <f>K163</f>
        <v>2100</v>
      </c>
      <c r="R163" s="30">
        <v>84000</v>
      </c>
      <c r="S163" s="22" t="s">
        <v>436</v>
      </c>
      <c r="T163" s="22" t="s">
        <v>437</v>
      </c>
      <c r="U163">
        <v>0</v>
      </c>
      <c r="V163" s="79">
        <v>0</v>
      </c>
    </row>
    <row r="164" spans="1:22" s="10" customFormat="1" x14ac:dyDescent="0.25">
      <c r="A164" s="9" t="str" cm="1">
        <f t="array" ref="A164">IFERROR(LOOKUP(2,1/([1]maestro!I:I=H164),[1]maestro!B:B),"")</f>
        <v/>
      </c>
      <c r="B164" s="10" t="str">
        <f>TEXT(A164,"mmmm")</f>
        <v/>
      </c>
      <c r="C164" s="11">
        <v>139</v>
      </c>
      <c r="D164" s="12" t="s">
        <v>438</v>
      </c>
      <c r="E164" s="13" t="str">
        <f>PROPER(D164)</f>
        <v>Jhilmar Jhobany Sierra Mahecha</v>
      </c>
      <c r="G164" s="14" t="str">
        <f>CONCATENATE($G$1,H164)</f>
        <v>573144472686</v>
      </c>
      <c r="H164" s="13">
        <v>3144472686</v>
      </c>
      <c r="I164" s="15">
        <v>64</v>
      </c>
      <c r="J164" s="15">
        <v>190</v>
      </c>
      <c r="K164" s="15">
        <f>+J164*15</f>
        <v>2850</v>
      </c>
      <c r="L164" s="16">
        <f>K164/I164</f>
        <v>44.53125</v>
      </c>
      <c r="M164" s="17">
        <f>K164/J164</f>
        <v>15</v>
      </c>
      <c r="N164" s="18" t="e">
        <f>(A164+M164)</f>
        <v>#VALUE!</v>
      </c>
      <c r="O164" s="13">
        <f>+Tabla2[[#This Row],[CODIGO]]</f>
        <v>139</v>
      </c>
      <c r="P164" s="19">
        <f>R164/Q164*1000</f>
        <v>46877.192982456138</v>
      </c>
      <c r="Q164" s="10">
        <f>K164</f>
        <v>2850</v>
      </c>
      <c r="R164" s="20">
        <v>133600</v>
      </c>
      <c r="S164" s="10" t="s">
        <v>439</v>
      </c>
      <c r="U164">
        <v>0</v>
      </c>
      <c r="V164" s="79">
        <v>0</v>
      </c>
    </row>
    <row r="165" spans="1:22" s="10" customFormat="1" x14ac:dyDescent="0.25">
      <c r="A165" s="21" cm="1">
        <f t="array" ref="A165">IFERROR(LOOKUP(2,1/([1]maestro!I:I=H165),[1]maestro!B:B),"")</f>
        <v>46038</v>
      </c>
      <c r="B165" s="22" t="str">
        <f>TEXT(A165,"mmmm")</f>
        <v>enero</v>
      </c>
      <c r="C165" s="23">
        <v>142</v>
      </c>
      <c r="D165" s="22" t="s">
        <v>445</v>
      </c>
      <c r="E165" s="24" t="str">
        <f>PROPER(D165)</f>
        <v>Jhon Fredy Meneses Leal</v>
      </c>
      <c r="F165" s="22"/>
      <c r="G165" s="25" t="str">
        <f>CONCATENATE($G$1,H165)</f>
        <v>573193174586</v>
      </c>
      <c r="H165" s="24">
        <v>3193174586</v>
      </c>
      <c r="I165" s="33">
        <v>110</v>
      </c>
      <c r="J165" s="33">
        <v>220</v>
      </c>
      <c r="K165" s="33">
        <v>3300</v>
      </c>
      <c r="L165" s="24">
        <f>K165/I165</f>
        <v>30</v>
      </c>
      <c r="M165" s="24">
        <f>K165/J165</f>
        <v>15</v>
      </c>
      <c r="N165" s="28">
        <f>(A165+M165)</f>
        <v>46053</v>
      </c>
      <c r="O165" s="24">
        <f>+Tabla2[[#This Row],[CODIGO]]</f>
        <v>142</v>
      </c>
      <c r="P165" s="26">
        <v>36000</v>
      </c>
      <c r="Q165" s="22">
        <f>Tabla2[[#This Row],[POR PEDIDO]]</f>
        <v>3300</v>
      </c>
      <c r="R165" s="30">
        <v>128700</v>
      </c>
      <c r="S165" s="22" t="s">
        <v>446</v>
      </c>
      <c r="T165" s="22" t="s">
        <v>447</v>
      </c>
      <c r="U165">
        <v>0</v>
      </c>
      <c r="V165" s="79">
        <v>0</v>
      </c>
    </row>
    <row r="166" spans="1:22" s="10" customFormat="1" x14ac:dyDescent="0.25">
      <c r="A166" s="21" cm="1">
        <f t="array" ref="A166">IFERROR(LOOKUP(2,1/([1]maestro!I:I=H166),[1]maestro!B:B),"")</f>
        <v>46037</v>
      </c>
      <c r="B166" s="22" t="str">
        <f>TEXT(A166,"mmmm")</f>
        <v>enero</v>
      </c>
      <c r="C166" s="23">
        <v>144</v>
      </c>
      <c r="D166" s="32" t="s">
        <v>451</v>
      </c>
      <c r="E166" s="24" t="str">
        <f>PROPER(D166)</f>
        <v>Jineth Veronica Florez Gonzalez</v>
      </c>
      <c r="F166" s="22"/>
      <c r="G166" s="25" t="str">
        <f>CONCATENATE($G$1,H166)</f>
        <v>573209504332</v>
      </c>
      <c r="H166" s="24">
        <v>3209504332</v>
      </c>
      <c r="I166" s="33">
        <v>70</v>
      </c>
      <c r="J166" s="33">
        <v>140</v>
      </c>
      <c r="K166" s="33">
        <f>+J166*15</f>
        <v>2100</v>
      </c>
      <c r="L166" s="34">
        <f>K166/I166</f>
        <v>30</v>
      </c>
      <c r="M166" s="35">
        <f>K166/J166</f>
        <v>15</v>
      </c>
      <c r="N166" s="28">
        <f>(A166+M166)</f>
        <v>46052</v>
      </c>
      <c r="O166" s="24">
        <f>+Tabla2[[#This Row],[CODIGO]]</f>
        <v>144</v>
      </c>
      <c r="P166" s="26">
        <f>R166/Q166*1000</f>
        <v>41000</v>
      </c>
      <c r="Q166" s="22">
        <f>K166</f>
        <v>2100</v>
      </c>
      <c r="R166" s="30">
        <v>86100</v>
      </c>
      <c r="S166" s="22" t="s">
        <v>452</v>
      </c>
      <c r="T166" s="22"/>
      <c r="U166">
        <v>0</v>
      </c>
      <c r="V166" s="79">
        <v>0</v>
      </c>
    </row>
    <row r="167" spans="1:22" s="10" customFormat="1" x14ac:dyDescent="0.25">
      <c r="A167" s="9" t="str" cm="1">
        <f t="array" ref="A167">IFERROR(LOOKUP(2,1/([1]maestro!I:I=H167),[1]maestro!B:B),"")</f>
        <v/>
      </c>
      <c r="B167" s="10" t="str">
        <f>TEXT(A167,"mmmm")</f>
        <v/>
      </c>
      <c r="C167" s="11">
        <v>145</v>
      </c>
      <c r="D167" s="12" t="s">
        <v>453</v>
      </c>
      <c r="E167" s="13" t="str">
        <f>PROPER(D167)</f>
        <v>Johan Ochoa Gaviria</v>
      </c>
      <c r="G167" s="14" t="str">
        <f>CONCATENATE($G$1,H167)</f>
        <v>573011360508</v>
      </c>
      <c r="H167" s="13">
        <v>3011360508</v>
      </c>
      <c r="I167" s="15">
        <v>95</v>
      </c>
      <c r="J167" s="15">
        <v>190</v>
      </c>
      <c r="K167" s="15">
        <f>+J167*7</f>
        <v>1330</v>
      </c>
      <c r="L167" s="16">
        <f>K167/I167</f>
        <v>14</v>
      </c>
      <c r="M167" s="17">
        <f>K167/J167</f>
        <v>7</v>
      </c>
      <c r="N167" s="18" t="e">
        <f>(A167+M167)</f>
        <v>#VALUE!</v>
      </c>
      <c r="O167" s="13">
        <f>+Tabla2[[#This Row],[CODIGO]]</f>
        <v>145</v>
      </c>
      <c r="P167" s="19">
        <f>R167/Q167*1000</f>
        <v>7518.7969924812032</v>
      </c>
      <c r="Q167" s="10">
        <f>K167</f>
        <v>1330</v>
      </c>
      <c r="R167" s="20">
        <v>10000</v>
      </c>
      <c r="S167" s="10" t="s">
        <v>454</v>
      </c>
      <c r="U167">
        <v>0</v>
      </c>
      <c r="V167" s="79">
        <v>0</v>
      </c>
    </row>
    <row r="168" spans="1:22" s="10" customFormat="1" x14ac:dyDescent="0.25">
      <c r="A168" s="9" cm="1">
        <f t="array" ref="A168">IFERROR(LOOKUP(2,1/([1]maestro!I:I=H168),[1]maestro!B:B),"")</f>
        <v>46043</v>
      </c>
      <c r="B168" s="10" t="str">
        <f>TEXT(A168,"mmmm")</f>
        <v>enero</v>
      </c>
      <c r="C168" s="11">
        <v>140</v>
      </c>
      <c r="D168" s="10" t="s">
        <v>440</v>
      </c>
      <c r="E168" s="13" t="str">
        <f>PROPER(D168)</f>
        <v>Jhoan Camilo Sanchez Valderrama</v>
      </c>
      <c r="G168" s="14" t="str">
        <f>CONCATENATE($G$1,H168)</f>
        <v>573123577008</v>
      </c>
      <c r="H168" s="13">
        <v>3123577008</v>
      </c>
      <c r="I168" s="13">
        <v>150</v>
      </c>
      <c r="J168" s="13">
        <v>150</v>
      </c>
      <c r="K168" s="13">
        <v>5000</v>
      </c>
      <c r="L168" s="14">
        <f>K168/I168</f>
        <v>33.333333333333336</v>
      </c>
      <c r="M168" s="13">
        <f>K168/J168</f>
        <v>33.333333333333336</v>
      </c>
      <c r="N168" s="18">
        <f>(A168+M168)</f>
        <v>46076.333333333336</v>
      </c>
      <c r="O168" s="13">
        <f>+Tabla2[[#This Row],[CODIGO]]</f>
        <v>140</v>
      </c>
      <c r="P168" s="19">
        <f>R168/Q168*1000</f>
        <v>23000</v>
      </c>
      <c r="Q168" s="10">
        <f>K168</f>
        <v>5000</v>
      </c>
      <c r="R168" s="20">
        <v>115000</v>
      </c>
      <c r="S168" s="10" t="s">
        <v>441</v>
      </c>
      <c r="U168">
        <v>0</v>
      </c>
      <c r="V168" s="79">
        <v>50000</v>
      </c>
    </row>
    <row r="169" spans="1:22" s="10" customFormat="1" x14ac:dyDescent="0.25">
      <c r="A169" s="21" cm="1">
        <f t="array" ref="A169">IFERROR(LOOKUP(2,1/([1]maestro!I:I=H169),[1]maestro!B:B),"")</f>
        <v>46038</v>
      </c>
      <c r="B169" s="22" t="str">
        <f>TEXT(A169,"mmmm")</f>
        <v>enero</v>
      </c>
      <c r="C169" s="23">
        <v>141</v>
      </c>
      <c r="D169" s="22" t="s">
        <v>442</v>
      </c>
      <c r="E169" s="24" t="str">
        <f>PROPER(D169)</f>
        <v>Jhon Bocanegra</v>
      </c>
      <c r="F169" s="22" t="s">
        <v>66</v>
      </c>
      <c r="G169" s="25" t="str">
        <f>CONCATENATE($G$1,H169)</f>
        <v>573142244660</v>
      </c>
      <c r="H169" s="24">
        <v>3142244660</v>
      </c>
      <c r="I169" s="24">
        <v>200</v>
      </c>
      <c r="J169" s="24">
        <v>400</v>
      </c>
      <c r="K169" s="24">
        <v>5000</v>
      </c>
      <c r="L169" s="24">
        <f>K169/I169</f>
        <v>25</v>
      </c>
      <c r="M169" s="24">
        <f>K169/J169</f>
        <v>12.5</v>
      </c>
      <c r="N169" s="28">
        <f>(A169+M169)</f>
        <v>46050.5</v>
      </c>
      <c r="O169" s="24">
        <f>+Tabla2[[#This Row],[CODIGO]]</f>
        <v>141</v>
      </c>
      <c r="P169" s="26">
        <f>R169/Q169*1000</f>
        <v>25000</v>
      </c>
      <c r="Q169" s="22">
        <f>K169</f>
        <v>5000</v>
      </c>
      <c r="R169" s="30">
        <v>125000</v>
      </c>
      <c r="S169" s="22" t="s">
        <v>443</v>
      </c>
      <c r="T169" s="22" t="s">
        <v>444</v>
      </c>
      <c r="U169">
        <v>0</v>
      </c>
      <c r="V169" s="79">
        <v>125000</v>
      </c>
    </row>
    <row r="170" spans="1:22" s="10" customFormat="1" x14ac:dyDescent="0.25">
      <c r="A170" s="9" t="str" cm="1">
        <f t="array" ref="A170">IFERROR(LOOKUP(2,1/([1]maestro!I:I=H170),[1]maestro!B:B),"")</f>
        <v/>
      </c>
      <c r="B170" s="10" t="str">
        <f>TEXT(A170,"mmmm")</f>
        <v/>
      </c>
      <c r="C170" s="11">
        <v>146</v>
      </c>
      <c r="D170" s="10" t="s">
        <v>455</v>
      </c>
      <c r="E170" s="13" t="str">
        <f>PROPER(D170)</f>
        <v>Johanna Echeverri Nuggets</v>
      </c>
      <c r="G170" s="14" t="str">
        <f>CONCATENATE($G$1,H170)</f>
        <v>573142555974</v>
      </c>
      <c r="H170" s="13">
        <v>3142555974</v>
      </c>
      <c r="I170" s="15">
        <v>500</v>
      </c>
      <c r="J170" s="15">
        <v>1500</v>
      </c>
      <c r="K170" s="15">
        <v>1500</v>
      </c>
      <c r="L170" s="16">
        <f>K170/I170</f>
        <v>3</v>
      </c>
      <c r="M170" s="17">
        <f>K170/J170</f>
        <v>1</v>
      </c>
      <c r="N170" s="18" t="e">
        <f>(A170+M170)</f>
        <v>#VALUE!</v>
      </c>
      <c r="O170" s="13">
        <f>+Tabla2[[#This Row],[CODIGO]]</f>
        <v>146</v>
      </c>
      <c r="P170" s="19">
        <f>R170/Q170*1000</f>
        <v>46666.666666666664</v>
      </c>
      <c r="Q170" s="10">
        <f>K170</f>
        <v>1500</v>
      </c>
      <c r="R170" s="29">
        <v>70000</v>
      </c>
      <c r="S170" s="10" t="s">
        <v>456</v>
      </c>
      <c r="T170" s="10" t="s">
        <v>457</v>
      </c>
      <c r="U170">
        <v>0</v>
      </c>
      <c r="V170" s="79">
        <v>0</v>
      </c>
    </row>
    <row r="171" spans="1:22" s="49" customFormat="1" x14ac:dyDescent="0.25">
      <c r="A171" s="48" cm="1">
        <f t="array" ref="A171">IFERROR(LOOKUP(2,1/([1]maestro!I:I=H171),[1]maestro!B:B),"")</f>
        <v>46042</v>
      </c>
      <c r="B171" s="49" t="str">
        <f>TEXT(A171,"mmmm")</f>
        <v>enero</v>
      </c>
      <c r="C171" s="50">
        <v>143</v>
      </c>
      <c r="D171" s="49" t="s">
        <v>448</v>
      </c>
      <c r="E171" s="51" t="str">
        <f>PROPER(D171)</f>
        <v>Jimmy Puentes 230</v>
      </c>
      <c r="G171" s="52" t="str">
        <f>CONCATENATE($G$1,H171)</f>
        <v>573106892868</v>
      </c>
      <c r="H171" s="51">
        <v>3106892868</v>
      </c>
      <c r="I171" s="51">
        <v>230</v>
      </c>
      <c r="J171" s="51">
        <v>230</v>
      </c>
      <c r="K171" s="51">
        <f>I171*10</f>
        <v>2300</v>
      </c>
      <c r="L171" s="51">
        <f>K171/I171</f>
        <v>10</v>
      </c>
      <c r="M171" s="51">
        <f>K171/J171</f>
        <v>10</v>
      </c>
      <c r="N171" s="53">
        <f>(A171+M171)</f>
        <v>46052</v>
      </c>
      <c r="O171" s="51">
        <f>+Tabla2[[#This Row],[CODIGO]]</f>
        <v>143</v>
      </c>
      <c r="P171" s="54">
        <f>R171/Q171*1000</f>
        <v>27000</v>
      </c>
      <c r="Q171" s="49">
        <f>K171</f>
        <v>2300</v>
      </c>
      <c r="R171" s="55">
        <v>62100</v>
      </c>
      <c r="S171" s="49" t="s">
        <v>449</v>
      </c>
      <c r="T171" s="49" t="s">
        <v>450</v>
      </c>
      <c r="U171">
        <v>0</v>
      </c>
      <c r="V171" s="79">
        <v>121900</v>
      </c>
    </row>
    <row r="172" spans="1:22" s="10" customFormat="1" x14ac:dyDescent="0.25">
      <c r="A172" s="9" t="str" cm="1">
        <f t="array" ref="A172">IFERROR(LOOKUP(2,1/([1]maestro!I:I=H172),[1]maestro!B:B),"")</f>
        <v/>
      </c>
      <c r="B172" s="10" t="str">
        <f>TEXT(A172,"mmmm")</f>
        <v/>
      </c>
      <c r="C172" s="11">
        <v>148</v>
      </c>
      <c r="D172" s="12" t="s">
        <v>461</v>
      </c>
      <c r="E172" s="13" t="str">
        <f>PROPER(D172)</f>
        <v>John Beltrán</v>
      </c>
      <c r="G172" s="14" t="str">
        <f>CONCATENATE($G$1,H172)</f>
        <v>573132549221</v>
      </c>
      <c r="H172" s="13">
        <v>3132549221</v>
      </c>
      <c r="I172" s="15">
        <v>210</v>
      </c>
      <c r="J172" s="15">
        <f>210*2</f>
        <v>420</v>
      </c>
      <c r="K172" s="15">
        <f>+J172*10</f>
        <v>4200</v>
      </c>
      <c r="L172" s="16">
        <f>K172/I172</f>
        <v>20</v>
      </c>
      <c r="M172" s="17">
        <f>K172/J172</f>
        <v>10</v>
      </c>
      <c r="N172" s="18" t="e">
        <f>(A172+M172)</f>
        <v>#VALUE!</v>
      </c>
      <c r="O172" s="13">
        <f>+Tabla2[[#This Row],[CODIGO]]</f>
        <v>148</v>
      </c>
      <c r="P172" s="19">
        <f>R172/Q172*1000</f>
        <v>39071.428571428572</v>
      </c>
      <c r="Q172" s="10">
        <f>K172</f>
        <v>4200</v>
      </c>
      <c r="R172" s="20">
        <v>164100</v>
      </c>
      <c r="S172" s="10" t="s">
        <v>462</v>
      </c>
      <c r="U172">
        <v>0</v>
      </c>
      <c r="V172" s="79">
        <v>0</v>
      </c>
    </row>
    <row r="173" spans="1:22" s="10" customFormat="1" x14ac:dyDescent="0.25">
      <c r="A173" s="9" cm="1">
        <f t="array" ref="A173">IFERROR(LOOKUP(2,1/([1]maestro!I:I=H173),[1]maestro!B:B),"")</f>
        <v>46038</v>
      </c>
      <c r="B173" s="10" t="str">
        <f>TEXT(A173,"mmmm")</f>
        <v>enero</v>
      </c>
      <c r="C173" s="11">
        <v>149</v>
      </c>
      <c r="D173" s="12" t="s">
        <v>463</v>
      </c>
      <c r="E173" s="13" t="str">
        <f>PROPER(D173)</f>
        <v>John Bernal Castañeda Vs</v>
      </c>
      <c r="G173" s="14" t="str">
        <f>CONCATENATE($G$1,H173)</f>
        <v>57318 8972079</v>
      </c>
      <c r="H173" s="13" t="s">
        <v>464</v>
      </c>
      <c r="I173" s="15">
        <v>50</v>
      </c>
      <c r="J173" s="15">
        <v>100</v>
      </c>
      <c r="K173" s="15">
        <f>+J173*15</f>
        <v>1500</v>
      </c>
      <c r="L173" s="16">
        <f>K173/I173</f>
        <v>30</v>
      </c>
      <c r="M173" s="17">
        <f>K173/J173</f>
        <v>15</v>
      </c>
      <c r="N173" s="18">
        <f>(A173+M173)</f>
        <v>46053</v>
      </c>
      <c r="O173" s="13">
        <f>+Tabla2[[#This Row],[CODIGO]]</f>
        <v>149</v>
      </c>
      <c r="P173" s="19">
        <f>R173/Q173*1000</f>
        <v>58000</v>
      </c>
      <c r="Q173" s="10">
        <f>K173</f>
        <v>1500</v>
      </c>
      <c r="R173" s="20">
        <v>87000</v>
      </c>
      <c r="S173" s="10" t="s">
        <v>465</v>
      </c>
      <c r="T173" s="10" t="s">
        <v>466</v>
      </c>
      <c r="U173">
        <v>0</v>
      </c>
      <c r="V173" s="79">
        <v>0</v>
      </c>
    </row>
    <row r="174" spans="1:22" s="10" customFormat="1" x14ac:dyDescent="0.25">
      <c r="A174" s="9" t="str" cm="1">
        <f t="array" ref="A174">IFERROR(LOOKUP(2,1/([1]maestro!I:I=H174),[1]maestro!B:B),"")</f>
        <v/>
      </c>
      <c r="B174" s="10" t="str">
        <f>TEXT(A174,"mmmm")</f>
        <v/>
      </c>
      <c r="C174" s="11">
        <v>151</v>
      </c>
      <c r="D174" s="10" t="s">
        <v>470</v>
      </c>
      <c r="E174" s="13" t="str">
        <f>PROPER(D174)</f>
        <v>John Hernandez</v>
      </c>
      <c r="G174" s="14" t="str">
        <f>CONCATENATE($G$1,H174)</f>
        <v>573142555974</v>
      </c>
      <c r="H174" s="13">
        <v>3142555974</v>
      </c>
      <c r="I174" s="13">
        <v>90</v>
      </c>
      <c r="J174" s="13">
        <v>180</v>
      </c>
      <c r="K174" s="15">
        <f>+J174*30</f>
        <v>5400</v>
      </c>
      <c r="L174" s="13">
        <f>K174/I174</f>
        <v>60</v>
      </c>
      <c r="M174" s="13">
        <f>K174/J174</f>
        <v>30</v>
      </c>
      <c r="N174" s="18" t="e">
        <f>(A174+M174)</f>
        <v>#VALUE!</v>
      </c>
      <c r="O174" s="13">
        <f>+Tabla2[[#This Row],[CODIGO]]</f>
        <v>151</v>
      </c>
      <c r="P174" s="19">
        <f>R174/Q174*1000</f>
        <v>22000</v>
      </c>
      <c r="Q174" s="10">
        <f>K174</f>
        <v>5400</v>
      </c>
      <c r="R174" s="20">
        <v>118800</v>
      </c>
      <c r="S174" s="10" t="s">
        <v>456</v>
      </c>
      <c r="T174" s="10" t="s">
        <v>471</v>
      </c>
      <c r="U174">
        <v>0</v>
      </c>
      <c r="V174" s="79">
        <v>0</v>
      </c>
    </row>
    <row r="175" spans="1:22" s="10" customFormat="1" x14ac:dyDescent="0.25">
      <c r="A175" s="9" cm="1">
        <f t="array" ref="A175">IFERROR(LOOKUP(2,1/([1]maestro!I:I=H175),[1]maestro!B:B),"")</f>
        <v>46042</v>
      </c>
      <c r="B175" s="10" t="str">
        <f>TEXT(A175,"mmmm")</f>
        <v>enero</v>
      </c>
      <c r="C175" s="11">
        <v>147</v>
      </c>
      <c r="D175" s="10" t="s">
        <v>458</v>
      </c>
      <c r="E175" s="13" t="str">
        <f>PROPER(D175)</f>
        <v>John Barbosa Hernandez</v>
      </c>
      <c r="F175" s="15"/>
      <c r="G175" s="14" t="str">
        <f>CONCATENATE('[1]Clientes Inactivos'!$G$1,H175)</f>
        <v>573015619872</v>
      </c>
      <c r="H175" s="13">
        <v>3015619872</v>
      </c>
      <c r="I175" s="13">
        <v>58</v>
      </c>
      <c r="J175" s="13">
        <v>58</v>
      </c>
      <c r="K175" s="13">
        <f>15*58</f>
        <v>870</v>
      </c>
      <c r="L175" s="13">
        <f>K175/I175</f>
        <v>15</v>
      </c>
      <c r="M175" s="13">
        <f>K175/J175</f>
        <v>15</v>
      </c>
      <c r="N175" s="18">
        <f>(A175+M175)</f>
        <v>46057</v>
      </c>
      <c r="O175" s="13">
        <f>+Tabla2[[#This Row],[CODIGO]]</f>
        <v>147</v>
      </c>
      <c r="P175" s="19">
        <f>R175/Q175*1000</f>
        <v>55000</v>
      </c>
      <c r="Q175" s="10">
        <f>K175</f>
        <v>870</v>
      </c>
      <c r="R175" s="20">
        <v>47850</v>
      </c>
      <c r="S175" s="10" t="s">
        <v>459</v>
      </c>
      <c r="T175" s="10" t="s">
        <v>460</v>
      </c>
      <c r="U175">
        <v>0</v>
      </c>
      <c r="V175" s="79">
        <v>36000</v>
      </c>
    </row>
    <row r="176" spans="1:22" s="10" customFormat="1" x14ac:dyDescent="0.25">
      <c r="A176" s="9" t="str" cm="1">
        <f t="array" ref="A176">IFERROR(LOOKUP(2,1/([1]maestro!I:I=H176),[1]maestro!B:B),"")</f>
        <v/>
      </c>
      <c r="B176" s="10" t="str">
        <f>TEXT(A176,"mmmm")</f>
        <v/>
      </c>
      <c r="C176" s="11">
        <v>151</v>
      </c>
      <c r="D176" s="10" t="s">
        <v>472</v>
      </c>
      <c r="E176" s="13" t="str">
        <f>PROPER(D176)</f>
        <v>John Hernandez Nuggets</v>
      </c>
      <c r="G176" s="14" t="str">
        <f>CONCATENATE($G$1,H176)</f>
        <v>573142555974</v>
      </c>
      <c r="H176" s="13">
        <v>3142555974</v>
      </c>
      <c r="I176" s="15">
        <v>500</v>
      </c>
      <c r="J176" s="15">
        <v>1500</v>
      </c>
      <c r="K176" s="15">
        <v>1500</v>
      </c>
      <c r="L176" s="16">
        <f>K176/I176</f>
        <v>3</v>
      </c>
      <c r="M176" s="17">
        <f>K176/J176</f>
        <v>1</v>
      </c>
      <c r="N176" s="18" t="e">
        <f>(A176+M176)</f>
        <v>#VALUE!</v>
      </c>
      <c r="O176" s="13">
        <f>+Tabla2[[#This Row],[CODIGO]]</f>
        <v>151</v>
      </c>
      <c r="P176" s="19"/>
      <c r="R176" s="29">
        <v>35000</v>
      </c>
      <c r="S176" s="10" t="s">
        <v>456</v>
      </c>
      <c r="T176" s="10" t="s">
        <v>457</v>
      </c>
      <c r="U176">
        <v>0</v>
      </c>
      <c r="V176" s="79">
        <v>0</v>
      </c>
    </row>
    <row r="177" spans="1:22" s="10" customFormat="1" x14ac:dyDescent="0.25">
      <c r="A177" s="21" cm="1">
        <f t="array" ref="A177">IFERROR(LOOKUP(2,1/([1]maestro!I:I=H177),[1]maestro!B:B),"")</f>
        <v>46038</v>
      </c>
      <c r="B177" s="22" t="str">
        <f>TEXT(A177,"mmmm")</f>
        <v>enero</v>
      </c>
      <c r="C177" s="23">
        <v>153</v>
      </c>
      <c r="D177" s="22" t="s">
        <v>476</v>
      </c>
      <c r="E177" s="24" t="str">
        <f>PROPER(D177)</f>
        <v>Jonathan Lopez Puerta</v>
      </c>
      <c r="F177" s="22"/>
      <c r="G177" s="25" t="str">
        <f>CONCATENATE($G$1,H177)</f>
        <v>573182279041</v>
      </c>
      <c r="H177" s="24">
        <v>3182279041</v>
      </c>
      <c r="I177" s="24">
        <v>150</v>
      </c>
      <c r="J177" s="24">
        <v>150</v>
      </c>
      <c r="K177" s="24">
        <f>150*15</f>
        <v>2250</v>
      </c>
      <c r="L177" s="24">
        <f>K177/I177</f>
        <v>15</v>
      </c>
      <c r="M177" s="24">
        <f>K177/J177</f>
        <v>15</v>
      </c>
      <c r="N177" s="28">
        <f>(A177+M177)</f>
        <v>46053</v>
      </c>
      <c r="O177" s="24">
        <f>+Tabla2[[#This Row],[CODIGO]]</f>
        <v>153</v>
      </c>
      <c r="P177" s="26">
        <f>R177/Q177*1000</f>
        <v>30000</v>
      </c>
      <c r="Q177" s="22">
        <f>K177</f>
        <v>2250</v>
      </c>
      <c r="R177" s="30">
        <v>67500</v>
      </c>
      <c r="S177" s="22" t="s">
        <v>477</v>
      </c>
      <c r="T177" s="22" t="s">
        <v>478</v>
      </c>
      <c r="U177">
        <v>0</v>
      </c>
      <c r="V177" s="79">
        <v>0</v>
      </c>
    </row>
    <row r="178" spans="1:22" s="10" customFormat="1" x14ac:dyDescent="0.25">
      <c r="A178" s="21" cm="1">
        <f t="array" ref="A178">IFERROR(LOOKUP(2,1/([1]maestro!I:I=H178),[1]maestro!B:B),"")</f>
        <v>46038</v>
      </c>
      <c r="B178" s="22" t="str">
        <f>TEXT(A178,"mmmm")</f>
        <v>enero</v>
      </c>
      <c r="C178" s="23">
        <v>150</v>
      </c>
      <c r="D178" s="22" t="s">
        <v>467</v>
      </c>
      <c r="E178" s="24" t="str">
        <f>PROPER(D178)</f>
        <v>John Fernando Rivera Rincón</v>
      </c>
      <c r="F178" s="22"/>
      <c r="G178" s="25" t="str">
        <f>CONCATENATE($G$1,H178)</f>
        <v>573002431647</v>
      </c>
      <c r="H178" s="24">
        <v>3002431647</v>
      </c>
      <c r="I178" s="33">
        <v>155</v>
      </c>
      <c r="J178" s="33">
        <v>310</v>
      </c>
      <c r="K178" s="33">
        <v>4650</v>
      </c>
      <c r="L178" s="24">
        <f>K178/I178</f>
        <v>30</v>
      </c>
      <c r="M178" s="24">
        <f>K178/J178</f>
        <v>15</v>
      </c>
      <c r="N178" s="28">
        <f>(A178+M178)</f>
        <v>46053</v>
      </c>
      <c r="O178" s="24">
        <f>+Tabla2[[#This Row],[CODIGO]]</f>
        <v>150</v>
      </c>
      <c r="P178" s="26">
        <f>R178/Q178*1000</f>
        <v>38709.677419354841</v>
      </c>
      <c r="Q178" s="22">
        <f>K178</f>
        <v>4650</v>
      </c>
      <c r="R178" s="30">
        <v>180000</v>
      </c>
      <c r="S178" s="22" t="s">
        <v>468</v>
      </c>
      <c r="T178" s="22" t="s">
        <v>469</v>
      </c>
      <c r="U178">
        <v>0</v>
      </c>
      <c r="V178" s="79">
        <v>162750</v>
      </c>
    </row>
    <row r="179" spans="1:22" s="10" customFormat="1" x14ac:dyDescent="0.25">
      <c r="A179" s="21" cm="1">
        <f t="array" ref="A179">IFERROR(LOOKUP(2,1/([1]maestro!I:I=H179),[1]maestro!B:B),"")</f>
        <v>46041</v>
      </c>
      <c r="B179" s="22" t="str">
        <f>TEXT(A179,"mmmm")</f>
        <v>enero</v>
      </c>
      <c r="C179" s="23">
        <v>154</v>
      </c>
      <c r="D179" s="22" t="s">
        <v>479</v>
      </c>
      <c r="E179" s="24" t="str">
        <f>PROPER(D179)</f>
        <v>Jorge Patarroyo 140</v>
      </c>
      <c r="F179" s="22"/>
      <c r="G179" s="25" t="str">
        <f>CONCATENATE($G$1,H179)</f>
        <v>573160496529</v>
      </c>
      <c r="H179" s="24">
        <v>3160496529</v>
      </c>
      <c r="I179" s="24">
        <v>140</v>
      </c>
      <c r="J179" s="24">
        <v>140</v>
      </c>
      <c r="K179" s="15">
        <f>+J179*30</f>
        <v>4200</v>
      </c>
      <c r="L179" s="24">
        <f>K179/I179</f>
        <v>30</v>
      </c>
      <c r="M179" s="24">
        <f>K179/J179</f>
        <v>30</v>
      </c>
      <c r="N179" s="28">
        <f>(A179+M179)</f>
        <v>46071</v>
      </c>
      <c r="O179" s="24">
        <f>+Tabla2[[#This Row],[CODIGO]]</f>
        <v>154</v>
      </c>
      <c r="P179" s="26">
        <f>R179/Q179*1000</f>
        <v>30000</v>
      </c>
      <c r="Q179" s="22">
        <f>K179</f>
        <v>4200</v>
      </c>
      <c r="R179" s="27">
        <v>126000</v>
      </c>
      <c r="S179" s="22" t="s">
        <v>480</v>
      </c>
      <c r="T179" s="22" t="s">
        <v>481</v>
      </c>
      <c r="U179">
        <v>0</v>
      </c>
      <c r="V179" s="79">
        <v>0</v>
      </c>
    </row>
    <row r="180" spans="1:22" s="10" customFormat="1" x14ac:dyDescent="0.25">
      <c r="A180" s="9" cm="1">
        <f t="array" ref="A180">IFERROR(LOOKUP(2,1/([1]maestro!I:I=H180),[1]maestro!B:B),"")</f>
        <v>46041</v>
      </c>
      <c r="B180" s="10" t="str">
        <f>TEXT(A180,"mmmm")</f>
        <v>enero</v>
      </c>
      <c r="C180" s="11">
        <v>155</v>
      </c>
      <c r="D180" s="12" t="s">
        <v>482</v>
      </c>
      <c r="E180" s="13" t="str">
        <f>PROPER(D180)</f>
        <v>Jorge Quispe</v>
      </c>
      <c r="G180" s="14" t="str">
        <f>CONCATENATE($G$1,H180)</f>
        <v>573223299809</v>
      </c>
      <c r="H180" s="13">
        <v>3223299809</v>
      </c>
      <c r="I180" s="15">
        <v>85</v>
      </c>
      <c r="J180" s="15">
        <v>170</v>
      </c>
      <c r="K180" s="15">
        <f>+J180*7</f>
        <v>1190</v>
      </c>
      <c r="L180" s="16">
        <f>K180/I180</f>
        <v>14</v>
      </c>
      <c r="M180" s="17">
        <f>K180/J180</f>
        <v>7</v>
      </c>
      <c r="N180" s="18">
        <f>(A180+M180)</f>
        <v>46048</v>
      </c>
      <c r="O180" s="13">
        <f>+Tabla2[[#This Row],[CODIGO]]</f>
        <v>155</v>
      </c>
      <c r="P180" s="19">
        <f>R180/Q180*1000</f>
        <v>41092.436974789918</v>
      </c>
      <c r="Q180" s="10">
        <f>K180</f>
        <v>1190</v>
      </c>
      <c r="R180" s="20">
        <v>48900</v>
      </c>
      <c r="S180" s="10" t="s">
        <v>483</v>
      </c>
      <c r="T180" s="10" t="s">
        <v>484</v>
      </c>
      <c r="U180">
        <v>0</v>
      </c>
      <c r="V180" s="79">
        <v>0</v>
      </c>
    </row>
    <row r="181" spans="1:22" s="10" customFormat="1" x14ac:dyDescent="0.25">
      <c r="A181" s="21" cm="1">
        <f t="array" ref="A181">IFERROR(LOOKUP(2,1/([1]maestro!I:I=H181),[1]maestro!B:B),"")</f>
        <v>46041</v>
      </c>
      <c r="B181" s="22" t="str">
        <f>TEXT(A181,"mmmm")</f>
        <v>enero</v>
      </c>
      <c r="C181" s="23">
        <v>152</v>
      </c>
      <c r="D181" s="22" t="s">
        <v>473</v>
      </c>
      <c r="E181" s="24" t="str">
        <f>PROPER(D181)</f>
        <v>John Miranda</v>
      </c>
      <c r="F181" s="22"/>
      <c r="G181" s="25" t="str">
        <f>CONCATENATE($G$1,H181)</f>
        <v>573158647677</v>
      </c>
      <c r="H181" s="24">
        <v>3158647677</v>
      </c>
      <c r="I181" s="24">
        <v>210</v>
      </c>
      <c r="J181" s="24">
        <v>210</v>
      </c>
      <c r="K181" s="24">
        <v>2700</v>
      </c>
      <c r="L181" s="24">
        <f>K181/I181</f>
        <v>12.857142857142858</v>
      </c>
      <c r="M181" s="24">
        <f>K181/J181</f>
        <v>12.857142857142858</v>
      </c>
      <c r="N181" s="28">
        <f>(A181+M181)</f>
        <v>46053.857142857145</v>
      </c>
      <c r="O181" s="24">
        <f>+Tabla2[[#This Row],[CODIGO]]</f>
        <v>152</v>
      </c>
      <c r="P181" s="26">
        <f>R181/Q181*1000</f>
        <v>37000</v>
      </c>
      <c r="Q181" s="22">
        <f>K181</f>
        <v>2700</v>
      </c>
      <c r="R181" s="27">
        <v>99900</v>
      </c>
      <c r="S181" s="22" t="s">
        <v>474</v>
      </c>
      <c r="T181" s="22" t="s">
        <v>475</v>
      </c>
      <c r="U181">
        <v>0</v>
      </c>
      <c r="V181" s="79">
        <v>99900</v>
      </c>
    </row>
    <row r="182" spans="1:22" s="10" customFormat="1" x14ac:dyDescent="0.25">
      <c r="A182" s="9" cm="1">
        <f t="array" ref="A182">IFERROR(LOOKUP(2,1/([1]maestro!I:I=H182),[1]maestro!B:B),"")</f>
        <v>46041</v>
      </c>
      <c r="B182" s="10" t="str">
        <f>TEXT(A182,"mmmm")</f>
        <v>enero</v>
      </c>
      <c r="C182" s="11">
        <v>156</v>
      </c>
      <c r="D182" s="12" t="s">
        <v>485</v>
      </c>
      <c r="E182" s="13" t="str">
        <f>PROPER(D182)</f>
        <v>Jose Alejandro Paez</v>
      </c>
      <c r="G182" s="14" t="str">
        <f>CONCATENATE($G$1,H182)</f>
        <v>573239334278</v>
      </c>
      <c r="H182" s="13">
        <v>3239334278</v>
      </c>
      <c r="I182" s="15">
        <v>164</v>
      </c>
      <c r="J182" s="15">
        <v>492</v>
      </c>
      <c r="K182" s="15">
        <f>+J182*15</f>
        <v>7380</v>
      </c>
      <c r="L182" s="16">
        <f>K182/I182</f>
        <v>45</v>
      </c>
      <c r="M182" s="17">
        <f>K182/J182</f>
        <v>15</v>
      </c>
      <c r="N182" s="18">
        <f>(A182+M182)</f>
        <v>46056</v>
      </c>
      <c r="O182" s="13">
        <f>+Tabla2[[#This Row],[CODIGO]]</f>
        <v>156</v>
      </c>
      <c r="P182" s="19">
        <f>R182/Q182*1000</f>
        <v>36260.162601626012</v>
      </c>
      <c r="Q182" s="10">
        <f>K182</f>
        <v>7380</v>
      </c>
      <c r="R182" s="20">
        <v>267600</v>
      </c>
      <c r="S182" s="10" t="s">
        <v>486</v>
      </c>
      <c r="U182">
        <v>0</v>
      </c>
      <c r="V182" s="79">
        <v>0</v>
      </c>
    </row>
    <row r="183" spans="1:22" s="10" customFormat="1" x14ac:dyDescent="0.25">
      <c r="A183" s="21" cm="1">
        <f t="array" ref="A183">IFERROR(LOOKUP(2,1/([1]maestro!I:I=H183),[1]maestro!B:B),"")</f>
        <v>46036</v>
      </c>
      <c r="B183" s="22" t="str">
        <f>TEXT(A183,"mmmm")</f>
        <v>enero</v>
      </c>
      <c r="C183" s="23">
        <v>157</v>
      </c>
      <c r="D183" s="22" t="s">
        <v>487</v>
      </c>
      <c r="E183" s="24" t="str">
        <f>PROPER(D183)</f>
        <v>Jose Alfonso Garzon Cedeño</v>
      </c>
      <c r="F183" s="22"/>
      <c r="G183" s="25" t="str">
        <f>CONCATENATE($G$1,H183)</f>
        <v>573022930654</v>
      </c>
      <c r="H183" s="24">
        <v>3022930654</v>
      </c>
      <c r="I183" s="33">
        <v>70</v>
      </c>
      <c r="J183" s="33">
        <v>140</v>
      </c>
      <c r="K183" s="33">
        <f>+J183*30</f>
        <v>4200</v>
      </c>
      <c r="L183" s="24">
        <f>K183/I183</f>
        <v>60</v>
      </c>
      <c r="M183" s="24">
        <f>K183/J183</f>
        <v>30</v>
      </c>
      <c r="N183" s="28">
        <f>(A183+M183)</f>
        <v>46066</v>
      </c>
      <c r="O183" s="24">
        <f>+Tabla2[[#This Row],[CODIGO]]</f>
        <v>157</v>
      </c>
      <c r="P183" s="26">
        <f>R183/Q183*1000</f>
        <v>0</v>
      </c>
      <c r="Q183" s="22">
        <f>K183</f>
        <v>4200</v>
      </c>
      <c r="R183" s="27">
        <v>0</v>
      </c>
      <c r="S183" s="22" t="s">
        <v>488</v>
      </c>
      <c r="T183" s="22" t="s">
        <v>110</v>
      </c>
      <c r="U183">
        <v>0</v>
      </c>
      <c r="V183" s="79">
        <v>0</v>
      </c>
    </row>
    <row r="184" spans="1:22" s="10" customFormat="1" x14ac:dyDescent="0.25">
      <c r="A184" s="21" cm="1">
        <f t="array" ref="A184">IFERROR(LOOKUP(2,1/([1]maestro!I:I=H184),[1]maestro!B:B),"")</f>
        <v>46037</v>
      </c>
      <c r="B184" s="22" t="str">
        <f>TEXT(A184,"mmmm")</f>
        <v>enero</v>
      </c>
      <c r="C184" s="23">
        <v>159</v>
      </c>
      <c r="D184" s="22" t="s">
        <v>491</v>
      </c>
      <c r="E184" s="24" t="str">
        <f>PROPER(D184)</f>
        <v>Jose Luis Barrios 115</v>
      </c>
      <c r="F184" s="22"/>
      <c r="G184" s="25" t="str">
        <f>CONCATENATE($G$1,H184)</f>
        <v>573154918270</v>
      </c>
      <c r="H184" s="24">
        <v>3154918270</v>
      </c>
      <c r="I184" s="24">
        <v>115</v>
      </c>
      <c r="J184" s="24">
        <v>115</v>
      </c>
      <c r="K184" s="24">
        <f>115*30</f>
        <v>3450</v>
      </c>
      <c r="L184" s="24">
        <f>K184/I184</f>
        <v>30</v>
      </c>
      <c r="M184" s="24">
        <f>K184/J184</f>
        <v>30</v>
      </c>
      <c r="N184" s="28">
        <f>(A184+M184)</f>
        <v>46067</v>
      </c>
      <c r="O184" s="24">
        <f>+Tabla2[[#This Row],[CODIGO]]</f>
        <v>159</v>
      </c>
      <c r="P184" s="26">
        <f>R184/Q184*1000</f>
        <v>34000</v>
      </c>
      <c r="Q184" s="22">
        <f>K184</f>
        <v>3450</v>
      </c>
      <c r="R184" s="30">
        <v>117300</v>
      </c>
      <c r="S184" s="22" t="s">
        <v>492</v>
      </c>
      <c r="T184" s="22" t="s">
        <v>110</v>
      </c>
      <c r="U184">
        <v>0</v>
      </c>
      <c r="V184" s="79">
        <v>0</v>
      </c>
    </row>
    <row r="185" spans="1:22" s="10" customFormat="1" x14ac:dyDescent="0.25">
      <c r="A185" s="21" cm="1">
        <f t="array" ref="A185">IFERROR(LOOKUP(2,1/([1]maestro!I:I=H185),[1]maestro!B:B),"")</f>
        <v>46037</v>
      </c>
      <c r="B185" s="22" t="str">
        <f>TEXT(A185,"mmmm")</f>
        <v>enero</v>
      </c>
      <c r="C185" s="23">
        <v>159</v>
      </c>
      <c r="D185" s="22" t="s">
        <v>493</v>
      </c>
      <c r="E185" s="24" t="str">
        <f>PROPER(D185)</f>
        <v>Jose Luis Barrios 175</v>
      </c>
      <c r="F185" s="22"/>
      <c r="G185" s="25" t="str">
        <f>CONCATENATE($G$1,H185)</f>
        <v>573154918270</v>
      </c>
      <c r="H185" s="24">
        <v>3154918270</v>
      </c>
      <c r="I185" s="24">
        <v>175</v>
      </c>
      <c r="J185" s="24">
        <v>175</v>
      </c>
      <c r="K185" s="24">
        <f>30*175</f>
        <v>5250</v>
      </c>
      <c r="L185" s="24">
        <f>K185/I185</f>
        <v>30</v>
      </c>
      <c r="M185" s="24">
        <f>K185/J185</f>
        <v>30</v>
      </c>
      <c r="N185" s="28">
        <f>(A185+M185)</f>
        <v>46067</v>
      </c>
      <c r="O185" s="24">
        <f>+Tabla2[[#This Row],[CODIGO]]</f>
        <v>159</v>
      </c>
      <c r="P185" s="26">
        <f>R185/Q185*1000</f>
        <v>34000</v>
      </c>
      <c r="Q185" s="22">
        <f>K185</f>
        <v>5250</v>
      </c>
      <c r="R185" s="30">
        <v>178500</v>
      </c>
      <c r="S185" s="22" t="s">
        <v>492</v>
      </c>
      <c r="T185" s="22" t="s">
        <v>110</v>
      </c>
      <c r="U185">
        <v>0</v>
      </c>
      <c r="V185" s="79">
        <v>0</v>
      </c>
    </row>
    <row r="186" spans="1:22" s="10" customFormat="1" x14ac:dyDescent="0.25">
      <c r="A186" s="9" t="str" cm="1">
        <f t="array" ref="A186">IFERROR(LOOKUP(2,1/([1]maestro!I:I=H186),[1]maestro!B:B),"")</f>
        <v/>
      </c>
      <c r="B186" s="10" t="str">
        <f>TEXT(A186,"mmmm")</f>
        <v/>
      </c>
      <c r="C186" s="11">
        <v>160</v>
      </c>
      <c r="D186" s="12" t="s">
        <v>494</v>
      </c>
      <c r="E186" s="13" t="str">
        <f>PROPER(D186)</f>
        <v>José María Robayo 30</v>
      </c>
      <c r="G186" s="14" t="str">
        <f>CONCATENATE('[1]Clientes Inactivos'!$G$1,H186)</f>
        <v>573102397760</v>
      </c>
      <c r="H186" s="13">
        <v>3102397760</v>
      </c>
      <c r="I186" s="15">
        <v>30</v>
      </c>
      <c r="J186" s="15">
        <v>60</v>
      </c>
      <c r="K186" s="15">
        <f>+J186*15</f>
        <v>900</v>
      </c>
      <c r="L186" s="16">
        <f>K186/I186</f>
        <v>30</v>
      </c>
      <c r="M186" s="17">
        <f>K186/J186</f>
        <v>15</v>
      </c>
      <c r="N186" s="18" t="e">
        <f>(A186+M186)</f>
        <v>#VALUE!</v>
      </c>
      <c r="O186" s="13">
        <f>+Tabla2[[#This Row],[CODIGO]]</f>
        <v>160</v>
      </c>
      <c r="P186" s="19">
        <f>R186/Q186*1000</f>
        <v>56444.444444444445</v>
      </c>
      <c r="Q186" s="10">
        <f>K186</f>
        <v>900</v>
      </c>
      <c r="R186" s="20">
        <v>50800</v>
      </c>
      <c r="S186" s="36" t="s">
        <v>495</v>
      </c>
      <c r="U186">
        <v>0</v>
      </c>
      <c r="V186" s="79">
        <v>0</v>
      </c>
    </row>
    <row r="187" spans="1:22" s="10" customFormat="1" x14ac:dyDescent="0.25">
      <c r="A187" s="9" cm="1">
        <f t="array" ref="A187">IFERROR(LOOKUP(2,1/([1]maestro!I:I=H187),[1]maestro!B:B),"")</f>
        <v>46041</v>
      </c>
      <c r="B187" s="10" t="str">
        <f>TEXT(A187,"mmmm")</f>
        <v>enero</v>
      </c>
      <c r="C187" s="11">
        <v>158</v>
      </c>
      <c r="D187" s="10" t="s">
        <v>489</v>
      </c>
      <c r="E187" s="13" t="str">
        <f>PROPER(D187)</f>
        <v>Jose Jaime López Velandia</v>
      </c>
      <c r="F187" s="13"/>
      <c r="G187" s="14" t="str">
        <f>CONCATENATE($G$1,H187)</f>
        <v>573132848302</v>
      </c>
      <c r="H187" s="13">
        <v>3132848302</v>
      </c>
      <c r="I187" s="13">
        <v>250</v>
      </c>
      <c r="J187" s="13">
        <v>500</v>
      </c>
      <c r="K187" s="13">
        <v>15000</v>
      </c>
      <c r="L187" s="13">
        <f>K187/I187</f>
        <v>60</v>
      </c>
      <c r="M187" s="13">
        <f>K187/J187</f>
        <v>30</v>
      </c>
      <c r="N187" s="18">
        <f>(A187+M187)</f>
        <v>46071</v>
      </c>
      <c r="O187" s="13">
        <f>+Tabla2[[#This Row],[CODIGO]]</f>
        <v>158</v>
      </c>
      <c r="P187" s="19">
        <f>R187/Q187*1000</f>
        <v>23000</v>
      </c>
      <c r="Q187" s="10">
        <f>K187</f>
        <v>15000</v>
      </c>
      <c r="R187" s="20">
        <v>345000</v>
      </c>
      <c r="S187" s="10" t="s">
        <v>490</v>
      </c>
      <c r="T187" s="10" t="s">
        <v>110</v>
      </c>
      <c r="U187">
        <v>0</v>
      </c>
      <c r="V187" s="79">
        <v>345000</v>
      </c>
    </row>
    <row r="188" spans="1:22" s="10" customFormat="1" x14ac:dyDescent="0.25">
      <c r="A188" s="9" t="str" cm="1">
        <f t="array" ref="A188">IFERROR(LOOKUP(2,1/([1]maestro!I:I=H188),[1]maestro!B:B),"")</f>
        <v/>
      </c>
      <c r="B188" s="10" t="str">
        <f>TEXT(A188,"mmmm")</f>
        <v/>
      </c>
      <c r="C188" s="11">
        <v>160</v>
      </c>
      <c r="D188" s="12" t="s">
        <v>496</v>
      </c>
      <c r="E188" s="13" t="str">
        <f>PROPER(D188)</f>
        <v>José María Robayo 45</v>
      </c>
      <c r="G188" s="14" t="str">
        <f>CONCATENATE('[1]Clientes Inactivos'!$G$1,H188)</f>
        <v>573102397760</v>
      </c>
      <c r="H188" s="13">
        <v>3102397760</v>
      </c>
      <c r="I188" s="15">
        <v>45</v>
      </c>
      <c r="J188" s="15">
        <v>90</v>
      </c>
      <c r="K188" s="15">
        <f>+J188*15</f>
        <v>1350</v>
      </c>
      <c r="L188" s="16">
        <f>K188/I188</f>
        <v>30</v>
      </c>
      <c r="M188" s="17">
        <f>K188/J188</f>
        <v>15</v>
      </c>
      <c r="N188" s="18" t="e">
        <f>(A188+M188)</f>
        <v>#VALUE!</v>
      </c>
      <c r="O188" s="13">
        <f>+Tabla2[[#This Row],[CODIGO]]</f>
        <v>160</v>
      </c>
      <c r="P188" s="19">
        <f>R188/Q188*1000</f>
        <v>53925.925925925927</v>
      </c>
      <c r="Q188" s="10">
        <f>K188</f>
        <v>1350</v>
      </c>
      <c r="R188" s="20">
        <v>72800</v>
      </c>
      <c r="S188" s="36" t="s">
        <v>495</v>
      </c>
      <c r="U188">
        <v>0</v>
      </c>
      <c r="V188" s="79">
        <v>0</v>
      </c>
    </row>
    <row r="189" spans="1:22" s="10" customFormat="1" x14ac:dyDescent="0.25">
      <c r="A189" s="9" t="str" cm="1">
        <f t="array" ref="A189">IFERROR(LOOKUP(2,1/([1]maestro!I:I=H189),[1]maestro!B:B),"")</f>
        <v/>
      </c>
      <c r="B189" s="10" t="str">
        <f>TEXT(A189,"mmmm")</f>
        <v/>
      </c>
      <c r="C189" s="11">
        <v>161</v>
      </c>
      <c r="D189" s="10" t="s">
        <v>497</v>
      </c>
      <c r="E189" s="13" t="str">
        <f>PROPER(D189)</f>
        <v>José Odair Suárez</v>
      </c>
      <c r="G189" s="14" t="str">
        <f>CONCATENATE('[1]Clientes Inactivos'!$G$1,H189)</f>
        <v>573158943240</v>
      </c>
      <c r="H189" s="13">
        <v>3158943240</v>
      </c>
      <c r="I189" s="15">
        <v>165</v>
      </c>
      <c r="J189" s="15">
        <v>165</v>
      </c>
      <c r="K189" s="15">
        <f>165*30</f>
        <v>4950</v>
      </c>
      <c r="L189" s="14">
        <f>K189/I189</f>
        <v>30</v>
      </c>
      <c r="M189" s="14">
        <f>K189/J189</f>
        <v>30</v>
      </c>
      <c r="N189" s="18" t="e">
        <f>(A189+M189)</f>
        <v>#VALUE!</v>
      </c>
      <c r="O189" s="13">
        <f>+Tabla2[[#This Row],[CODIGO]]</f>
        <v>161</v>
      </c>
      <c r="P189" s="19">
        <f>R189/Q189*1000</f>
        <v>33212.121212121208</v>
      </c>
      <c r="Q189" s="10">
        <f>K189</f>
        <v>4950</v>
      </c>
      <c r="R189" s="20">
        <v>164400</v>
      </c>
      <c r="S189" s="10" t="s">
        <v>498</v>
      </c>
      <c r="T189" s="10" t="s">
        <v>499</v>
      </c>
      <c r="U189">
        <v>0</v>
      </c>
      <c r="V189" s="79">
        <v>0</v>
      </c>
    </row>
    <row r="190" spans="1:22" s="10" customFormat="1" x14ac:dyDescent="0.25">
      <c r="A190" s="21" cm="1">
        <f t="array" ref="A190">IFERROR(LOOKUP(2,1/([1]maestro!I:I=H190),[1]maestro!B:B),"")</f>
        <v>46041</v>
      </c>
      <c r="B190" s="22" t="str">
        <f>TEXT(A190,"mmmm")</f>
        <v>enero</v>
      </c>
      <c r="C190" s="23">
        <v>163</v>
      </c>
      <c r="D190" s="22" t="s">
        <v>503</v>
      </c>
      <c r="E190" s="24" t="str">
        <f>PROPER(D190)</f>
        <v>Juan Carlos Arango Castano 150</v>
      </c>
      <c r="F190" s="22"/>
      <c r="G190" s="25" t="str">
        <f>CONCATENATE($G$1,H190)</f>
        <v>573142352415</v>
      </c>
      <c r="H190" s="24">
        <v>3142352415</v>
      </c>
      <c r="I190" s="24">
        <v>150</v>
      </c>
      <c r="J190" s="24">
        <v>150</v>
      </c>
      <c r="K190" s="24">
        <f>150*10</f>
        <v>1500</v>
      </c>
      <c r="L190" s="24">
        <f>K190/I190</f>
        <v>10</v>
      </c>
      <c r="M190" s="24">
        <f>K190/J190</f>
        <v>10</v>
      </c>
      <c r="N190" s="28">
        <f>(A190+M190)</f>
        <v>46051</v>
      </c>
      <c r="O190" s="24">
        <f>+Tabla2[[#This Row],[CODIGO]]</f>
        <v>163</v>
      </c>
      <c r="P190" s="26">
        <f>R190/Q190*1000</f>
        <v>29000</v>
      </c>
      <c r="Q190" s="22">
        <f>K190</f>
        <v>1500</v>
      </c>
      <c r="R190" s="27">
        <v>43500</v>
      </c>
      <c r="S190" s="22" t="s">
        <v>504</v>
      </c>
      <c r="T190" s="22" t="s">
        <v>505</v>
      </c>
      <c r="U190">
        <v>214000</v>
      </c>
      <c r="V190" s="79">
        <v>0</v>
      </c>
    </row>
    <row r="191" spans="1:22" s="10" customFormat="1" x14ac:dyDescent="0.25">
      <c r="A191" s="21" cm="1">
        <f t="array" ref="A191">IFERROR(LOOKUP(2,1/([1]maestro!I:I=H191),[1]maestro!B:B),"")</f>
        <v>46041</v>
      </c>
      <c r="B191" s="22" t="str">
        <f>TEXT(A191,"mmmm")</f>
        <v>enero</v>
      </c>
      <c r="C191" s="23">
        <v>163</v>
      </c>
      <c r="D191" s="22" t="s">
        <v>506</v>
      </c>
      <c r="E191" s="24" t="str">
        <f>PROPER(D191)</f>
        <v>Juan Carlos Arango Castano 200</v>
      </c>
      <c r="F191" s="22"/>
      <c r="G191" s="25" t="str">
        <f>CONCATENATE($G$1,H191)</f>
        <v>573142352415</v>
      </c>
      <c r="H191" s="24">
        <v>3142352415</v>
      </c>
      <c r="I191" s="24">
        <v>200</v>
      </c>
      <c r="J191" s="24">
        <v>200</v>
      </c>
      <c r="K191" s="24">
        <f>200*10</f>
        <v>2000</v>
      </c>
      <c r="L191" s="24">
        <f>K191/I191</f>
        <v>10</v>
      </c>
      <c r="M191" s="24">
        <f>K191/J191</f>
        <v>10</v>
      </c>
      <c r="N191" s="28">
        <f>(A191+M191)</f>
        <v>46051</v>
      </c>
      <c r="O191" s="24">
        <f>+Tabla2[[#This Row],[CODIGO]]</f>
        <v>163</v>
      </c>
      <c r="P191" s="26">
        <f>R191/Q191*1000</f>
        <v>29000</v>
      </c>
      <c r="Q191" s="22">
        <f>K191</f>
        <v>2000</v>
      </c>
      <c r="R191" s="27">
        <v>58000</v>
      </c>
      <c r="S191" s="22" t="s">
        <v>504</v>
      </c>
      <c r="T191" s="22" t="s">
        <v>505</v>
      </c>
      <c r="U191">
        <v>0</v>
      </c>
      <c r="V191" s="79">
        <v>0</v>
      </c>
    </row>
    <row r="192" spans="1:22" s="10" customFormat="1" x14ac:dyDescent="0.25">
      <c r="A192" s="21" cm="1">
        <f t="array" ref="A192">IFERROR(LOOKUP(2,1/([1]maestro!I:I=H192),[1]maestro!B:B),"")</f>
        <v>46041</v>
      </c>
      <c r="B192" s="22" t="str">
        <f>TEXT(A192,"mmmm")</f>
        <v>enero</v>
      </c>
      <c r="C192" s="23">
        <v>164</v>
      </c>
      <c r="D192" s="22" t="s">
        <v>507</v>
      </c>
      <c r="E192" s="24" t="str">
        <f>PROPER(D192)</f>
        <v>Juan Carlos Ospina Arango</v>
      </c>
      <c r="F192" s="22"/>
      <c r="G192" s="25" t="str">
        <f>CONCATENATE($G$1,H192)</f>
        <v>573232204888</v>
      </c>
      <c r="H192" s="24">
        <v>3232204888</v>
      </c>
      <c r="I192" s="24">
        <f>350/2</f>
        <v>175</v>
      </c>
      <c r="J192" s="24">
        <v>350</v>
      </c>
      <c r="K192" s="24">
        <f>14*175</f>
        <v>2450</v>
      </c>
      <c r="L192" s="24">
        <f>K192/I192</f>
        <v>14</v>
      </c>
      <c r="M192" s="24">
        <f>K192/J192</f>
        <v>7</v>
      </c>
      <c r="N192" s="28">
        <f>(A192+M192)</f>
        <v>46048</v>
      </c>
      <c r="O192" s="24">
        <f>+Tabla2[[#This Row],[CODIGO]]</f>
        <v>164</v>
      </c>
      <c r="P192" s="26">
        <f>R192/Q192*1000</f>
        <v>39000</v>
      </c>
      <c r="Q192" s="22">
        <f>K192</f>
        <v>2450</v>
      </c>
      <c r="R192" s="27">
        <v>95550</v>
      </c>
      <c r="S192" s="22" t="s">
        <v>508</v>
      </c>
      <c r="T192" s="22" t="s">
        <v>509</v>
      </c>
      <c r="U192">
        <v>0</v>
      </c>
      <c r="V192" s="79">
        <v>0</v>
      </c>
    </row>
    <row r="193" spans="1:22" s="10" customFormat="1" x14ac:dyDescent="0.25">
      <c r="A193" s="9" cm="1">
        <f t="array" ref="A193">IFERROR(LOOKUP(2,1/([1]maestro!I:I=H193),[1]maestro!B:B),"")</f>
        <v>46034</v>
      </c>
      <c r="B193" s="10" t="str">
        <f>TEXT(A193,"mmmm")</f>
        <v>enero</v>
      </c>
      <c r="C193" s="11">
        <v>165</v>
      </c>
      <c r="D193" s="12" t="s">
        <v>510</v>
      </c>
      <c r="E193" s="13" t="str">
        <f>PROPER(D193)</f>
        <v>Juan Esteban Ramirez</v>
      </c>
      <c r="G193" s="14" t="str">
        <f>CONCATENATE('[1]Clientes Inactivos'!$G$1,H193)</f>
        <v>573054066396</v>
      </c>
      <c r="H193" s="13">
        <v>3054066396</v>
      </c>
      <c r="I193" s="15">
        <v>150</v>
      </c>
      <c r="J193" s="15">
        <v>300</v>
      </c>
      <c r="K193" s="15">
        <f>+J193*15</f>
        <v>4500</v>
      </c>
      <c r="L193" s="16">
        <f>K193/I193</f>
        <v>30</v>
      </c>
      <c r="M193" s="17">
        <f>K193/J193</f>
        <v>15</v>
      </c>
      <c r="N193" s="18">
        <f>(A193+M193)</f>
        <v>46049</v>
      </c>
      <c r="O193" s="13">
        <f>+Tabla2[[#This Row],[CODIGO]]</f>
        <v>165</v>
      </c>
      <c r="P193" s="19">
        <f>R193/Q193*1000</f>
        <v>19000</v>
      </c>
      <c r="Q193" s="10">
        <f>K193</f>
        <v>4500</v>
      </c>
      <c r="R193" s="20">
        <v>85500</v>
      </c>
      <c r="S193" s="10" t="s">
        <v>511</v>
      </c>
      <c r="T193" s="10" t="s">
        <v>512</v>
      </c>
      <c r="U193">
        <v>0</v>
      </c>
      <c r="V193" s="79">
        <v>0</v>
      </c>
    </row>
    <row r="194" spans="1:22" s="10" customFormat="1" x14ac:dyDescent="0.25">
      <c r="A194" s="9" cm="1">
        <f t="array" ref="A194">IFERROR(LOOKUP(2,1/([1]maestro!I:I=H194),[1]maestro!B:B),"")</f>
        <v>46034</v>
      </c>
      <c r="B194" s="10" t="str">
        <f>TEXT(A194,"mmmm")</f>
        <v>enero</v>
      </c>
      <c r="C194" s="11">
        <v>165</v>
      </c>
      <c r="D194" s="12" t="s">
        <v>513</v>
      </c>
      <c r="E194" s="13" t="str">
        <f>PROPER(D194)</f>
        <v>Juan Esteban Ramirez 125</v>
      </c>
      <c r="G194" s="14" t="str">
        <f>CONCATENATE('[1]Clientes Inactivos'!$G$1,H194)</f>
        <v>573054066396</v>
      </c>
      <c r="H194" s="13">
        <v>3054066396</v>
      </c>
      <c r="I194" s="15">
        <v>125</v>
      </c>
      <c r="J194" s="15">
        <f>+Tabla2[[#This Row],[POR COMIDA]]*2</f>
        <v>250</v>
      </c>
      <c r="K194" s="15">
        <f>+J194*15</f>
        <v>3750</v>
      </c>
      <c r="L194" s="16">
        <f>K194/I194</f>
        <v>30</v>
      </c>
      <c r="M194" s="17">
        <f>K194/J194</f>
        <v>15</v>
      </c>
      <c r="N194" s="18">
        <f>(A194+M194)</f>
        <v>46049</v>
      </c>
      <c r="O194" s="13">
        <f>+Tabla2[[#This Row],[CODIGO]]</f>
        <v>165</v>
      </c>
      <c r="P194" s="19">
        <f>R194/Q194*1000</f>
        <v>19000</v>
      </c>
      <c r="Q194" s="10">
        <f>K194</f>
        <v>3750</v>
      </c>
      <c r="R194" s="20">
        <v>71250</v>
      </c>
      <c r="S194" s="10" t="s">
        <v>511</v>
      </c>
      <c r="T194" s="10" t="s">
        <v>512</v>
      </c>
      <c r="U194">
        <v>0</v>
      </c>
      <c r="V194" s="79">
        <v>0</v>
      </c>
    </row>
    <row r="195" spans="1:22" s="10" customFormat="1" x14ac:dyDescent="0.25">
      <c r="A195" s="9" t="str" cm="1">
        <f t="array" ref="A195">IFERROR(LOOKUP(2,1/([1]maestro!I:I=H195),[1]maestro!B:B),"")</f>
        <v/>
      </c>
      <c r="B195" s="10" t="str">
        <f>TEXT(A195,"mmmm")</f>
        <v/>
      </c>
      <c r="C195" s="11">
        <v>166</v>
      </c>
      <c r="D195" s="12" t="s">
        <v>514</v>
      </c>
      <c r="E195" s="13" t="str">
        <f>PROPER(D195)</f>
        <v>Juan Olaez Cardona</v>
      </c>
      <c r="G195" s="14" t="str">
        <f>CONCATENATE($G$1,H195)</f>
        <v>573014259952</v>
      </c>
      <c r="H195" s="13">
        <v>3014259952</v>
      </c>
      <c r="I195" s="15">
        <v>45</v>
      </c>
      <c r="J195" s="15">
        <v>90</v>
      </c>
      <c r="K195" s="15">
        <f>+J195*7</f>
        <v>630</v>
      </c>
      <c r="L195" s="16">
        <f>K195/I195</f>
        <v>14</v>
      </c>
      <c r="M195" s="17">
        <f>K195/J195</f>
        <v>7</v>
      </c>
      <c r="N195" s="18" t="e">
        <f>(A195+M195)</f>
        <v>#VALUE!</v>
      </c>
      <c r="O195" s="13">
        <f>+Tabla2[[#This Row],[CODIGO]]</f>
        <v>166</v>
      </c>
      <c r="P195" s="19">
        <f>R195/Q195*1000</f>
        <v>15873.015873015873</v>
      </c>
      <c r="Q195" s="10">
        <f>K195</f>
        <v>630</v>
      </c>
      <c r="R195" s="20">
        <v>10000</v>
      </c>
      <c r="S195" s="10" t="s">
        <v>515</v>
      </c>
      <c r="U195">
        <v>0</v>
      </c>
      <c r="V195" s="79">
        <v>0</v>
      </c>
    </row>
    <row r="196" spans="1:22" s="10" customFormat="1" ht="16.5" customHeight="1" x14ac:dyDescent="0.25">
      <c r="A196" s="21" cm="1">
        <f t="array" ref="A196">IFERROR(LOOKUP(2,1/([1]maestro!I:I=H196),[1]maestro!B:B),"")</f>
        <v>46042</v>
      </c>
      <c r="B196" s="22" t="str">
        <f>TEXT(A196,"mmmm")</f>
        <v>enero</v>
      </c>
      <c r="C196" s="23">
        <v>167</v>
      </c>
      <c r="D196" s="22" t="s">
        <v>516</v>
      </c>
      <c r="E196" s="24" t="str">
        <f>PROPER(D196)</f>
        <v>Juan Sebastian Prieto Pinzón</v>
      </c>
      <c r="F196" s="22"/>
      <c r="G196" s="25" t="str">
        <f>CONCATENATE($G$1,H196)</f>
        <v>573124784496</v>
      </c>
      <c r="H196" s="24">
        <v>3124784496</v>
      </c>
      <c r="I196" s="33">
        <v>100</v>
      </c>
      <c r="J196" s="33">
        <v>200</v>
      </c>
      <c r="K196" s="33">
        <v>3000</v>
      </c>
      <c r="L196" s="24">
        <f>K196/I196</f>
        <v>30</v>
      </c>
      <c r="M196" s="24">
        <f>K196/J196</f>
        <v>15</v>
      </c>
      <c r="N196" s="28">
        <f>(A196+M196)</f>
        <v>46057</v>
      </c>
      <c r="O196" s="24">
        <f>+Tabla2[[#This Row],[CODIGO]]</f>
        <v>167</v>
      </c>
      <c r="P196" s="26">
        <f>R196/Q196*1000</f>
        <v>42000</v>
      </c>
      <c r="Q196" s="22">
        <f>K196</f>
        <v>3000</v>
      </c>
      <c r="R196" s="31">
        <v>126000</v>
      </c>
      <c r="S196" s="22" t="s">
        <v>517</v>
      </c>
      <c r="T196" s="22" t="s">
        <v>518</v>
      </c>
      <c r="U196">
        <v>0</v>
      </c>
      <c r="V196" s="79">
        <v>0</v>
      </c>
    </row>
    <row r="197" spans="1:22" s="10" customFormat="1" x14ac:dyDescent="0.25">
      <c r="A197" s="9" t="str" cm="1">
        <f t="array" ref="A197">IFERROR(LOOKUP(2,1/([1]maestro!I:I=H197),[1]maestro!B:B),"")</f>
        <v/>
      </c>
      <c r="B197" s="10" t="str">
        <f>TEXT(A197,"mmmm")</f>
        <v/>
      </c>
      <c r="C197" s="11">
        <v>168</v>
      </c>
      <c r="D197" s="10" t="s">
        <v>519</v>
      </c>
      <c r="E197" s="13" t="str">
        <f>PROPER(D197)</f>
        <v>Juan Sebastian Tintinago</v>
      </c>
      <c r="F197" s="10" t="s">
        <v>66</v>
      </c>
      <c r="G197" s="14" t="str">
        <f>CONCATENATE($G$1,H197)</f>
        <v>573125933078</v>
      </c>
      <c r="H197" s="13">
        <v>3125933078</v>
      </c>
      <c r="I197" s="13">
        <v>131</v>
      </c>
      <c r="J197" s="13">
        <v>131</v>
      </c>
      <c r="K197" s="13">
        <f>+I197*15</f>
        <v>1965</v>
      </c>
      <c r="L197" s="13">
        <f>K197/I197</f>
        <v>15</v>
      </c>
      <c r="M197" s="13">
        <f>K197/J197</f>
        <v>15</v>
      </c>
      <c r="N197" s="18" t="e">
        <f>(A197+M197)</f>
        <v>#VALUE!</v>
      </c>
      <c r="O197" s="13">
        <f>+Tabla2[[#This Row],[CODIGO]]</f>
        <v>168</v>
      </c>
      <c r="P197" s="19">
        <f>R197/Q197*1000</f>
        <v>38053.435114503824</v>
      </c>
      <c r="Q197" s="10">
        <f>K197</f>
        <v>1965</v>
      </c>
      <c r="R197" s="20">
        <v>74775</v>
      </c>
      <c r="S197" s="10" t="s">
        <v>520</v>
      </c>
      <c r="T197" s="10" t="s">
        <v>521</v>
      </c>
      <c r="U197">
        <v>0</v>
      </c>
      <c r="V197" s="79">
        <v>0</v>
      </c>
    </row>
    <row r="198" spans="1:22" s="10" customFormat="1" x14ac:dyDescent="0.25">
      <c r="A198" s="9" t="str" cm="1">
        <f t="array" ref="A198">IFERROR(LOOKUP(2,1/([1]maestro!I:I=H198),[1]maestro!B:B),"")</f>
        <v/>
      </c>
      <c r="B198" s="10" t="str">
        <f>TEXT(A198,"mmmm")</f>
        <v/>
      </c>
      <c r="C198" s="11">
        <v>170</v>
      </c>
      <c r="D198" s="12" t="s">
        <v>525</v>
      </c>
      <c r="E198" s="13" t="str">
        <f>PROPER(D198)</f>
        <v xml:space="preserve">Julia Cubides Cardeña </v>
      </c>
      <c r="G198" s="14" t="str">
        <f>CONCATENATE($G$1,H198)</f>
        <v>573004999882</v>
      </c>
      <c r="H198" s="13">
        <v>3004999882</v>
      </c>
      <c r="I198" s="15">
        <v>40</v>
      </c>
      <c r="J198" s="15">
        <v>40</v>
      </c>
      <c r="K198" s="15">
        <f>+J198*7</f>
        <v>280</v>
      </c>
      <c r="L198" s="16">
        <f>K198/I198</f>
        <v>7</v>
      </c>
      <c r="M198" s="17">
        <f>K198/J198</f>
        <v>7</v>
      </c>
      <c r="N198" s="18" t="e">
        <f>(A198+M198)</f>
        <v>#VALUE!</v>
      </c>
      <c r="O198" s="13">
        <f>+Tabla2[[#This Row],[CODIGO]]</f>
        <v>170</v>
      </c>
      <c r="P198" s="19">
        <f>R198/Q198*1000</f>
        <v>35714.285714285717</v>
      </c>
      <c r="Q198" s="10">
        <f>K198</f>
        <v>280</v>
      </c>
      <c r="R198" s="20">
        <v>10000</v>
      </c>
      <c r="S198" s="10" t="s">
        <v>526</v>
      </c>
      <c r="U198">
        <v>0</v>
      </c>
      <c r="V198" s="79">
        <v>0</v>
      </c>
    </row>
    <row r="199" spans="1:22" s="10" customFormat="1" x14ac:dyDescent="0.25">
      <c r="A199" s="9">
        <f t="array" ref="A199">IFERROR(LOOKUP(2,1/([1]maestro!I:I=H199),[1]maestro!B:B),"")</f>
        <v>46038</v>
      </c>
      <c r="B199" s="10" t="str">
        <f>TEXT(A199,"mmmm")</f>
        <v>enero</v>
      </c>
      <c r="C199" s="11">
        <v>172</v>
      </c>
      <c r="D199" s="10" t="s">
        <v>530</v>
      </c>
      <c r="E199" s="13" t="str">
        <f>PROPER(D199)</f>
        <v>Julieth Gutierrez</v>
      </c>
      <c r="F199" s="13"/>
      <c r="G199" s="63" t="str">
        <f>CONCATENATE('[1]Clientes Inactivos'!$G$1,H199)</f>
        <v>573118065313</v>
      </c>
      <c r="H199" s="13">
        <v>3118065313</v>
      </c>
      <c r="I199" s="13">
        <v>1000</v>
      </c>
      <c r="J199" s="13">
        <v>1000</v>
      </c>
      <c r="K199" s="13">
        <f>+J199</f>
        <v>1000</v>
      </c>
      <c r="L199" s="13">
        <f>K199/I199</f>
        <v>1</v>
      </c>
      <c r="M199" s="13">
        <f>K199/J199</f>
        <v>1</v>
      </c>
      <c r="N199" s="18">
        <f>(A199+M199)</f>
        <v>46039</v>
      </c>
      <c r="O199" s="13">
        <f>+Tabla2[[#This Row],[CODIGO]]</f>
        <v>172</v>
      </c>
      <c r="P199" s="19">
        <f>R199/Q199*1000</f>
        <v>57000</v>
      </c>
      <c r="Q199" s="10">
        <f>K199</f>
        <v>1000</v>
      </c>
      <c r="R199" s="20">
        <v>57000</v>
      </c>
      <c r="S199" s="10" t="s">
        <v>531</v>
      </c>
      <c r="U199">
        <v>0</v>
      </c>
      <c r="V199" s="79">
        <v>0</v>
      </c>
    </row>
    <row r="200" spans="1:22" s="10" customFormat="1" x14ac:dyDescent="0.25">
      <c r="A200" s="9" t="str" cm="1">
        <f t="array" ref="A200">IFERROR(LOOKUP(2,1/([1]maestro!I:I=H200),[1]maestro!B:B),"")</f>
        <v/>
      </c>
      <c r="B200" s="10" t="str">
        <f>TEXT(A200,"mmmm")</f>
        <v/>
      </c>
      <c r="C200" s="11">
        <v>173</v>
      </c>
      <c r="D200" s="10" t="s">
        <v>532</v>
      </c>
      <c r="E200" s="13" t="str">
        <f>PROPER(D200)</f>
        <v>Karen Dayana Castro Poveda</v>
      </c>
      <c r="F200" s="15"/>
      <c r="G200" s="14" t="str">
        <f>CONCATENATE($G$1,H200)</f>
        <v>573204999066</v>
      </c>
      <c r="H200" s="13">
        <v>3204999066</v>
      </c>
      <c r="I200" s="13">
        <v>75</v>
      </c>
      <c r="J200" s="13">
        <v>150</v>
      </c>
      <c r="K200" s="13">
        <f>+J200*30</f>
        <v>4500</v>
      </c>
      <c r="L200" s="13">
        <f>K200/I200</f>
        <v>60</v>
      </c>
      <c r="M200" s="13">
        <f>K200/J200</f>
        <v>30</v>
      </c>
      <c r="N200" s="18" t="e">
        <f>(A200+M200)</f>
        <v>#VALUE!</v>
      </c>
      <c r="O200" s="13">
        <f>+Tabla2[[#This Row],[CODIGO]]</f>
        <v>173</v>
      </c>
      <c r="P200" s="19">
        <f>R200/Q200*1000</f>
        <v>38666.666666666664</v>
      </c>
      <c r="Q200" s="10">
        <f>K200</f>
        <v>4500</v>
      </c>
      <c r="R200" s="20">
        <v>174000</v>
      </c>
      <c r="S200" s="10" t="s">
        <v>533</v>
      </c>
      <c r="U200">
        <v>0</v>
      </c>
      <c r="V200" s="79">
        <v>0</v>
      </c>
    </row>
    <row r="201" spans="1:22" s="10" customFormat="1" x14ac:dyDescent="0.25">
      <c r="A201" s="9" t="str" cm="1">
        <f t="array" ref="A201">IFERROR(LOOKUP(2,1/([1]maestro!I:I=H201),[1]maestro!B:B),"")</f>
        <v/>
      </c>
      <c r="B201" s="10" t="str">
        <f>TEXT(A201,"mmmm")</f>
        <v/>
      </c>
      <c r="C201" s="11">
        <v>174</v>
      </c>
      <c r="D201" s="10" t="s">
        <v>534</v>
      </c>
      <c r="E201" s="13" t="str">
        <f>PROPER(D201)</f>
        <v>Karen Forero</v>
      </c>
      <c r="G201" s="14" t="str">
        <f>CONCATENATE($G$1,H201)</f>
        <v>573175270866</v>
      </c>
      <c r="H201" s="13">
        <v>3175270866</v>
      </c>
      <c r="I201" s="13">
        <v>160</v>
      </c>
      <c r="J201" s="13">
        <v>160</v>
      </c>
      <c r="K201" s="13">
        <f>15*160</f>
        <v>2400</v>
      </c>
      <c r="L201" s="13">
        <f>K201/I201</f>
        <v>15</v>
      </c>
      <c r="M201" s="13">
        <f>K201/J201</f>
        <v>15</v>
      </c>
      <c r="N201" s="18" t="e">
        <f>(A201+M201)</f>
        <v>#VALUE!</v>
      </c>
      <c r="O201" s="13">
        <f>+Tabla2[[#This Row],[CODIGO]]</f>
        <v>174</v>
      </c>
      <c r="P201" s="19">
        <f>R201/Q201*1000</f>
        <v>29000</v>
      </c>
      <c r="Q201" s="10">
        <f>K201</f>
        <v>2400</v>
      </c>
      <c r="R201" s="20">
        <v>69600</v>
      </c>
      <c r="S201" s="10" t="s">
        <v>535</v>
      </c>
      <c r="T201" s="10" t="s">
        <v>536</v>
      </c>
      <c r="U201">
        <v>0</v>
      </c>
      <c r="V201" s="79">
        <v>0</v>
      </c>
    </row>
    <row r="202" spans="1:22" s="10" customFormat="1" x14ac:dyDescent="0.25">
      <c r="A202" s="9" t="str" cm="1">
        <f t="array" ref="A202">IFERROR(LOOKUP(2,1/([1]maestro!I:I=H202),[1]maestro!B:B),"")</f>
        <v/>
      </c>
      <c r="B202" s="10" t="str">
        <f>TEXT(A202,"mmmm")</f>
        <v/>
      </c>
      <c r="C202" s="11">
        <v>175</v>
      </c>
      <c r="D202" s="10" t="s">
        <v>537</v>
      </c>
      <c r="E202" s="10" t="str">
        <f>PROPER(D202)</f>
        <v>Karen Sofía Bolívar Triviño</v>
      </c>
      <c r="G202" s="10" t="str">
        <f>CONCATENATE($G$1,H202)</f>
        <v>573223632200</v>
      </c>
      <c r="H202" s="13" t="s">
        <v>538</v>
      </c>
      <c r="I202" s="15">
        <v>53</v>
      </c>
      <c r="J202" s="15">
        <v>160</v>
      </c>
      <c r="K202" s="15">
        <f>+J202*15</f>
        <v>2400</v>
      </c>
      <c r="L202" s="16">
        <f>K202/I202</f>
        <v>45.283018867924525</v>
      </c>
      <c r="M202" s="17">
        <f>K202/J202</f>
        <v>15</v>
      </c>
      <c r="N202" s="18" t="e">
        <f>(A202+M202)</f>
        <v>#VALUE!</v>
      </c>
      <c r="O202" s="13">
        <f>+Tabla2[[#This Row],[CODIGO]]</f>
        <v>175</v>
      </c>
      <c r="P202" s="19">
        <f>R202/Q202*1000</f>
        <v>38500</v>
      </c>
      <c r="Q202" s="10">
        <f>K202</f>
        <v>2400</v>
      </c>
      <c r="R202" s="29">
        <v>92400</v>
      </c>
      <c r="S202" s="10" t="s">
        <v>539</v>
      </c>
      <c r="T202" s="10" t="s">
        <v>540</v>
      </c>
      <c r="U202">
        <v>107600</v>
      </c>
      <c r="V202" s="79">
        <v>0</v>
      </c>
    </row>
    <row r="203" spans="1:22" s="10" customFormat="1" x14ac:dyDescent="0.25">
      <c r="A203" s="21" cm="1">
        <f t="array" ref="A203">IFERROR(LOOKUP(2,1/([1]maestro!I:I=H203),[1]maestro!B:B),"")</f>
        <v>46048</v>
      </c>
      <c r="B203" s="22" t="str">
        <f>TEXT(A203,"mmmm")</f>
        <v>enero</v>
      </c>
      <c r="C203" s="23">
        <v>176</v>
      </c>
      <c r="D203" s="22" t="s">
        <v>541</v>
      </c>
      <c r="E203" s="24" t="str">
        <f>PROPER(D203)</f>
        <v>Katherine Padilla Mosquera</v>
      </c>
      <c r="F203" s="22"/>
      <c r="G203" s="25" t="str">
        <f>CONCATENATE($G$1,H203)</f>
        <v>573118404563</v>
      </c>
      <c r="H203" s="24">
        <v>3118404563</v>
      </c>
      <c r="I203" s="24">
        <v>450</v>
      </c>
      <c r="J203" s="24">
        <v>450</v>
      </c>
      <c r="K203" s="24">
        <f>+J203*30</f>
        <v>13500</v>
      </c>
      <c r="L203" s="24">
        <f>K203/I203</f>
        <v>30</v>
      </c>
      <c r="M203" s="24">
        <f>K203/J203</f>
        <v>30</v>
      </c>
      <c r="N203" s="28">
        <f>(A203+M203)</f>
        <v>46078</v>
      </c>
      <c r="O203" s="24">
        <f>+Tabla2[[#This Row],[CODIGO]]</f>
        <v>176</v>
      </c>
      <c r="P203" s="26">
        <f>R203/Q203*1000</f>
        <v>33000</v>
      </c>
      <c r="Q203" s="22">
        <f>K203</f>
        <v>13500</v>
      </c>
      <c r="R203" s="30">
        <v>445500</v>
      </c>
      <c r="S203" s="22" t="s">
        <v>542</v>
      </c>
      <c r="T203" s="22" t="s">
        <v>543</v>
      </c>
      <c r="U203">
        <v>0</v>
      </c>
      <c r="V203" s="79">
        <v>0</v>
      </c>
    </row>
    <row r="204" spans="1:22" s="22" customFormat="1" x14ac:dyDescent="0.25">
      <c r="A204" s="21" cm="1">
        <f t="array" ref="A204">IFERROR(LOOKUP(2,1/([1]maestro!I:I=H204),[1]maestro!B:B),"")</f>
        <v>46045</v>
      </c>
      <c r="B204" s="22" t="str">
        <f>TEXT(A204,"mmmm")</f>
        <v>enero</v>
      </c>
      <c r="C204" s="23">
        <v>171</v>
      </c>
      <c r="D204" s="22" t="s">
        <v>527</v>
      </c>
      <c r="E204" s="24" t="str">
        <f>PROPER(D204)</f>
        <v>Juliana Sofia Torres Osorio</v>
      </c>
      <c r="G204" s="25" t="str">
        <f>CONCATENATE($G$1,H204)</f>
        <v>573197167416</v>
      </c>
      <c r="H204" s="24">
        <v>3197167416</v>
      </c>
      <c r="I204" s="24">
        <v>215</v>
      </c>
      <c r="J204" s="24">
        <v>430</v>
      </c>
      <c r="K204" s="24">
        <v>6450</v>
      </c>
      <c r="L204" s="24">
        <f>K204/I204</f>
        <v>30</v>
      </c>
      <c r="M204" s="24">
        <f>K204/J204</f>
        <v>15</v>
      </c>
      <c r="N204" s="28">
        <f>(A204+M204)</f>
        <v>46060</v>
      </c>
      <c r="O204" s="24">
        <f>+Tabla2[[#This Row],[CODIGO]]</f>
        <v>171</v>
      </c>
      <c r="P204" s="26">
        <f>R204/Q204*1000</f>
        <v>34000</v>
      </c>
      <c r="Q204" s="22">
        <f>K204</f>
        <v>6450</v>
      </c>
      <c r="R204" s="27">
        <v>219300</v>
      </c>
      <c r="S204" s="22" t="s">
        <v>528</v>
      </c>
      <c r="T204" s="22" t="s">
        <v>529</v>
      </c>
      <c r="U204">
        <v>0</v>
      </c>
      <c r="V204" s="79">
        <v>219300</v>
      </c>
    </row>
    <row r="205" spans="1:22" s="10" customFormat="1" x14ac:dyDescent="0.25">
      <c r="A205" s="21" cm="1">
        <f t="array" ref="A205">IFERROR(LOOKUP(2,1/([1]maestro!I:I=H205),[1]maestro!B:B),"")</f>
        <v>46037</v>
      </c>
      <c r="B205" s="22" t="str">
        <f>TEXT(A205,"mmmm")</f>
        <v>enero</v>
      </c>
      <c r="C205" s="23">
        <v>177</v>
      </c>
      <c r="D205" s="22" t="s">
        <v>544</v>
      </c>
      <c r="E205" s="24" t="str">
        <f>PROPER(D205)</f>
        <v xml:space="preserve">Kevin Leonardo Quevedo Ardila </v>
      </c>
      <c r="F205" s="22"/>
      <c r="G205" s="25" t="str">
        <f>CONCATENATE($G$1,H205)</f>
        <v>573213564596</v>
      </c>
      <c r="H205" s="24">
        <v>3213564596</v>
      </c>
      <c r="I205" s="24">
        <v>350</v>
      </c>
      <c r="J205" s="24">
        <v>350</v>
      </c>
      <c r="K205" s="24">
        <v>4900</v>
      </c>
      <c r="L205" s="24">
        <f>K205/I205</f>
        <v>14</v>
      </c>
      <c r="M205" s="24">
        <f>K205/J205</f>
        <v>14</v>
      </c>
      <c r="N205" s="28">
        <f>(A205+M205)</f>
        <v>46051</v>
      </c>
      <c r="O205" s="24">
        <f>+Tabla2[[#This Row],[CODIGO]]</f>
        <v>177</v>
      </c>
      <c r="P205" s="26">
        <f>R205/Q205*1000</f>
        <v>26000</v>
      </c>
      <c r="Q205" s="22">
        <f>K205</f>
        <v>4900</v>
      </c>
      <c r="R205" s="30">
        <v>127400</v>
      </c>
      <c r="S205" s="22" t="s">
        <v>545</v>
      </c>
      <c r="T205" s="22" t="s">
        <v>546</v>
      </c>
      <c r="U205">
        <v>0</v>
      </c>
      <c r="V205" s="79">
        <v>0</v>
      </c>
    </row>
    <row r="206" spans="1:22" s="10" customFormat="1" x14ac:dyDescent="0.25">
      <c r="A206" s="21" cm="1">
        <f t="array" ref="A206">IFERROR(LOOKUP(2,1/([1]maestro!I:I=H206),[1]maestro!B:B),"")</f>
        <v>46041</v>
      </c>
      <c r="B206" s="22" t="str">
        <f>TEXT(A206,"mmmm")</f>
        <v>enero</v>
      </c>
      <c r="C206" s="23">
        <v>178</v>
      </c>
      <c r="D206" s="22" t="s">
        <v>547</v>
      </c>
      <c r="E206" s="24" t="str">
        <f>PROPER(D206)</f>
        <v>La Tienda De Mechas Y Sus Amigos</v>
      </c>
      <c r="F206" s="22"/>
      <c r="G206" s="25" t="str">
        <f>CONCATENATE($G$1,H206)</f>
        <v>573214792026</v>
      </c>
      <c r="H206" s="24">
        <v>3214792026</v>
      </c>
      <c r="I206" s="24">
        <v>200</v>
      </c>
      <c r="J206" s="24">
        <v>200</v>
      </c>
      <c r="K206" s="24">
        <v>3000</v>
      </c>
      <c r="L206" s="24">
        <f>K206/I206</f>
        <v>15</v>
      </c>
      <c r="M206" s="24">
        <f>K206/J206</f>
        <v>15</v>
      </c>
      <c r="N206" s="28">
        <f>(A206+M206)</f>
        <v>46056</v>
      </c>
      <c r="O206" s="24">
        <f>+Tabla2[[#This Row],[CODIGO]]</f>
        <v>178</v>
      </c>
      <c r="P206" s="26">
        <f>R206/Q206*1000</f>
        <v>22000</v>
      </c>
      <c r="Q206" s="22">
        <f>K206</f>
        <v>3000</v>
      </c>
      <c r="R206" s="27">
        <v>66000</v>
      </c>
      <c r="S206" s="22" t="s">
        <v>548</v>
      </c>
      <c r="T206" s="22" t="s">
        <v>549</v>
      </c>
      <c r="U206">
        <v>0</v>
      </c>
      <c r="V206" s="79">
        <v>0</v>
      </c>
    </row>
    <row r="207" spans="1:22" s="10" customFormat="1" x14ac:dyDescent="0.25">
      <c r="A207" s="21" cm="1">
        <f t="array" ref="A207">IFERROR(LOOKUP(2,1/([1]maestro!I:I=H207),[1]maestro!B:B),"")</f>
        <v>46037</v>
      </c>
      <c r="B207" s="22" t="str">
        <f>TEXT(A207,"mmmm")</f>
        <v>enero</v>
      </c>
      <c r="C207" s="23">
        <v>179</v>
      </c>
      <c r="D207" s="22" t="s">
        <v>550</v>
      </c>
      <c r="E207" s="24" t="str">
        <f>PROPER(D207)</f>
        <v>Lady Johanna Camargo Cardona</v>
      </c>
      <c r="F207" s="22"/>
      <c r="G207" s="25" t="str">
        <f>CONCATENATE($G$1,H207)</f>
        <v>573146640759</v>
      </c>
      <c r="H207" s="24">
        <v>3146640759</v>
      </c>
      <c r="I207" s="33">
        <v>110</v>
      </c>
      <c r="J207" s="33">
        <v>220</v>
      </c>
      <c r="K207" s="33">
        <f>220*15</f>
        <v>3300</v>
      </c>
      <c r="L207" s="24">
        <f>K207/I207</f>
        <v>30</v>
      </c>
      <c r="M207" s="24">
        <f>K207/J207</f>
        <v>15</v>
      </c>
      <c r="N207" s="28">
        <f>(A207+M207)</f>
        <v>46052</v>
      </c>
      <c r="O207" s="24">
        <f>+Tabla2[[#This Row],[CODIGO]]</f>
        <v>179</v>
      </c>
      <c r="P207" s="26">
        <f>R207/Q207*1000</f>
        <v>38000</v>
      </c>
      <c r="Q207" s="22">
        <f>K207</f>
        <v>3300</v>
      </c>
      <c r="R207" s="30">
        <v>125400</v>
      </c>
      <c r="S207" s="22" t="s">
        <v>551</v>
      </c>
      <c r="T207" s="22" t="s">
        <v>552</v>
      </c>
      <c r="U207">
        <v>0</v>
      </c>
      <c r="V207" s="79">
        <v>0</v>
      </c>
    </row>
    <row r="208" spans="1:22" s="10" customFormat="1" x14ac:dyDescent="0.25">
      <c r="A208" s="21" cm="1">
        <f t="array" ref="A208">IFERROR(LOOKUP(2,1/([1]maestro!I:I=H208),[1]maestro!B:B),"")</f>
        <v>46038</v>
      </c>
      <c r="B208" s="22" t="str">
        <f>TEXT(A208,"mmmm")</f>
        <v>enero</v>
      </c>
      <c r="C208" s="23">
        <v>181</v>
      </c>
      <c r="D208" s="22" t="s">
        <v>556</v>
      </c>
      <c r="E208" s="24" t="str">
        <f>PROPER(D208)</f>
        <v>Laura Cristina Sanabria Moreno</v>
      </c>
      <c r="F208" s="22"/>
      <c r="G208" s="25" t="str">
        <f>CONCATENATE($G$1,H208)</f>
        <v>573165157961</v>
      </c>
      <c r="H208" s="24">
        <v>3165157961</v>
      </c>
      <c r="I208" s="24">
        <v>230</v>
      </c>
      <c r="J208" s="24">
        <v>230</v>
      </c>
      <c r="K208" s="24">
        <f>J208*15</f>
        <v>3450</v>
      </c>
      <c r="L208" s="24">
        <f>K208/I208</f>
        <v>15</v>
      </c>
      <c r="M208" s="24">
        <f>K208/J208</f>
        <v>15</v>
      </c>
      <c r="N208" s="28">
        <f>(A208+M208)</f>
        <v>46053</v>
      </c>
      <c r="O208" s="24">
        <f>+Tabla2[[#This Row],[CODIGO]]</f>
        <v>181</v>
      </c>
      <c r="P208" s="26">
        <f>R208/Q208*1000</f>
        <v>34000</v>
      </c>
      <c r="Q208" s="22">
        <f>K208</f>
        <v>3450</v>
      </c>
      <c r="R208" s="30">
        <v>117300</v>
      </c>
      <c r="S208" s="22" t="s">
        <v>557</v>
      </c>
      <c r="T208" s="22" t="s">
        <v>558</v>
      </c>
      <c r="U208">
        <v>0</v>
      </c>
      <c r="V208" s="79">
        <v>0</v>
      </c>
    </row>
    <row r="209" spans="1:22" s="10" customFormat="1" x14ac:dyDescent="0.25">
      <c r="A209" s="48" cm="1">
        <f t="array" ref="A209">IFERROR(LOOKUP(2,1/([1]maestro!I:I=H209),[1]maestro!B:B),"")</f>
        <v>46041</v>
      </c>
      <c r="B209" s="49" t="str">
        <f>TEXT(A209,"mmmm")</f>
        <v>enero</v>
      </c>
      <c r="C209" s="50">
        <v>182</v>
      </c>
      <c r="D209" s="61" t="s">
        <v>559</v>
      </c>
      <c r="E209" s="51" t="str">
        <f>PROPER(D209)</f>
        <v>Laura Fernanda Gomez Ramirez</v>
      </c>
      <c r="F209" s="49"/>
      <c r="G209" s="52" t="str">
        <f>CONCATENATE($G$1,H209)</f>
        <v>573003622282</v>
      </c>
      <c r="H209" s="51">
        <v>3003622282</v>
      </c>
      <c r="I209" s="62">
        <v>60</v>
      </c>
      <c r="J209" s="62">
        <f>60*3</f>
        <v>180</v>
      </c>
      <c r="K209" s="62">
        <f>+J209*15</f>
        <v>2700</v>
      </c>
      <c r="L209" s="58">
        <f>K209/I209</f>
        <v>45</v>
      </c>
      <c r="M209" s="59">
        <f>K209/J209</f>
        <v>15</v>
      </c>
      <c r="N209" s="53">
        <f>(A209+M209)</f>
        <v>46056</v>
      </c>
      <c r="O209" s="51">
        <f>+Tabla2[[#This Row],[CODIGO]]</f>
        <v>182</v>
      </c>
      <c r="P209" s="54">
        <f>R209/Q209*1000</f>
        <v>40185.185185185182</v>
      </c>
      <c r="Q209" s="49">
        <f>K209</f>
        <v>2700</v>
      </c>
      <c r="R209" s="55">
        <v>108500</v>
      </c>
      <c r="S209" s="49" t="s">
        <v>560</v>
      </c>
      <c r="T209" s="49" t="s">
        <v>561</v>
      </c>
      <c r="U209">
        <v>0</v>
      </c>
      <c r="V209" s="79">
        <v>0</v>
      </c>
    </row>
    <row r="210" spans="1:22" s="10" customFormat="1" x14ac:dyDescent="0.25">
      <c r="A210" s="21" cm="1">
        <f t="array" ref="A210">IFERROR(LOOKUP(2,1/([1]maestro!I:I=H210),[1]maestro!B:B),"")</f>
        <v>46037</v>
      </c>
      <c r="B210" s="22" t="str">
        <f>TEXT(A210,"mmmm")</f>
        <v>enero</v>
      </c>
      <c r="C210" s="23">
        <v>183</v>
      </c>
      <c r="D210" s="22" t="s">
        <v>562</v>
      </c>
      <c r="E210" s="24" t="str">
        <f>PROPER(D210)</f>
        <v>Laura Marcela Niño Rojas</v>
      </c>
      <c r="F210" s="22"/>
      <c r="G210" s="25" t="str">
        <f>CONCATENATE($G$1,H210)</f>
        <v>573125248122</v>
      </c>
      <c r="H210" s="24">
        <v>3125248122</v>
      </c>
      <c r="I210" s="24">
        <v>100</v>
      </c>
      <c r="J210" s="24">
        <f>+I210*3</f>
        <v>300</v>
      </c>
      <c r="K210" s="24">
        <f>+J210*7</f>
        <v>2100</v>
      </c>
      <c r="L210" s="24">
        <f>K210/I210</f>
        <v>21</v>
      </c>
      <c r="M210" s="24">
        <f>K210/J210</f>
        <v>7</v>
      </c>
      <c r="N210" s="28">
        <f>(A210+M210)</f>
        <v>46044</v>
      </c>
      <c r="O210" s="24">
        <f>+Tabla2[[#This Row],[CODIGO]]</f>
        <v>183</v>
      </c>
      <c r="P210" s="26">
        <f>R210/Q210*1000</f>
        <v>34000</v>
      </c>
      <c r="Q210" s="22">
        <f>K210</f>
        <v>2100</v>
      </c>
      <c r="R210" s="30">
        <v>71400</v>
      </c>
      <c r="S210" s="22" t="s">
        <v>563</v>
      </c>
      <c r="T210" s="22" t="s">
        <v>564</v>
      </c>
      <c r="U210">
        <v>0</v>
      </c>
      <c r="V210" s="79">
        <v>0</v>
      </c>
    </row>
    <row r="211" spans="1:22" s="10" customFormat="1" x14ac:dyDescent="0.25">
      <c r="A211" s="9" t="str" cm="1">
        <f t="array" ref="A211">IFERROR(LOOKUP(2,1/([1]maestro!I:I=H211),[1]maestro!B:B),"")</f>
        <v/>
      </c>
      <c r="B211" s="10" t="str">
        <f>TEXT(A211,"mmmm")</f>
        <v/>
      </c>
      <c r="C211" s="11">
        <v>184</v>
      </c>
      <c r="D211" s="12" t="s">
        <v>565</v>
      </c>
      <c r="E211" s="13" t="str">
        <f>PROPER(D211)</f>
        <v>Laura Marcela Rojas Diaz</v>
      </c>
      <c r="G211" s="14" t="str">
        <f>CONCATENATE($G$1,H211)</f>
        <v>573186910791</v>
      </c>
      <c r="H211" s="13">
        <v>3186910791</v>
      </c>
      <c r="I211" s="15">
        <v>200</v>
      </c>
      <c r="J211" s="15">
        <v>400</v>
      </c>
      <c r="K211" s="15">
        <f>+J211*15</f>
        <v>6000</v>
      </c>
      <c r="L211" s="16">
        <f>K211/I211</f>
        <v>30</v>
      </c>
      <c r="M211" s="17">
        <f>K211/J211</f>
        <v>15</v>
      </c>
      <c r="N211" s="18" t="e">
        <f>(A211+M211)</f>
        <v>#VALUE!</v>
      </c>
      <c r="O211" s="13">
        <f>+Tabla2[[#This Row],[CODIGO]]</f>
        <v>184</v>
      </c>
      <c r="P211" s="19">
        <f>R211/Q211*1000</f>
        <v>36000</v>
      </c>
      <c r="Q211" s="10">
        <f>K211</f>
        <v>6000</v>
      </c>
      <c r="R211" s="20">
        <v>216000</v>
      </c>
      <c r="S211" s="10" t="s">
        <v>566</v>
      </c>
      <c r="T211" s="10" t="s">
        <v>567</v>
      </c>
      <c r="U211">
        <v>0</v>
      </c>
      <c r="V211" s="79">
        <v>0</v>
      </c>
    </row>
    <row r="212" spans="1:22" s="10" customFormat="1" x14ac:dyDescent="0.25">
      <c r="A212" s="9" cm="1">
        <f t="array" ref="A212">IFERROR(LOOKUP(2,1/([1]maestro!I:I=H212),[1]maestro!B:B),"")</f>
        <v>46040</v>
      </c>
      <c r="B212" s="10" t="str">
        <f>TEXT(A212,"mmmm")</f>
        <v>enero</v>
      </c>
      <c r="C212" s="11">
        <v>185</v>
      </c>
      <c r="D212" s="10" t="s">
        <v>568</v>
      </c>
      <c r="E212" s="13" t="str">
        <f>PROPER(D212)</f>
        <v>Laura Posso</v>
      </c>
      <c r="G212" s="14" t="str">
        <f>CONCATENATE($G$1,H212)</f>
        <v>573106848762</v>
      </c>
      <c r="H212" s="13">
        <v>3106848762</v>
      </c>
      <c r="I212" s="15">
        <v>60</v>
      </c>
      <c r="J212" s="15">
        <f>+Tabla2[[#This Row],[POR COMIDA]]*2</f>
        <v>120</v>
      </c>
      <c r="K212" s="15">
        <f>+I212*30</f>
        <v>1800</v>
      </c>
      <c r="L212" s="16">
        <f>K212/I212</f>
        <v>30</v>
      </c>
      <c r="M212" s="17">
        <f>K212/J212</f>
        <v>15</v>
      </c>
      <c r="N212" s="18">
        <f>(A212+M212)</f>
        <v>46055</v>
      </c>
      <c r="O212" s="13">
        <f>+Tabla2[[#This Row],[CODIGO]]</f>
        <v>185</v>
      </c>
      <c r="P212" s="19">
        <f>R212/Q212*1000</f>
        <v>43000</v>
      </c>
      <c r="Q212" s="10">
        <f>K212</f>
        <v>1800</v>
      </c>
      <c r="R212" s="29">
        <v>77400</v>
      </c>
      <c r="S212" s="10" t="s">
        <v>202</v>
      </c>
      <c r="T212" s="10" t="s">
        <v>203</v>
      </c>
      <c r="U212">
        <v>0</v>
      </c>
      <c r="V212" s="79">
        <v>0</v>
      </c>
    </row>
    <row r="213" spans="1:22" s="22" customFormat="1" x14ac:dyDescent="0.25">
      <c r="A213" s="21" cm="1">
        <f t="array" ref="A213">IFERROR(LOOKUP(2,1/([1]maestro!I:I=H213),[1]maestro!B:B),"")</f>
        <v>46044</v>
      </c>
      <c r="B213" s="22" t="str">
        <f>TEXT(A213,"mmmm")</f>
        <v>enero</v>
      </c>
      <c r="C213" s="23">
        <v>180</v>
      </c>
      <c r="D213" s="22" t="s">
        <v>553</v>
      </c>
      <c r="E213" s="24" t="str">
        <f>PROPER(D213)</f>
        <v>Laura Alejandra Torres Granados</v>
      </c>
      <c r="G213" s="25" t="str">
        <f>CONCATENATE($G$1,H213)</f>
        <v>573215752195</v>
      </c>
      <c r="H213" s="24">
        <v>3215752195</v>
      </c>
      <c r="I213" s="24">
        <v>180</v>
      </c>
      <c r="J213" s="24">
        <v>360</v>
      </c>
      <c r="K213" s="24">
        <v>5400</v>
      </c>
      <c r="L213" s="24">
        <f>K213/I213</f>
        <v>30</v>
      </c>
      <c r="M213" s="24">
        <f>K213/J213</f>
        <v>15</v>
      </c>
      <c r="N213" s="28">
        <f>(A213+M213)</f>
        <v>46059</v>
      </c>
      <c r="O213" s="24">
        <f>+Tabla2[[#This Row],[CODIGO]]</f>
        <v>180</v>
      </c>
      <c r="P213" s="26">
        <f>R213/Q213*1000</f>
        <v>25185.185185185186</v>
      </c>
      <c r="Q213" s="22">
        <f>K213</f>
        <v>5400</v>
      </c>
      <c r="R213" s="27">
        <v>136000</v>
      </c>
      <c r="S213" s="22" t="s">
        <v>554</v>
      </c>
      <c r="T213" s="22" t="s">
        <v>555</v>
      </c>
      <c r="U213">
        <v>0</v>
      </c>
      <c r="V213" s="79">
        <v>136000</v>
      </c>
    </row>
    <row r="214" spans="1:22" s="10" customFormat="1" x14ac:dyDescent="0.25">
      <c r="A214" s="9" t="str" cm="1">
        <f t="array" ref="A214">IFERROR(LOOKUP(2,1/([1]maestro!I:I=H214),[1]maestro!B:B),"")</f>
        <v/>
      </c>
      <c r="B214" s="10" t="str">
        <f>TEXT(A214,"mmmm")</f>
        <v/>
      </c>
      <c r="C214" s="11">
        <v>187</v>
      </c>
      <c r="D214" s="12" t="s">
        <v>572</v>
      </c>
      <c r="E214" s="13" t="str">
        <f>PROPER(D214)</f>
        <v>Leidy Bayona Saganome 113</v>
      </c>
      <c r="G214" s="14" t="str">
        <f>CONCATENATE($G$1,H214)</f>
        <v>573183191793</v>
      </c>
      <c r="H214" s="13">
        <v>3183191793</v>
      </c>
      <c r="I214" s="15">
        <v>37</v>
      </c>
      <c r="J214" s="15">
        <v>113</v>
      </c>
      <c r="K214" s="15">
        <f>+J214*7</f>
        <v>791</v>
      </c>
      <c r="L214" s="16">
        <f>K214/I214</f>
        <v>21.378378378378379</v>
      </c>
      <c r="M214" s="17">
        <f>K214/J214</f>
        <v>7</v>
      </c>
      <c r="N214" s="18" t="e">
        <f>(A214+M214)</f>
        <v>#VALUE!</v>
      </c>
      <c r="O214" s="13">
        <f>+Tabla2[[#This Row],[CODIGO]]</f>
        <v>187</v>
      </c>
      <c r="P214" s="19">
        <f>R214/Q214*1000</f>
        <v>12642.225031605562</v>
      </c>
      <c r="Q214" s="10">
        <f>K214</f>
        <v>791</v>
      </c>
      <c r="R214" s="20">
        <v>10000</v>
      </c>
      <c r="S214" s="10" t="s">
        <v>573</v>
      </c>
      <c r="U214">
        <v>0</v>
      </c>
      <c r="V214" s="79">
        <v>0</v>
      </c>
    </row>
    <row r="215" spans="1:22" s="49" customFormat="1" x14ac:dyDescent="0.25">
      <c r="A215" s="9" t="str" cm="1">
        <f t="array" ref="A215">IFERROR(LOOKUP(2,1/([1]maestro!I:I=H215),[1]maestro!B:B),"")</f>
        <v/>
      </c>
      <c r="B215" s="10" t="str">
        <f>TEXT(A215,"mmmm")</f>
        <v/>
      </c>
      <c r="C215" s="11">
        <v>187</v>
      </c>
      <c r="D215" s="12" t="s">
        <v>574</v>
      </c>
      <c r="E215" s="13" t="str">
        <f>PROPER(D215)</f>
        <v>Leidy Bayona Saganome 150</v>
      </c>
      <c r="F215" s="10"/>
      <c r="G215" s="14" t="str">
        <f>CONCATENATE($G$1,H215)</f>
        <v>573183191793</v>
      </c>
      <c r="H215" s="13">
        <v>3183191793</v>
      </c>
      <c r="I215" s="15">
        <v>50</v>
      </c>
      <c r="J215" s="15">
        <v>150</v>
      </c>
      <c r="K215" s="15">
        <f>+J215*7</f>
        <v>1050</v>
      </c>
      <c r="L215" s="16">
        <f>K215/I215</f>
        <v>21</v>
      </c>
      <c r="M215" s="17">
        <f>K215/J215</f>
        <v>7</v>
      </c>
      <c r="N215" s="18" t="e">
        <f>(A215+M215)</f>
        <v>#VALUE!</v>
      </c>
      <c r="O215" s="13">
        <f>+Tabla2[[#This Row],[CODIGO]]</f>
        <v>187</v>
      </c>
      <c r="P215" s="19">
        <f>R215/Q215*1000</f>
        <v>9523.8095238095229</v>
      </c>
      <c r="Q215" s="10">
        <f>K215</f>
        <v>1050</v>
      </c>
      <c r="R215" s="20">
        <v>10000</v>
      </c>
      <c r="S215" s="10" t="s">
        <v>573</v>
      </c>
      <c r="T215" s="10"/>
      <c r="U215">
        <v>0</v>
      </c>
      <c r="V215" s="79">
        <v>0</v>
      </c>
    </row>
    <row r="216" spans="1:22" s="10" customFormat="1" x14ac:dyDescent="0.25">
      <c r="A216" s="21" cm="1">
        <f t="array" ref="A216">IFERROR(LOOKUP(2,1/([1]maestro!I:I=H216),[1]maestro!B:B),"")</f>
        <v>46045</v>
      </c>
      <c r="B216" s="22" t="str">
        <f>TEXT(A216,"mmmm")</f>
        <v>enero</v>
      </c>
      <c r="C216" s="23">
        <v>189</v>
      </c>
      <c r="D216" s="32" t="s">
        <v>577</v>
      </c>
      <c r="E216" s="24" t="str">
        <f>PROPER(D216)</f>
        <v>Leidy Johana Murcia</v>
      </c>
      <c r="F216" s="22"/>
      <c r="G216" s="25" t="str">
        <f>CONCATENATE($G$1,H216)</f>
        <v>573174193520</v>
      </c>
      <c r="H216" s="24">
        <v>3174193520</v>
      </c>
      <c r="I216" s="33">
        <v>60</v>
      </c>
      <c r="J216" s="33">
        <v>180</v>
      </c>
      <c r="K216" s="33">
        <f>+J216*15</f>
        <v>2700</v>
      </c>
      <c r="L216" s="34">
        <f>K216/I216</f>
        <v>45</v>
      </c>
      <c r="M216" s="35">
        <f>K216/J216</f>
        <v>15</v>
      </c>
      <c r="N216" s="28">
        <f>(A216+M216)</f>
        <v>46060</v>
      </c>
      <c r="O216" s="24">
        <f>+Tabla2[[#This Row],[CODIGO]]</f>
        <v>189</v>
      </c>
      <c r="P216" s="26">
        <f>R216/Q216*1000</f>
        <v>40000</v>
      </c>
      <c r="Q216" s="22">
        <f>K216</f>
        <v>2700</v>
      </c>
      <c r="R216" s="27">
        <v>108000</v>
      </c>
      <c r="S216" s="22" t="s">
        <v>578</v>
      </c>
      <c r="T216" s="22" t="s">
        <v>579</v>
      </c>
      <c r="U216">
        <v>0</v>
      </c>
      <c r="V216" s="79">
        <v>0</v>
      </c>
    </row>
    <row r="217" spans="1:22" s="10" customFormat="1" x14ac:dyDescent="0.25">
      <c r="A217" s="9" t="str" cm="1">
        <f t="array" ref="A217">IFERROR(LOOKUP(2,1/([1]maestro!I:I=H217),[1]maestro!B:B),"")</f>
        <v/>
      </c>
      <c r="B217" s="10" t="str">
        <f>TEXT(A217,"mmmm")</f>
        <v/>
      </c>
      <c r="C217" s="11">
        <v>190</v>
      </c>
      <c r="D217" s="12" t="s">
        <v>580</v>
      </c>
      <c r="E217" s="13" t="str">
        <f>PROPER(D217)</f>
        <v>Leonardo Ferrer</v>
      </c>
      <c r="G217" s="14" t="str">
        <f>CONCATENATE($G$1,H217)</f>
        <v>573115050821</v>
      </c>
      <c r="H217" s="13">
        <v>3115050821</v>
      </c>
      <c r="I217" s="15">
        <v>220</v>
      </c>
      <c r="J217" s="15">
        <v>660</v>
      </c>
      <c r="K217" s="15">
        <f>+J217*7</f>
        <v>4620</v>
      </c>
      <c r="L217" s="16">
        <f>K217/I217</f>
        <v>21</v>
      </c>
      <c r="M217" s="17">
        <f>K217/J217</f>
        <v>7</v>
      </c>
      <c r="N217" s="18" t="e">
        <f>(A217+M217)</f>
        <v>#VALUE!</v>
      </c>
      <c r="O217" s="13">
        <f>+Tabla2[[#This Row],[CODIGO]]</f>
        <v>190</v>
      </c>
      <c r="P217" s="19">
        <f>R217/Q217*1000</f>
        <v>28928.571428571428</v>
      </c>
      <c r="Q217" s="10">
        <f>K217</f>
        <v>4620</v>
      </c>
      <c r="R217" s="20">
        <v>133650</v>
      </c>
      <c r="S217" s="10" t="s">
        <v>581</v>
      </c>
      <c r="T217" s="10" t="s">
        <v>582</v>
      </c>
      <c r="U217">
        <v>0</v>
      </c>
      <c r="V217" s="79">
        <v>0</v>
      </c>
    </row>
    <row r="218" spans="1:22" s="10" customFormat="1" x14ac:dyDescent="0.25">
      <c r="A218" s="9" t="str" cm="1">
        <f t="array" ref="A218">IFERROR(LOOKUP(2,1/([1]maestro!I:I=H218),[1]maestro!B:B),"")</f>
        <v/>
      </c>
      <c r="B218" s="10" t="str">
        <f>TEXT(A218,"mmmm")</f>
        <v/>
      </c>
      <c r="C218" s="11">
        <v>191</v>
      </c>
      <c r="D218" s="12" t="s">
        <v>583</v>
      </c>
      <c r="E218" s="13" t="str">
        <f>PROPER(D218)</f>
        <v>Lida Fernanda Lizo</v>
      </c>
      <c r="G218" s="14" t="str">
        <f>CONCATENATE($G$1,H218)</f>
        <v>573208398555</v>
      </c>
      <c r="H218" s="13">
        <v>3208398555</v>
      </c>
      <c r="I218" s="15">
        <v>60</v>
      </c>
      <c r="J218" s="15">
        <v>120</v>
      </c>
      <c r="K218" s="15">
        <f>+J218*15</f>
        <v>1800</v>
      </c>
      <c r="L218" s="16">
        <f>K218/I218</f>
        <v>30</v>
      </c>
      <c r="M218" s="17">
        <f>K218/J218</f>
        <v>15</v>
      </c>
      <c r="N218" s="18" t="e">
        <f>(A218+M218)</f>
        <v>#VALUE!</v>
      </c>
      <c r="O218" s="13">
        <f>+Tabla2[[#This Row],[CODIGO]]</f>
        <v>191</v>
      </c>
      <c r="P218" s="19">
        <f>R218/Q218*1000</f>
        <v>30000</v>
      </c>
      <c r="Q218" s="10">
        <f>K218</f>
        <v>1800</v>
      </c>
      <c r="R218" s="20">
        <v>54000</v>
      </c>
      <c r="S218" s="10" t="s">
        <v>584</v>
      </c>
      <c r="T218" s="10" t="s">
        <v>585</v>
      </c>
      <c r="U218">
        <v>0</v>
      </c>
      <c r="V218" s="79">
        <v>0</v>
      </c>
    </row>
    <row r="219" spans="1:22" s="22" customFormat="1" x14ac:dyDescent="0.25">
      <c r="A219" s="21" cm="1">
        <f t="array" ref="A219">IFERROR(LOOKUP(2,1/([1]maestro!I:I=H219),[1]maestro!B:B),"")</f>
        <v>46044</v>
      </c>
      <c r="B219" s="22" t="str">
        <f>TEXT(A219,"mmmm")</f>
        <v>enero</v>
      </c>
      <c r="C219" s="23">
        <v>186</v>
      </c>
      <c r="D219" s="22" t="s">
        <v>569</v>
      </c>
      <c r="E219" s="24" t="str">
        <f>PROPER(D219)</f>
        <v>Laura Solano-Paola Garcia</v>
      </c>
      <c r="G219" s="25" t="str">
        <f>CONCATENATE($G$1,H219)</f>
        <v>573232336182</v>
      </c>
      <c r="H219" s="24">
        <v>3232336182</v>
      </c>
      <c r="I219" s="24">
        <v>150</v>
      </c>
      <c r="J219" s="24">
        <v>450</v>
      </c>
      <c r="K219" s="24">
        <f>21*150</f>
        <v>3150</v>
      </c>
      <c r="L219" s="24">
        <f>K219/I219</f>
        <v>21</v>
      </c>
      <c r="M219" s="24">
        <f>K219/J219</f>
        <v>7</v>
      </c>
      <c r="N219" s="28">
        <f>(A219+M219)</f>
        <v>46051</v>
      </c>
      <c r="O219" s="24">
        <f>+Tabla2[[#This Row],[CODIGO]]</f>
        <v>186</v>
      </c>
      <c r="P219" s="26">
        <f>R219/Q219*1000</f>
        <v>29841.269841269841</v>
      </c>
      <c r="Q219" s="22">
        <f>K219</f>
        <v>3150</v>
      </c>
      <c r="R219" s="27">
        <v>94000</v>
      </c>
      <c r="S219" s="22" t="s">
        <v>570</v>
      </c>
      <c r="T219" s="22" t="s">
        <v>571</v>
      </c>
      <c r="U219">
        <v>0</v>
      </c>
      <c r="V219" s="79">
        <v>192900</v>
      </c>
    </row>
    <row r="220" spans="1:22" s="10" customFormat="1" x14ac:dyDescent="0.25">
      <c r="A220" s="21" cm="1">
        <f t="array" ref="A220">IFERROR(LOOKUP(2,1/([1]maestro!I:I=H220),[1]maestro!B:B),"")</f>
        <v>46036</v>
      </c>
      <c r="B220" s="22" t="str">
        <f>TEXT(A220,"mmmm")</f>
        <v>enero</v>
      </c>
      <c r="C220" s="23">
        <v>192</v>
      </c>
      <c r="D220" s="32" t="s">
        <v>586</v>
      </c>
      <c r="E220" s="24" t="str">
        <f>PROPER(D220)</f>
        <v>Liliana Andrea Sánchez Cristancho Chiripa</v>
      </c>
      <c r="F220" s="22"/>
      <c r="G220" s="25" t="str">
        <f>CONCATENATE($G$1,H220)</f>
        <v>573114755232</v>
      </c>
      <c r="H220" s="24">
        <v>3114755232</v>
      </c>
      <c r="I220" s="33">
        <v>90</v>
      </c>
      <c r="J220" s="33">
        <f>+Tabla2[[#This Row],[POR COMIDA]]*3</f>
        <v>270</v>
      </c>
      <c r="K220" s="33">
        <f>+J220*15</f>
        <v>4050</v>
      </c>
      <c r="L220" s="34">
        <f>K220/I220</f>
        <v>45</v>
      </c>
      <c r="M220" s="35">
        <f>K220/J220</f>
        <v>15</v>
      </c>
      <c r="N220" s="28">
        <f>(A220+M220)</f>
        <v>46051</v>
      </c>
      <c r="O220" s="24">
        <f>+Tabla2[[#This Row],[CODIGO]]</f>
        <v>192</v>
      </c>
      <c r="P220" s="26">
        <f>R220/Q220*1000</f>
        <v>25000</v>
      </c>
      <c r="Q220" s="22">
        <f>K220</f>
        <v>4050</v>
      </c>
      <c r="R220" s="30">
        <v>101250</v>
      </c>
      <c r="S220" s="22" t="s">
        <v>587</v>
      </c>
      <c r="T220" s="22" t="s">
        <v>588</v>
      </c>
      <c r="U220">
        <v>0</v>
      </c>
      <c r="V220" s="79">
        <v>0</v>
      </c>
    </row>
    <row r="221" spans="1:22" s="10" customFormat="1" x14ac:dyDescent="0.25">
      <c r="A221" s="21" cm="1">
        <f t="array" ref="A221">IFERROR(LOOKUP(2,1/([1]maestro!I:I=H221),[1]maestro!B:B),"")</f>
        <v>46036</v>
      </c>
      <c r="B221" s="22" t="str">
        <f>TEXT(A221,"mmmm")</f>
        <v>enero</v>
      </c>
      <c r="C221" s="23">
        <v>192</v>
      </c>
      <c r="D221" s="32" t="s">
        <v>589</v>
      </c>
      <c r="E221" s="24" t="str">
        <f>PROPER(D221)</f>
        <v>Liliana Andrea Sánchez Cristancho Manolo</v>
      </c>
      <c r="F221" s="22"/>
      <c r="G221" s="25" t="str">
        <f>CONCATENATE($G$1,H221)</f>
        <v>573114755232</v>
      </c>
      <c r="H221" s="24">
        <v>3114755232</v>
      </c>
      <c r="I221" s="33">
        <v>105</v>
      </c>
      <c r="J221" s="33">
        <f>+Tabla2[[#This Row],[POR COMIDA]]*3</f>
        <v>315</v>
      </c>
      <c r="K221" s="33">
        <f>+J221*15</f>
        <v>4725</v>
      </c>
      <c r="L221" s="34">
        <f>K221/I221</f>
        <v>45</v>
      </c>
      <c r="M221" s="35">
        <f>K221/J221</f>
        <v>15</v>
      </c>
      <c r="N221" s="28">
        <f>(A221+M221)</f>
        <v>46051</v>
      </c>
      <c r="O221" s="24">
        <f>+Tabla2[[#This Row],[CODIGO]]</f>
        <v>192</v>
      </c>
      <c r="P221" s="26">
        <f>R221/Q221*1000</f>
        <v>25000</v>
      </c>
      <c r="Q221" s="22">
        <f>K221</f>
        <v>4725</v>
      </c>
      <c r="R221" s="30">
        <v>118125</v>
      </c>
      <c r="S221" s="22" t="s">
        <v>587</v>
      </c>
      <c r="T221" s="22" t="s">
        <v>588</v>
      </c>
      <c r="U221">
        <v>0</v>
      </c>
      <c r="V221" s="79">
        <v>0</v>
      </c>
    </row>
    <row r="222" spans="1:22" s="10" customFormat="1" x14ac:dyDescent="0.25">
      <c r="A222" s="21" cm="1">
        <f t="array" ref="A222">IFERROR(LOOKUP(2,1/([1]maestro!I:I=H222),[1]maestro!B:B),"")</f>
        <v>46041</v>
      </c>
      <c r="B222" s="22" t="str">
        <f>TEXT(A222,"mmmm")</f>
        <v>enero</v>
      </c>
      <c r="C222" s="23">
        <v>188</v>
      </c>
      <c r="D222" s="22" t="s">
        <v>575</v>
      </c>
      <c r="E222" s="24" t="str">
        <f>PROPER(D222)</f>
        <v>Leidy Gaviria</v>
      </c>
      <c r="F222" s="22"/>
      <c r="G222" s="25" t="str">
        <f>CONCATENATE($G$1,H222)</f>
        <v>573002926752</v>
      </c>
      <c r="H222" s="24">
        <v>3002926752</v>
      </c>
      <c r="I222" s="24">
        <v>80</v>
      </c>
      <c r="J222" s="24">
        <v>160</v>
      </c>
      <c r="K222" s="24">
        <f>+Tabla2[[#This Row],[AL DIA]]*10</f>
        <v>1600</v>
      </c>
      <c r="L222" s="24">
        <f>K222/I222</f>
        <v>20</v>
      </c>
      <c r="M222" s="24">
        <f>K222/J222</f>
        <v>10</v>
      </c>
      <c r="N222" s="18">
        <f>(A222+M222)</f>
        <v>46051</v>
      </c>
      <c r="O222" s="24">
        <f>+Tabla2[[#This Row],[CODIGO]]</f>
        <v>188</v>
      </c>
      <c r="P222" s="26">
        <f>R222/Q222*1000</f>
        <v>13000</v>
      </c>
      <c r="Q222" s="22">
        <f>K222</f>
        <v>1600</v>
      </c>
      <c r="R222" s="27">
        <v>20800</v>
      </c>
      <c r="S222" s="22" t="s">
        <v>576</v>
      </c>
      <c r="T222" s="22"/>
      <c r="U222">
        <v>0</v>
      </c>
      <c r="V222" s="79">
        <v>171350</v>
      </c>
    </row>
    <row r="223" spans="1:22" s="22" customFormat="1" x14ac:dyDescent="0.25">
      <c r="A223" s="21" cm="1">
        <f t="array" ref="A223">IFERROR(LOOKUP(2,1/([1]maestro!I:I=H223),[1]maestro!B:B),"")</f>
        <v>46036</v>
      </c>
      <c r="B223" s="22" t="str">
        <f>TEXT(A223,"mmmm")</f>
        <v>enero</v>
      </c>
      <c r="C223" s="23">
        <v>192</v>
      </c>
      <c r="D223" s="32" t="s">
        <v>590</v>
      </c>
      <c r="E223" s="24" t="str">
        <f>PROPER(D223)</f>
        <v>Liliana Andrea Sánchez Cristancho Mia</v>
      </c>
      <c r="G223" s="25" t="str">
        <f>CONCATENATE($G$1,H223)</f>
        <v>573114755232</v>
      </c>
      <c r="H223" s="24">
        <v>3114755232</v>
      </c>
      <c r="I223" s="33">
        <v>140</v>
      </c>
      <c r="J223" s="33">
        <f>+Tabla2[[#This Row],[POR COMIDA]]*3</f>
        <v>420</v>
      </c>
      <c r="K223" s="33">
        <f>+J223*15</f>
        <v>6300</v>
      </c>
      <c r="L223" s="34">
        <f>K223/I223</f>
        <v>45</v>
      </c>
      <c r="M223" s="35">
        <f>K223/J223</f>
        <v>15</v>
      </c>
      <c r="N223" s="28">
        <f>(A223+M223)</f>
        <v>46051</v>
      </c>
      <c r="O223" s="24">
        <f>+Tabla2[[#This Row],[CODIGO]]</f>
        <v>192</v>
      </c>
      <c r="P223" s="26">
        <f>R223/Q223*1000</f>
        <v>25000</v>
      </c>
      <c r="Q223" s="22">
        <f>K223</f>
        <v>6300</v>
      </c>
      <c r="R223" s="30">
        <v>157500</v>
      </c>
      <c r="S223" s="22" t="s">
        <v>587</v>
      </c>
      <c r="T223" s="22" t="s">
        <v>588</v>
      </c>
      <c r="U223">
        <v>0</v>
      </c>
      <c r="V223" s="79">
        <v>0</v>
      </c>
    </row>
    <row r="224" spans="1:22" s="10" customFormat="1" x14ac:dyDescent="0.25">
      <c r="A224" s="21" cm="1">
        <f t="array" ref="A224">IFERROR(LOOKUP(2,1/([1]maestro!I:I=H224),[1]maestro!B:B),"")</f>
        <v>46036</v>
      </c>
      <c r="B224" s="22" t="str">
        <f>TEXT(A224,"mmmm")</f>
        <v>enero</v>
      </c>
      <c r="C224" s="23">
        <v>192</v>
      </c>
      <c r="D224" s="32" t="s">
        <v>591</v>
      </c>
      <c r="E224" s="24" t="str">
        <f>PROPER(D224)</f>
        <v>Liliana Andrea Sánchez Cristancho Milo</v>
      </c>
      <c r="F224" s="22"/>
      <c r="G224" s="25" t="str">
        <f>CONCATENATE($G$1,H224)</f>
        <v>573114755232</v>
      </c>
      <c r="H224" s="24">
        <v>3114755232</v>
      </c>
      <c r="I224" s="33">
        <v>80</v>
      </c>
      <c r="J224" s="33">
        <f>+Tabla2[[#This Row],[POR COMIDA]]*3</f>
        <v>240</v>
      </c>
      <c r="K224" s="33">
        <f>+J224*15</f>
        <v>3600</v>
      </c>
      <c r="L224" s="34">
        <f>K224/I224</f>
        <v>45</v>
      </c>
      <c r="M224" s="35">
        <f>K224/J224</f>
        <v>15</v>
      </c>
      <c r="N224" s="28">
        <f>(A224+M224)</f>
        <v>46051</v>
      </c>
      <c r="O224" s="24">
        <f>+Tabla2[[#This Row],[CODIGO]]</f>
        <v>192</v>
      </c>
      <c r="P224" s="26">
        <f>R224/Q224*1000</f>
        <v>25000</v>
      </c>
      <c r="Q224" s="22">
        <f>K224</f>
        <v>3600</v>
      </c>
      <c r="R224" s="30">
        <v>90000</v>
      </c>
      <c r="S224" s="22" t="s">
        <v>587</v>
      </c>
      <c r="T224" s="22" t="s">
        <v>588</v>
      </c>
      <c r="U224">
        <v>0</v>
      </c>
      <c r="V224" s="79">
        <v>0</v>
      </c>
    </row>
    <row r="225" spans="1:22" s="10" customFormat="1" x14ac:dyDescent="0.25">
      <c r="A225" s="21" cm="1">
        <f t="array" ref="A225">IFERROR(LOOKUP(2,1/([1]maestro!I:I=H225),[1]maestro!B:B),"")</f>
        <v>46036</v>
      </c>
      <c r="B225" s="22" t="str">
        <f>TEXT(A225,"mmmm")</f>
        <v>enero</v>
      </c>
      <c r="C225" s="23">
        <v>192</v>
      </c>
      <c r="D225" s="32" t="s">
        <v>592</v>
      </c>
      <c r="E225" s="24" t="str">
        <f>PROPER(D225)</f>
        <v>Liliana Andrea Sánchez Cristancho Ramon</v>
      </c>
      <c r="F225" s="22"/>
      <c r="G225" s="25" t="str">
        <f>CONCATENATE($G$1,H225)</f>
        <v>573114755232</v>
      </c>
      <c r="H225" s="24">
        <v>3114755232</v>
      </c>
      <c r="I225" s="33">
        <v>105</v>
      </c>
      <c r="J225" s="33">
        <f>+Tabla2[[#This Row],[POR COMIDA]]*3</f>
        <v>315</v>
      </c>
      <c r="K225" s="33">
        <f>+J225*15</f>
        <v>4725</v>
      </c>
      <c r="L225" s="34">
        <f>K225/I225</f>
        <v>45</v>
      </c>
      <c r="M225" s="35">
        <f>K225/J225</f>
        <v>15</v>
      </c>
      <c r="N225" s="28">
        <f>(A225+M225)</f>
        <v>46051</v>
      </c>
      <c r="O225" s="24">
        <f>+Tabla2[[#This Row],[CODIGO]]</f>
        <v>192</v>
      </c>
      <c r="P225" s="26">
        <f>R225/Q225*1000</f>
        <v>25000</v>
      </c>
      <c r="Q225" s="22">
        <f>K225</f>
        <v>4725</v>
      </c>
      <c r="R225" s="30">
        <v>118125</v>
      </c>
      <c r="S225" s="22" t="s">
        <v>587</v>
      </c>
      <c r="T225" s="22" t="s">
        <v>588</v>
      </c>
      <c r="U225">
        <v>0</v>
      </c>
      <c r="V225" s="79">
        <v>0</v>
      </c>
    </row>
    <row r="226" spans="1:22" s="10" customFormat="1" x14ac:dyDescent="0.25">
      <c r="A226" s="21" cm="1">
        <f t="array" ref="A226">IFERROR(LOOKUP(2,1/([1]maestro!I:I=H226),[1]maestro!B:B),"")</f>
        <v>46036</v>
      </c>
      <c r="B226" s="22" t="str">
        <f>TEXT(A226,"mmmm")</f>
        <v>enero</v>
      </c>
      <c r="C226" s="23">
        <v>192</v>
      </c>
      <c r="D226" s="32" t="s">
        <v>593</v>
      </c>
      <c r="E226" s="24" t="str">
        <f>PROPER(D226)</f>
        <v>Liliana Andrea Sánchez Cristancho Tostao</v>
      </c>
      <c r="F226" s="22"/>
      <c r="G226" s="25" t="str">
        <f>CONCATENATE($G$1,H226)</f>
        <v>573114755232</v>
      </c>
      <c r="H226" s="24">
        <v>3114755232</v>
      </c>
      <c r="I226" s="33">
        <v>60</v>
      </c>
      <c r="J226" s="33">
        <f>+Tabla2[[#This Row],[POR COMIDA]]*3</f>
        <v>180</v>
      </c>
      <c r="K226" s="33">
        <f>+J226*15</f>
        <v>2700</v>
      </c>
      <c r="L226" s="34">
        <f>K226/I226</f>
        <v>45</v>
      </c>
      <c r="M226" s="35">
        <f>K226/J226</f>
        <v>15</v>
      </c>
      <c r="N226" s="28">
        <f>(A226+M226)</f>
        <v>46051</v>
      </c>
      <c r="O226" s="24">
        <f>+Tabla2[[#This Row],[CODIGO]]</f>
        <v>192</v>
      </c>
      <c r="P226" s="26">
        <f>R226/Q226*1000</f>
        <v>25000</v>
      </c>
      <c r="Q226" s="22">
        <f>K226</f>
        <v>2700</v>
      </c>
      <c r="R226" s="30">
        <v>67500</v>
      </c>
      <c r="S226" s="22" t="s">
        <v>587</v>
      </c>
      <c r="T226" s="22" t="s">
        <v>588</v>
      </c>
      <c r="U226">
        <v>0</v>
      </c>
      <c r="V226" s="79">
        <v>0</v>
      </c>
    </row>
    <row r="227" spans="1:22" s="10" customFormat="1" x14ac:dyDescent="0.25">
      <c r="A227" s="21" cm="1">
        <f t="array" ref="A227">IFERROR(LOOKUP(2,1/([1]maestro!I:I=H227),[1]maestro!B:B),"")</f>
        <v>46036</v>
      </c>
      <c r="B227" s="22" t="str">
        <f>TEXT(A227,"mmmm")</f>
        <v>enero</v>
      </c>
      <c r="C227" s="23">
        <v>192</v>
      </c>
      <c r="D227" s="32" t="s">
        <v>594</v>
      </c>
      <c r="E227" s="24" t="str">
        <f>PROPER(D227)</f>
        <v>Liliana Andrea Sánchez Cristancho Trufa</v>
      </c>
      <c r="F227" s="22"/>
      <c r="G227" s="25" t="str">
        <f>CONCATENATE($G$1,H227)</f>
        <v>573114755232</v>
      </c>
      <c r="H227" s="24">
        <v>3114755232</v>
      </c>
      <c r="I227" s="33">
        <v>70</v>
      </c>
      <c r="J227" s="33">
        <f>+Tabla2[[#This Row],[POR COMIDA]]*3</f>
        <v>210</v>
      </c>
      <c r="K227" s="33">
        <f>+J227*15</f>
        <v>3150</v>
      </c>
      <c r="L227" s="34">
        <f>K227/I227</f>
        <v>45</v>
      </c>
      <c r="M227" s="35">
        <f>K227/J227</f>
        <v>15</v>
      </c>
      <c r="N227" s="28">
        <f>(A227+M227)</f>
        <v>46051</v>
      </c>
      <c r="O227" s="24">
        <f>+Tabla2[[#This Row],[CODIGO]]</f>
        <v>192</v>
      </c>
      <c r="P227" s="26">
        <f>R227/Q227*1000</f>
        <v>25000</v>
      </c>
      <c r="Q227" s="22">
        <f>K227</f>
        <v>3150</v>
      </c>
      <c r="R227" s="30">
        <v>78750</v>
      </c>
      <c r="S227" s="22" t="s">
        <v>587</v>
      </c>
      <c r="T227" s="22" t="s">
        <v>588</v>
      </c>
      <c r="U227">
        <v>0</v>
      </c>
      <c r="V227" s="79">
        <v>0</v>
      </c>
    </row>
    <row r="228" spans="1:22" s="10" customFormat="1" x14ac:dyDescent="0.25">
      <c r="A228" s="9" cm="1">
        <f t="array" ref="A228">IFERROR(LOOKUP(2,1/([1]maestro!I:I=H228),[1]maestro!B:B),"")</f>
        <v>46040</v>
      </c>
      <c r="B228" s="10" t="str">
        <f>TEXT(A228,"mmmm")</f>
        <v>enero</v>
      </c>
      <c r="C228" s="11">
        <v>193</v>
      </c>
      <c r="D228" s="10" t="s">
        <v>595</v>
      </c>
      <c r="E228" s="13" t="str">
        <f>PROPER(D228)</f>
        <v>Liliana Gomez</v>
      </c>
      <c r="G228" s="14" t="str">
        <f>CONCATENATE($G$1,H228)</f>
        <v>57315 3284218</v>
      </c>
      <c r="H228" s="13" t="s">
        <v>596</v>
      </c>
      <c r="I228" s="13">
        <v>500</v>
      </c>
      <c r="J228" s="13">
        <v>500</v>
      </c>
      <c r="K228" s="13">
        <v>5000</v>
      </c>
      <c r="L228" s="13">
        <f>K228/I228</f>
        <v>10</v>
      </c>
      <c r="M228" s="13">
        <f>K228/J228</f>
        <v>10</v>
      </c>
      <c r="N228" s="18">
        <f>(A228+M228)</f>
        <v>46050</v>
      </c>
      <c r="O228" s="13">
        <f>+Tabla2[[#This Row],[CODIGO]]</f>
        <v>193</v>
      </c>
      <c r="P228" s="19">
        <f>R228/Q228*1000</f>
        <v>21000</v>
      </c>
      <c r="Q228" s="10">
        <f>K228</f>
        <v>5000</v>
      </c>
      <c r="R228" s="20">
        <v>105000</v>
      </c>
      <c r="S228" s="10" t="s">
        <v>597</v>
      </c>
      <c r="T228" s="10" t="s">
        <v>598</v>
      </c>
      <c r="U228">
        <v>0</v>
      </c>
      <c r="V228" s="79">
        <v>0</v>
      </c>
    </row>
    <row r="229" spans="1:22" s="10" customFormat="1" x14ac:dyDescent="0.25">
      <c r="A229" s="9" cm="1">
        <f t="array" ref="A229">IFERROR(LOOKUP(2,1/([1]maestro!I:I=H229),[1]maestro!B:B),"")</f>
        <v>46036</v>
      </c>
      <c r="B229" s="10" t="str">
        <f>TEXT(A229,"mmmm")</f>
        <v>enero</v>
      </c>
      <c r="C229" s="11">
        <v>194</v>
      </c>
      <c r="D229" s="10" t="s">
        <v>599</v>
      </c>
      <c r="E229" s="13" t="str">
        <f>PROPER(D229)</f>
        <v>Lina Bustos 140</v>
      </c>
      <c r="G229" s="14" t="str">
        <f>CONCATENATE($G$1,H229)</f>
        <v>573143690333</v>
      </c>
      <c r="H229" s="13">
        <v>3143690333</v>
      </c>
      <c r="I229" s="15">
        <v>140</v>
      </c>
      <c r="J229" s="15">
        <v>280</v>
      </c>
      <c r="K229" s="15">
        <f>30*140</f>
        <v>4200</v>
      </c>
      <c r="L229" s="13">
        <f>K229/I229</f>
        <v>30</v>
      </c>
      <c r="M229" s="13">
        <f>K229/J229</f>
        <v>15</v>
      </c>
      <c r="N229" s="18">
        <f>(A229+M229)</f>
        <v>46051</v>
      </c>
      <c r="O229" s="13">
        <f>+Tabla2[[#This Row],[CODIGO]]</f>
        <v>194</v>
      </c>
      <c r="P229" s="19">
        <v>34455</v>
      </c>
      <c r="Q229" s="10">
        <f>K229</f>
        <v>4200</v>
      </c>
      <c r="R229" s="29">
        <v>144713</v>
      </c>
      <c r="S229" s="10" t="s">
        <v>600</v>
      </c>
      <c r="T229" s="10" t="s">
        <v>601</v>
      </c>
      <c r="U229">
        <v>0</v>
      </c>
      <c r="V229" s="79">
        <v>0</v>
      </c>
    </row>
    <row r="230" spans="1:22" s="10" customFormat="1" x14ac:dyDescent="0.25">
      <c r="A230" s="9" cm="1">
        <f t="array" ref="A230">IFERROR(LOOKUP(2,1/([1]maestro!I:I=H230),[1]maestro!B:B),"")</f>
        <v>46036</v>
      </c>
      <c r="B230" s="10" t="str">
        <f>TEXT(A230,"mmmm")</f>
        <v>enero</v>
      </c>
      <c r="C230" s="11">
        <v>194</v>
      </c>
      <c r="D230" s="10" t="s">
        <v>602</v>
      </c>
      <c r="E230" s="13" t="str">
        <f>PROPER(D230)</f>
        <v>Lina Bustos 190</v>
      </c>
      <c r="G230" s="14" t="str">
        <f>CONCATENATE($G$1,H230)</f>
        <v>573143690333</v>
      </c>
      <c r="H230" s="13">
        <v>3143690333</v>
      </c>
      <c r="I230" s="15">
        <v>190</v>
      </c>
      <c r="J230" s="15">
        <f>190*2</f>
        <v>380</v>
      </c>
      <c r="K230" s="15">
        <f>190*26</f>
        <v>4940</v>
      </c>
      <c r="L230" s="13">
        <f>K230/I230</f>
        <v>26</v>
      </c>
      <c r="M230" s="13">
        <f>K230/J230</f>
        <v>13</v>
      </c>
      <c r="N230" s="18">
        <f>(A230+M230)</f>
        <v>46049</v>
      </c>
      <c r="O230" s="13">
        <f>+Tabla2[[#This Row],[CODIGO]]</f>
        <v>194</v>
      </c>
      <c r="P230" s="19">
        <v>34455</v>
      </c>
      <c r="Q230" s="10">
        <f>K230</f>
        <v>4940</v>
      </c>
      <c r="R230" s="29">
        <v>170209</v>
      </c>
      <c r="S230" s="10" t="s">
        <v>600</v>
      </c>
      <c r="T230" s="10" t="s">
        <v>601</v>
      </c>
      <c r="U230">
        <v>0</v>
      </c>
      <c r="V230" s="79">
        <v>0</v>
      </c>
    </row>
    <row r="231" spans="1:22" s="10" customFormat="1" x14ac:dyDescent="0.25">
      <c r="A231" s="9" cm="1">
        <f t="array" ref="A231">IFERROR(LOOKUP(2,1/([1]maestro!I:I=H231),[1]maestro!B:B),"")</f>
        <v>46036</v>
      </c>
      <c r="B231" s="10" t="str">
        <f>TEXT(A231,"mmmm")</f>
        <v>enero</v>
      </c>
      <c r="C231" s="11">
        <v>194</v>
      </c>
      <c r="D231" s="10" t="s">
        <v>603</v>
      </c>
      <c r="E231" s="13" t="str">
        <f>PROPER(D231)</f>
        <v>Lina Bustos 240</v>
      </c>
      <c r="G231" s="14" t="str">
        <f>CONCATENATE($G$1,H231)</f>
        <v>573143690333</v>
      </c>
      <c r="H231" s="13">
        <v>3143690333</v>
      </c>
      <c r="I231" s="15">
        <v>240</v>
      </c>
      <c r="J231" s="15">
        <v>240</v>
      </c>
      <c r="K231" s="15">
        <f>4*240</f>
        <v>960</v>
      </c>
      <c r="L231" s="13">
        <v>4</v>
      </c>
      <c r="M231" s="13">
        <v>15</v>
      </c>
      <c r="N231" s="18">
        <f>(A231+M231)</f>
        <v>46051</v>
      </c>
      <c r="O231" s="13">
        <f>+Tabla2[[#This Row],[CODIGO]]</f>
        <v>194</v>
      </c>
      <c r="P231" s="19">
        <v>34455</v>
      </c>
      <c r="Q231" s="10">
        <f>K231</f>
        <v>960</v>
      </c>
      <c r="R231" s="29">
        <v>33078</v>
      </c>
      <c r="S231" s="10" t="s">
        <v>600</v>
      </c>
      <c r="T231" s="10" t="s">
        <v>601</v>
      </c>
      <c r="U231">
        <v>0</v>
      </c>
      <c r="V231" s="79">
        <v>0</v>
      </c>
    </row>
    <row r="232" spans="1:22" s="10" customFormat="1" x14ac:dyDescent="0.25">
      <c r="A232" s="9" cm="1">
        <f t="array" ref="A232">IFERROR(LOOKUP(2,1/([1]maestro!I:I=H232),[1]maestro!B:B),"")</f>
        <v>46034</v>
      </c>
      <c r="B232" s="10" t="str">
        <f>TEXT(A232,"mmmm")</f>
        <v>enero</v>
      </c>
      <c r="C232" s="11">
        <v>196</v>
      </c>
      <c r="D232" s="12" t="s">
        <v>607</v>
      </c>
      <c r="E232" s="13" t="str">
        <f>PROPER(D232)</f>
        <v>Lina Rincón</v>
      </c>
      <c r="G232" s="14" t="str">
        <f>CONCATENATE($G$1,H232)</f>
        <v>573170661732</v>
      </c>
      <c r="H232" s="13">
        <v>3170661732</v>
      </c>
      <c r="I232" s="15">
        <v>64</v>
      </c>
      <c r="J232" s="15">
        <v>190</v>
      </c>
      <c r="K232" s="15">
        <f>+J232*7</f>
        <v>1330</v>
      </c>
      <c r="L232" s="16">
        <f>K232/I232</f>
        <v>20.78125</v>
      </c>
      <c r="M232" s="17">
        <f>K232/J232</f>
        <v>7</v>
      </c>
      <c r="N232" s="18">
        <f>(A232+M232)</f>
        <v>46041</v>
      </c>
      <c r="O232" s="13">
        <f>+Tabla2[[#This Row],[CODIGO]]</f>
        <v>196</v>
      </c>
      <c r="P232" s="19">
        <f>R232/Q232*1000</f>
        <v>7518.7969924812032</v>
      </c>
      <c r="Q232" s="10">
        <f>K232</f>
        <v>1330</v>
      </c>
      <c r="R232" s="20">
        <v>10000</v>
      </c>
      <c r="S232" s="10" t="s">
        <v>608</v>
      </c>
      <c r="U232">
        <v>0</v>
      </c>
      <c r="V232" s="79">
        <v>0</v>
      </c>
    </row>
    <row r="233" spans="1:22" s="10" customFormat="1" x14ac:dyDescent="0.25">
      <c r="A233" s="9" t="str" cm="1">
        <f t="array" ref="A233">IFERROR(LOOKUP(2,1/([1]maestro!I:I=H233),[1]maestro!B:B),"")</f>
        <v/>
      </c>
      <c r="B233" s="10" t="str">
        <f>TEXT(A233,"mmmm")</f>
        <v/>
      </c>
      <c r="C233" s="11">
        <v>197</v>
      </c>
      <c r="D233" s="10" t="s">
        <v>609</v>
      </c>
      <c r="E233" s="13" t="str">
        <f>PROPER(D233)</f>
        <v>Lory Johanna Choconta</v>
      </c>
      <c r="G233" s="14" t="str">
        <f>CONCATENATE($G$1,H233)</f>
        <v>573223951234</v>
      </c>
      <c r="H233" s="13">
        <v>3223951234</v>
      </c>
      <c r="I233" s="13">
        <v>130</v>
      </c>
      <c r="J233" s="13">
        <v>390</v>
      </c>
      <c r="K233" s="13">
        <f>+J233*7</f>
        <v>2730</v>
      </c>
      <c r="L233" s="13">
        <f>K233/I233</f>
        <v>21</v>
      </c>
      <c r="M233" s="13">
        <f>K233/J233</f>
        <v>7</v>
      </c>
      <c r="N233" s="18" t="e">
        <f>(A233+M233)</f>
        <v>#VALUE!</v>
      </c>
      <c r="O233" s="13">
        <f>+Tabla2[[#This Row],[CODIGO]]</f>
        <v>197</v>
      </c>
      <c r="P233" s="19">
        <f>R233/Q233*1000</f>
        <v>39120.879120879123</v>
      </c>
      <c r="Q233" s="10">
        <f>K233</f>
        <v>2730</v>
      </c>
      <c r="R233" s="20">
        <v>106800</v>
      </c>
      <c r="S233" s="10" t="s">
        <v>610</v>
      </c>
      <c r="T233" s="10" t="s">
        <v>611</v>
      </c>
      <c r="U233">
        <v>0</v>
      </c>
      <c r="V233" s="79">
        <v>0</v>
      </c>
    </row>
    <row r="234" spans="1:22" s="10" customFormat="1" x14ac:dyDescent="0.25">
      <c r="A234" s="21" cm="1">
        <f t="array" ref="A234">IFERROR(LOOKUP(2,1/([1]maestro!I:I=H234),[1]maestro!B:B),"")</f>
        <v>46049</v>
      </c>
      <c r="B234" s="22" t="str">
        <f>TEXT(A234,"mmmm")</f>
        <v>enero</v>
      </c>
      <c r="C234" s="23">
        <v>199</v>
      </c>
      <c r="D234" s="22" t="s">
        <v>615</v>
      </c>
      <c r="E234" s="24" t="str">
        <f>PROPER(D234)</f>
        <v>Luis Fernando Galvis Osorio Gaia</v>
      </c>
      <c r="F234" s="22"/>
      <c r="G234" s="25" t="str">
        <f>CONCATENATE($G$1,H234)</f>
        <v>573229473612</v>
      </c>
      <c r="H234" s="24">
        <v>3229473612</v>
      </c>
      <c r="I234" s="24">
        <v>150</v>
      </c>
      <c r="J234" s="24">
        <v>150</v>
      </c>
      <c r="K234" s="24">
        <f>+J234*15</f>
        <v>2250</v>
      </c>
      <c r="L234" s="24">
        <f>K234/I234</f>
        <v>15</v>
      </c>
      <c r="M234" s="24">
        <f>K234/J234</f>
        <v>15</v>
      </c>
      <c r="N234" s="28">
        <f>(A234+M234)</f>
        <v>46064</v>
      </c>
      <c r="O234" s="24">
        <f>+Tabla2[[#This Row],[CODIGO]]</f>
        <v>199</v>
      </c>
      <c r="P234" s="26">
        <f>R234/Q234*1000</f>
        <v>32000</v>
      </c>
      <c r="Q234" s="22">
        <f>K234</f>
        <v>2250</v>
      </c>
      <c r="R234" s="27">
        <v>72000</v>
      </c>
      <c r="S234" s="22" t="s">
        <v>616</v>
      </c>
      <c r="T234" s="22" t="s">
        <v>617</v>
      </c>
      <c r="U234">
        <v>0</v>
      </c>
      <c r="V234" s="79">
        <v>0</v>
      </c>
    </row>
    <row r="235" spans="1:22" s="10" customFormat="1" x14ac:dyDescent="0.25">
      <c r="A235" s="21" cm="1">
        <f t="array" ref="A235">IFERROR(LOOKUP(2,1/([1]maestro!I:I=H235),[1]maestro!B:B),"")</f>
        <v>46049</v>
      </c>
      <c r="B235" s="22" t="str">
        <f>TEXT(A235,"mmmm")</f>
        <v>enero</v>
      </c>
      <c r="C235" s="23">
        <v>199</v>
      </c>
      <c r="D235" s="22" t="s">
        <v>618</v>
      </c>
      <c r="E235" s="24" t="str">
        <f>PROPER(D235)</f>
        <v>Luis Fernando Galvis Osorio Thor</v>
      </c>
      <c r="F235" s="22"/>
      <c r="G235" s="25" t="str">
        <f>CONCATENATE($G$1,H235)</f>
        <v>573046003432</v>
      </c>
      <c r="H235" s="24">
        <v>3046003432</v>
      </c>
      <c r="I235" s="24">
        <v>170</v>
      </c>
      <c r="J235" s="24">
        <v>170</v>
      </c>
      <c r="K235" s="24">
        <v>2550</v>
      </c>
      <c r="L235" s="24">
        <f>K235/I235</f>
        <v>15</v>
      </c>
      <c r="M235" s="24">
        <f>K235/J235</f>
        <v>15</v>
      </c>
      <c r="N235" s="28">
        <f>(A235+M235)</f>
        <v>46064</v>
      </c>
      <c r="O235" s="24">
        <f>+Tabla2[[#This Row],[CODIGO]]</f>
        <v>199</v>
      </c>
      <c r="P235" s="26">
        <f>R235/Q235*1000</f>
        <v>32000</v>
      </c>
      <c r="Q235" s="22">
        <f>K235</f>
        <v>2550</v>
      </c>
      <c r="R235" s="27">
        <v>81600</v>
      </c>
      <c r="S235" s="22" t="s">
        <v>616</v>
      </c>
      <c r="T235" s="22" t="s">
        <v>617</v>
      </c>
      <c r="U235">
        <v>0</v>
      </c>
      <c r="V235" s="79">
        <v>0</v>
      </c>
    </row>
    <row r="236" spans="1:22" s="10" customFormat="1" x14ac:dyDescent="0.25">
      <c r="A236" s="9" t="str" cm="1">
        <f t="array" ref="A236">IFERROR(LOOKUP(2,1/([1]maestro!I:I=H236),[1]maestro!B:B),"")</f>
        <v/>
      </c>
      <c r="B236" s="10" t="str">
        <f>TEXT(A236,"mmmm")</f>
        <v/>
      </c>
      <c r="C236" s="11">
        <v>200</v>
      </c>
      <c r="D236" s="12" t="s">
        <v>619</v>
      </c>
      <c r="E236" s="13" t="str">
        <f>PROPER(D236)</f>
        <v>Luisa Fernanda Barbosa</v>
      </c>
      <c r="G236" s="14" t="str">
        <f>CONCATENATE($G$1,H236)</f>
        <v>573128951233</v>
      </c>
      <c r="H236" s="13">
        <v>3128951233</v>
      </c>
      <c r="I236" s="15">
        <v>60</v>
      </c>
      <c r="J236" s="15">
        <v>120</v>
      </c>
      <c r="K236" s="15">
        <f>+J236*15</f>
        <v>1800</v>
      </c>
      <c r="L236" s="16">
        <f>K236/I236</f>
        <v>30</v>
      </c>
      <c r="M236" s="17">
        <f>K236/J236</f>
        <v>15</v>
      </c>
      <c r="N236" s="18" t="e">
        <f>(A236+M236)</f>
        <v>#VALUE!</v>
      </c>
      <c r="O236" s="13">
        <f>+Tabla2[[#This Row],[CODIGO]]</f>
        <v>200</v>
      </c>
      <c r="P236" s="19">
        <f>R236/Q236*1000</f>
        <v>41111.111111111117</v>
      </c>
      <c r="Q236" s="10">
        <f>K236</f>
        <v>1800</v>
      </c>
      <c r="R236" s="20">
        <v>74000</v>
      </c>
      <c r="S236" s="10" t="s">
        <v>620</v>
      </c>
      <c r="T236" s="10" t="s">
        <v>621</v>
      </c>
      <c r="U236">
        <v>0</v>
      </c>
      <c r="V236" s="79">
        <v>0</v>
      </c>
    </row>
    <row r="237" spans="1:22" s="10" customFormat="1" x14ac:dyDescent="0.25">
      <c r="A237" s="21" cm="1">
        <f t="array" ref="A237">IFERROR(LOOKUP(2,1/([1]maestro!I:I=H237),[1]maestro!B:B),"")</f>
        <v>46045</v>
      </c>
      <c r="B237" s="22" t="str">
        <f>TEXT(A237,"mmmm")</f>
        <v>enero</v>
      </c>
      <c r="C237" s="23">
        <v>195</v>
      </c>
      <c r="D237" s="32" t="s">
        <v>604</v>
      </c>
      <c r="E237" s="24" t="str">
        <f>PROPER(D237)</f>
        <v xml:space="preserve">Lina Marcela Vasquez </v>
      </c>
      <c r="F237" s="22"/>
      <c r="G237" s="25" t="str">
        <f>CONCATENATE($G$1,H237)</f>
        <v>573007458537</v>
      </c>
      <c r="H237" s="24">
        <v>3007458537</v>
      </c>
      <c r="I237" s="33">
        <v>90</v>
      </c>
      <c r="J237" s="33">
        <v>180</v>
      </c>
      <c r="K237" s="33">
        <f>+J237*7</f>
        <v>1260</v>
      </c>
      <c r="L237" s="34">
        <f>K237/I237</f>
        <v>14</v>
      </c>
      <c r="M237" s="35">
        <f>K237/J237</f>
        <v>7</v>
      </c>
      <c r="N237" s="28">
        <f>(A237+M237)</f>
        <v>46052</v>
      </c>
      <c r="O237" s="24">
        <f>+Tabla2[[#This Row],[CODIGO]]</f>
        <v>195</v>
      </c>
      <c r="P237" s="26">
        <f>R237/Q237*1000</f>
        <v>45000</v>
      </c>
      <c r="Q237" s="22">
        <f>K237</f>
        <v>1260</v>
      </c>
      <c r="R237" s="30">
        <v>56700</v>
      </c>
      <c r="S237" s="22" t="s">
        <v>605</v>
      </c>
      <c r="T237" s="22" t="s">
        <v>606</v>
      </c>
      <c r="U237">
        <v>0</v>
      </c>
      <c r="V237" s="79">
        <v>56700</v>
      </c>
    </row>
    <row r="238" spans="1:22" s="10" customFormat="1" x14ac:dyDescent="0.25">
      <c r="A238" s="21" cm="1">
        <f t="array" ref="A238">IFERROR(LOOKUP(2,1/([1]maestro!I:I=H238),[1]maestro!B:B),"")</f>
        <v>46044</v>
      </c>
      <c r="B238" s="22" t="str">
        <f>TEXT(A238,"mmmm")</f>
        <v>enero</v>
      </c>
      <c r="C238" s="23">
        <v>201</v>
      </c>
      <c r="D238" s="32" t="s">
        <v>622</v>
      </c>
      <c r="E238" s="24" t="str">
        <f>PROPER(D238)</f>
        <v>Luisa Fernanda Duque Barreiro</v>
      </c>
      <c r="F238" s="22"/>
      <c r="G238" s="25" t="str">
        <f>CONCATENATE($G$1,H238)</f>
        <v>573057671212</v>
      </c>
      <c r="H238" s="24">
        <v>3057671212</v>
      </c>
      <c r="I238" s="33">
        <v>60</v>
      </c>
      <c r="J238" s="33">
        <v>180</v>
      </c>
      <c r="K238" s="33">
        <f>+J238*15</f>
        <v>2700</v>
      </c>
      <c r="L238" s="34">
        <f>K238/I238</f>
        <v>45</v>
      </c>
      <c r="M238" s="35">
        <f>K238/J238</f>
        <v>15</v>
      </c>
      <c r="N238" s="28">
        <f>(A238+M238)</f>
        <v>46059</v>
      </c>
      <c r="O238" s="24">
        <f>+Tabla2[[#This Row],[CODIGO]]</f>
        <v>201</v>
      </c>
      <c r="P238" s="26">
        <f>R238/Q238*1000</f>
        <v>48148.148148148146</v>
      </c>
      <c r="Q238" s="22">
        <f>K238</f>
        <v>2700</v>
      </c>
      <c r="R238" s="27">
        <v>130000</v>
      </c>
      <c r="S238" s="22" t="s">
        <v>623</v>
      </c>
      <c r="T238" s="22" t="s">
        <v>624</v>
      </c>
      <c r="U238">
        <v>0</v>
      </c>
      <c r="V238" s="79">
        <v>0</v>
      </c>
    </row>
    <row r="239" spans="1:22" s="10" customFormat="1" x14ac:dyDescent="0.25">
      <c r="A239" s="9" t="str" cm="1">
        <f t="array" ref="A239">IFERROR(LOOKUP(2,1/([1]maestro!I:I=H239),[1]maestro!B:B),"")</f>
        <v/>
      </c>
      <c r="B239" s="10" t="str">
        <f>TEXT(A239,"mmmm")</f>
        <v/>
      </c>
      <c r="C239" s="11">
        <v>202</v>
      </c>
      <c r="D239" s="12" t="s">
        <v>625</v>
      </c>
      <c r="E239" s="13" t="str">
        <f>PROPER(D239)</f>
        <v>Luna Tobón Valencia</v>
      </c>
      <c r="G239" s="14" t="str">
        <f>CONCATENATE('[1]Clientes Inactivos'!$G$1,H239)</f>
        <v>573138406465</v>
      </c>
      <c r="H239" s="13">
        <v>3138406465</v>
      </c>
      <c r="I239" s="15">
        <v>58</v>
      </c>
      <c r="J239" s="15">
        <v>116</v>
      </c>
      <c r="K239" s="15">
        <f>+J239*7</f>
        <v>812</v>
      </c>
      <c r="L239" s="16">
        <f>K239/I239</f>
        <v>14</v>
      </c>
      <c r="M239" s="17">
        <f>K239/J239</f>
        <v>7</v>
      </c>
      <c r="N239" s="18" t="e">
        <f>(A239+M239)</f>
        <v>#VALUE!</v>
      </c>
      <c r="O239" s="13">
        <f>+Tabla2[[#This Row],[CODIGO]]</f>
        <v>202</v>
      </c>
      <c r="P239" s="19">
        <f>R239/Q239*1000</f>
        <v>12315.270935960591</v>
      </c>
      <c r="Q239" s="10">
        <f>K239</f>
        <v>812</v>
      </c>
      <c r="R239" s="20">
        <v>10000</v>
      </c>
      <c r="S239" s="10" t="s">
        <v>626</v>
      </c>
      <c r="T239" s="10" t="s">
        <v>627</v>
      </c>
      <c r="U239">
        <v>0</v>
      </c>
      <c r="V239" s="79">
        <v>0</v>
      </c>
    </row>
    <row r="240" spans="1:22" s="10" customFormat="1" x14ac:dyDescent="0.25">
      <c r="A240" s="21" cm="1">
        <f t="array" ref="A240">IFERROR(LOOKUP(2,1/([1]maestro!I:I=H240),[1]maestro!B:B),"")</f>
        <v>46037</v>
      </c>
      <c r="B240" s="22" t="str">
        <f>TEXT(A240,"mmmm")</f>
        <v>enero</v>
      </c>
      <c r="C240" s="23">
        <v>198</v>
      </c>
      <c r="D240" s="22" t="s">
        <v>612</v>
      </c>
      <c r="E240" s="24" t="str">
        <f>PROPER(D240)</f>
        <v>Luis Alonso</v>
      </c>
      <c r="F240" s="22"/>
      <c r="G240" s="25" t="str">
        <f>CONCATENATE($G$1,H240)</f>
        <v>573123218364</v>
      </c>
      <c r="H240" s="24">
        <v>3123218364</v>
      </c>
      <c r="I240" s="24">
        <v>300</v>
      </c>
      <c r="J240" s="24">
        <v>600</v>
      </c>
      <c r="K240" s="24">
        <f>30*300</f>
        <v>9000</v>
      </c>
      <c r="L240" s="24">
        <f>K240/I240</f>
        <v>30</v>
      </c>
      <c r="M240" s="24">
        <f>K240/J240</f>
        <v>15</v>
      </c>
      <c r="N240" s="28">
        <f>(A240+M240)</f>
        <v>46052</v>
      </c>
      <c r="O240" s="24">
        <f>+Tabla2[[#This Row],[CODIGO]]</f>
        <v>198</v>
      </c>
      <c r="P240" s="26">
        <f>R240/Q240*1000</f>
        <v>25000</v>
      </c>
      <c r="Q240" s="22">
        <f>K240</f>
        <v>9000</v>
      </c>
      <c r="R240" s="30">
        <v>225000</v>
      </c>
      <c r="S240" s="22" t="s">
        <v>613</v>
      </c>
      <c r="T240" s="22" t="s">
        <v>614</v>
      </c>
      <c r="U240">
        <v>0</v>
      </c>
      <c r="V240" s="79">
        <v>187034</v>
      </c>
    </row>
    <row r="241" spans="1:22" s="22" customFormat="1" x14ac:dyDescent="0.25">
      <c r="A241" s="9" cm="1">
        <f t="array" ref="A241">IFERROR(LOOKUP(2,1/([1]maestro!I:I=H241),[1]maestro!B:B),"")</f>
        <v>46038</v>
      </c>
      <c r="B241" s="10" t="str">
        <f>TEXT(A241,"mmmm")</f>
        <v>enero</v>
      </c>
      <c r="C241" s="11">
        <v>203</v>
      </c>
      <c r="D241" s="10" t="s">
        <v>628</v>
      </c>
      <c r="E241" s="13" t="str">
        <f>PROPER(D241)</f>
        <v>Luvier Fernando Lugo 130</v>
      </c>
      <c r="F241" s="10"/>
      <c r="G241" s="14" t="str">
        <f>CONCATENATE($G$1,H241)</f>
        <v>573002112901</v>
      </c>
      <c r="H241" s="13">
        <v>3002112901</v>
      </c>
      <c r="I241" s="15">
        <v>130</v>
      </c>
      <c r="J241" s="15">
        <f>130*2</f>
        <v>260</v>
      </c>
      <c r="K241" s="15">
        <f>+J241*15</f>
        <v>3900</v>
      </c>
      <c r="L241" s="16">
        <f>K241/I241</f>
        <v>30</v>
      </c>
      <c r="M241" s="17">
        <f>K241/J241</f>
        <v>15</v>
      </c>
      <c r="N241" s="18">
        <f>(A241+M241)</f>
        <v>46053</v>
      </c>
      <c r="O241" s="13">
        <f>+Tabla2[[#This Row],[CODIGO]]</f>
        <v>203</v>
      </c>
      <c r="P241" s="19">
        <v>27000</v>
      </c>
      <c r="Q241" s="10">
        <f>K241</f>
        <v>3900</v>
      </c>
      <c r="R241" s="20">
        <v>105300</v>
      </c>
      <c r="S241" s="10" t="s">
        <v>629</v>
      </c>
      <c r="T241" s="10" t="s">
        <v>630</v>
      </c>
      <c r="U241">
        <v>0</v>
      </c>
      <c r="V241" s="79">
        <v>0</v>
      </c>
    </row>
    <row r="242" spans="1:22" s="22" customFormat="1" ht="15" customHeight="1" x14ac:dyDescent="0.25">
      <c r="A242" s="9" cm="1">
        <f t="array" ref="A242">IFERROR(LOOKUP(2,1/([1]maestro!I:I=H242),[1]maestro!B:B),"")</f>
        <v>46038</v>
      </c>
      <c r="B242" s="10" t="str">
        <f>TEXT(A242,"mmmm")</f>
        <v>enero</v>
      </c>
      <c r="C242" s="11">
        <v>203</v>
      </c>
      <c r="D242" s="10" t="s">
        <v>631</v>
      </c>
      <c r="E242" s="13" t="str">
        <f>PROPER(D242)</f>
        <v>Luvier Fernando Lugo 200</v>
      </c>
      <c r="F242" s="10"/>
      <c r="G242" s="14" t="str">
        <f>CONCATENATE($G$1,H242)</f>
        <v>573002112901</v>
      </c>
      <c r="H242" s="13">
        <v>3002112901</v>
      </c>
      <c r="I242" s="15">
        <v>200</v>
      </c>
      <c r="J242" s="15">
        <f>+Tabla2[[#This Row],[POR COMIDA]]*2</f>
        <v>400</v>
      </c>
      <c r="K242" s="15">
        <f>+J242*15</f>
        <v>6000</v>
      </c>
      <c r="L242" s="16">
        <v>30</v>
      </c>
      <c r="M242" s="17">
        <f>K242/J242</f>
        <v>15</v>
      </c>
      <c r="N242" s="18">
        <f>(A242+M242)</f>
        <v>46053</v>
      </c>
      <c r="O242" s="13">
        <f>+Tabla2[[#This Row],[CODIGO]]</f>
        <v>203</v>
      </c>
      <c r="P242" s="19">
        <v>27000</v>
      </c>
      <c r="Q242" s="10">
        <f>K242</f>
        <v>6000</v>
      </c>
      <c r="R242" s="20">
        <v>162000</v>
      </c>
      <c r="S242" s="10" t="s">
        <v>629</v>
      </c>
      <c r="T242" s="10" t="s">
        <v>630</v>
      </c>
      <c r="U242">
        <v>0</v>
      </c>
      <c r="V242" s="79">
        <v>0</v>
      </c>
    </row>
    <row r="243" spans="1:22" s="10" customFormat="1" x14ac:dyDescent="0.25">
      <c r="A243" s="9" cm="1">
        <f t="array" ref="A243">IFERROR(LOOKUP(2,1/([1]maestro!I:I=H243),[1]maestro!B:B),"")</f>
        <v>46034</v>
      </c>
      <c r="B243" s="10" t="str">
        <f>TEXT(A243,"mmmm")</f>
        <v>enero</v>
      </c>
      <c r="C243" s="11">
        <v>204</v>
      </c>
      <c r="D243" s="12" t="s">
        <v>632</v>
      </c>
      <c r="E243" s="13" t="str">
        <f>PROPER(D243)</f>
        <v>Luz Marina Monroy 25</v>
      </c>
      <c r="G243" s="14" t="str">
        <f>CONCATENATE($G$1,H243)</f>
        <v>573223073853</v>
      </c>
      <c r="H243" s="13">
        <v>3223073853</v>
      </c>
      <c r="I243" s="15">
        <v>25</v>
      </c>
      <c r="J243" s="15">
        <f>+Tabla2[[#This Row],[POR COMIDA]]*3</f>
        <v>75</v>
      </c>
      <c r="K243" s="15">
        <f>+J243*15</f>
        <v>1125</v>
      </c>
      <c r="L243" s="16">
        <v>45</v>
      </c>
      <c r="M243" s="17">
        <f>K243/J243</f>
        <v>15</v>
      </c>
      <c r="N243" s="18">
        <f>(A243+M243)</f>
        <v>46049</v>
      </c>
      <c r="O243" s="13">
        <f>+Tabla2[[#This Row],[CODIGO]]</f>
        <v>204</v>
      </c>
      <c r="P243" s="19">
        <f>R243/Q243*1000</f>
        <v>47006.222222222219</v>
      </c>
      <c r="Q243" s="10">
        <f>K243</f>
        <v>1125</v>
      </c>
      <c r="R243" s="20">
        <v>52882</v>
      </c>
      <c r="S243" s="36" t="s">
        <v>633</v>
      </c>
      <c r="T243" s="10" t="s">
        <v>634</v>
      </c>
      <c r="U243">
        <v>0</v>
      </c>
      <c r="V243" s="79">
        <v>0</v>
      </c>
    </row>
    <row r="244" spans="1:22" s="22" customFormat="1" x14ac:dyDescent="0.25">
      <c r="A244" s="9" cm="1">
        <f t="array" ref="A244">IFERROR(LOOKUP(2,1/([1]maestro!I:I=H244),[1]maestro!B:B),"")</f>
        <v>46034</v>
      </c>
      <c r="B244" s="10" t="str">
        <f>TEXT(A244,"mmmm")</f>
        <v>enero</v>
      </c>
      <c r="C244" s="11">
        <v>204</v>
      </c>
      <c r="D244" s="12" t="s">
        <v>635</v>
      </c>
      <c r="E244" s="13" t="str">
        <f>PROPER(D244)</f>
        <v>Luz Marina Monroy 34</v>
      </c>
      <c r="F244" s="10"/>
      <c r="G244" s="14" t="str">
        <f>CONCATENATE($G$1,H244)</f>
        <v>573223073853</v>
      </c>
      <c r="H244" s="13">
        <v>3223073853</v>
      </c>
      <c r="I244" s="15">
        <v>34</v>
      </c>
      <c r="J244" s="15">
        <f>+Tabla2[[#This Row],[POR COMIDA]]*3</f>
        <v>102</v>
      </c>
      <c r="K244" s="15">
        <f>+J244*15</f>
        <v>1530</v>
      </c>
      <c r="L244" s="16">
        <v>45</v>
      </c>
      <c r="M244" s="17">
        <f>K244/J244</f>
        <v>15</v>
      </c>
      <c r="N244" s="18">
        <f>(A244+M244)</f>
        <v>46049</v>
      </c>
      <c r="O244" s="13">
        <f>+Tabla2[[#This Row],[CODIGO]]</f>
        <v>204</v>
      </c>
      <c r="P244" s="19">
        <f>R244/Q244*1000</f>
        <v>47005.228758169935</v>
      </c>
      <c r="Q244" s="10">
        <f>K244</f>
        <v>1530</v>
      </c>
      <c r="R244" s="20">
        <v>71918</v>
      </c>
      <c r="S244" s="36" t="s">
        <v>633</v>
      </c>
      <c r="T244" s="10" t="s">
        <v>634</v>
      </c>
      <c r="U244">
        <v>0</v>
      </c>
      <c r="V244" s="79">
        <v>0</v>
      </c>
    </row>
    <row r="245" spans="1:22" s="10" customFormat="1" x14ac:dyDescent="0.25">
      <c r="A245" s="21" cm="1">
        <f t="array" ref="A245">IFERROR(LOOKUP(2,1/([1]maestro!I:I=H245),[1]maestro!B:B),"")</f>
        <v>46044</v>
      </c>
      <c r="B245" s="22" t="str">
        <f>TEXT(A245,"mmmm")</f>
        <v>enero</v>
      </c>
      <c r="C245" s="23">
        <v>205</v>
      </c>
      <c r="D245" s="22" t="s">
        <v>636</v>
      </c>
      <c r="E245" s="24" t="str">
        <f>PROPER(D245)</f>
        <v>Luz Mery Camen</v>
      </c>
      <c r="F245" s="24"/>
      <c r="G245" s="25" t="str">
        <f>CONCATENATE($G$1,H245)</f>
        <v>573143484505</v>
      </c>
      <c r="H245" s="24">
        <v>3143484505</v>
      </c>
      <c r="I245" s="24">
        <v>190</v>
      </c>
      <c r="J245" s="24">
        <v>190</v>
      </c>
      <c r="K245" s="15">
        <f>+J245*30</f>
        <v>5700</v>
      </c>
      <c r="L245" s="24">
        <f>K245/I245</f>
        <v>30</v>
      </c>
      <c r="M245" s="24">
        <f>K245/J245</f>
        <v>30</v>
      </c>
      <c r="N245" s="28">
        <f>(A245+M245)</f>
        <v>46074</v>
      </c>
      <c r="O245" s="24">
        <f>+Tabla2[[#This Row],[CODIGO]]</f>
        <v>205</v>
      </c>
      <c r="P245" s="26">
        <f>R245/Q245*1000</f>
        <v>30000</v>
      </c>
      <c r="Q245" s="22">
        <f>K245</f>
        <v>5700</v>
      </c>
      <c r="R245" s="27">
        <v>171000</v>
      </c>
      <c r="S245" s="22" t="s">
        <v>637</v>
      </c>
      <c r="T245" s="22" t="s">
        <v>638</v>
      </c>
      <c r="U245">
        <v>0</v>
      </c>
      <c r="V245" s="79">
        <v>0</v>
      </c>
    </row>
    <row r="246" spans="1:22" s="10" customFormat="1" x14ac:dyDescent="0.25">
      <c r="A246" s="9" cm="1">
        <f t="array" ref="A246">IFERROR(LOOKUP(2,1/([1]maestro!I:I=H246),[1]maestro!B:B),"")</f>
        <v>46034</v>
      </c>
      <c r="B246" s="10" t="str">
        <f>TEXT(A246,"mmmm")</f>
        <v>enero</v>
      </c>
      <c r="C246" s="11">
        <v>206</v>
      </c>
      <c r="D246" s="12" t="s">
        <v>639</v>
      </c>
      <c r="E246" s="13" t="str">
        <f>PROPER(D246)</f>
        <v>Magda Juliana Serna Lopez</v>
      </c>
      <c r="G246" s="14" t="str">
        <f>CONCATENATE($G$1,H246)</f>
        <v>573204477576</v>
      </c>
      <c r="H246" s="13">
        <v>3204477576</v>
      </c>
      <c r="I246" s="15">
        <v>80</v>
      </c>
      <c r="J246" s="15">
        <v>160</v>
      </c>
      <c r="K246" s="15">
        <f>+J246*15</f>
        <v>2400</v>
      </c>
      <c r="L246" s="16">
        <f>K246/I246</f>
        <v>30</v>
      </c>
      <c r="M246" s="17">
        <f>K246/J246</f>
        <v>15</v>
      </c>
      <c r="N246" s="18">
        <f>(A246+M246)</f>
        <v>46049</v>
      </c>
      <c r="O246" s="13">
        <f>+Tabla2[[#This Row],[CODIGO]]</f>
        <v>206</v>
      </c>
      <c r="P246" s="19">
        <f>R246/Q246*1000</f>
        <v>44750</v>
      </c>
      <c r="Q246" s="10">
        <f>K246</f>
        <v>2400</v>
      </c>
      <c r="R246" s="20">
        <v>107400</v>
      </c>
      <c r="S246" s="10" t="s">
        <v>640</v>
      </c>
      <c r="T246" s="10" t="s">
        <v>641</v>
      </c>
      <c r="U246">
        <v>0</v>
      </c>
      <c r="V246" s="79">
        <v>0</v>
      </c>
    </row>
    <row r="247" spans="1:22" s="10" customFormat="1" x14ac:dyDescent="0.25">
      <c r="A247" s="21" cm="1">
        <f t="array" ref="A247">IFERROR(LOOKUP(2,1/([1]maestro!I:I=H247),[1]maestro!B:B),"")</f>
        <v>46036</v>
      </c>
      <c r="B247" s="22" t="str">
        <f>TEXT(A247,"mmmm")</f>
        <v>enero</v>
      </c>
      <c r="C247" s="23">
        <v>209</v>
      </c>
      <c r="D247" s="22" t="s">
        <v>646</v>
      </c>
      <c r="E247" s="24" t="str">
        <f>PROPER(D247)</f>
        <v>María Alejandra Morales</v>
      </c>
      <c r="F247" s="22"/>
      <c r="G247" s="25" t="str">
        <f>CONCATENATE($G$1,H247)</f>
        <v>573144789566</v>
      </c>
      <c r="H247" s="24">
        <v>3144789566</v>
      </c>
      <c r="I247" s="24">
        <v>150</v>
      </c>
      <c r="J247" s="24">
        <v>150</v>
      </c>
      <c r="K247" s="24">
        <f>+J247*15</f>
        <v>2250</v>
      </c>
      <c r="L247" s="24">
        <f>K247/I247</f>
        <v>15</v>
      </c>
      <c r="M247" s="24">
        <f>K247/J247</f>
        <v>15</v>
      </c>
      <c r="N247" s="28">
        <f>(A247+M247)</f>
        <v>46051</v>
      </c>
      <c r="O247" s="24">
        <f>+Tabla2[[#This Row],[CODIGO]]</f>
        <v>209</v>
      </c>
      <c r="P247" s="26">
        <f>R247/Q247*1000</f>
        <v>42000</v>
      </c>
      <c r="Q247" s="22">
        <f>K247</f>
        <v>2250</v>
      </c>
      <c r="R247" s="30">
        <v>94500</v>
      </c>
      <c r="S247" s="22" t="s">
        <v>647</v>
      </c>
      <c r="T247" s="22" t="s">
        <v>648</v>
      </c>
      <c r="U247">
        <v>0</v>
      </c>
      <c r="V247" s="79">
        <v>0</v>
      </c>
    </row>
    <row r="248" spans="1:22" s="10" customFormat="1" ht="30" x14ac:dyDescent="0.25">
      <c r="A248" s="9" t="str" cm="1">
        <f t="array" ref="A248">IFERROR(LOOKUP(2,1/([1]maestro!I:I=H248),[1]maestro!B:B),"")</f>
        <v/>
      </c>
      <c r="B248" s="10" t="str">
        <f>TEXT(A248,"mmmm")</f>
        <v/>
      </c>
      <c r="C248" s="11">
        <v>211</v>
      </c>
      <c r="D248" s="10" t="s">
        <v>653</v>
      </c>
      <c r="E248" s="13" t="str">
        <f>PROPER(D248)</f>
        <v>Maria Alejandra Wilches</v>
      </c>
      <c r="F248" s="13"/>
      <c r="G248" s="14" t="str">
        <f>CONCATENATE('[1]Clientes Inactivos'!$G$1,H248)</f>
        <v>573176712724</v>
      </c>
      <c r="H248" s="13">
        <v>3176712724</v>
      </c>
      <c r="I248" s="13">
        <v>115</v>
      </c>
      <c r="J248" s="13">
        <v>230</v>
      </c>
      <c r="K248" s="13">
        <f>+J248*7</f>
        <v>1610</v>
      </c>
      <c r="L248" s="13">
        <f>K248/I248</f>
        <v>14</v>
      </c>
      <c r="M248" s="13">
        <f>K248/J248</f>
        <v>7</v>
      </c>
      <c r="N248" s="18" t="e">
        <f>(A248+M248)</f>
        <v>#VALUE!</v>
      </c>
      <c r="O248" s="13">
        <f>+Tabla2[[#This Row],[CODIGO]]</f>
        <v>211</v>
      </c>
      <c r="P248" s="19">
        <f>R248/Q248*1000</f>
        <v>40434.782608695648</v>
      </c>
      <c r="Q248" s="10">
        <f>K248</f>
        <v>1610</v>
      </c>
      <c r="R248" s="20">
        <v>65100</v>
      </c>
      <c r="S248" s="10" t="s">
        <v>654</v>
      </c>
      <c r="T248" s="10" t="s">
        <v>655</v>
      </c>
      <c r="U248">
        <v>0</v>
      </c>
      <c r="V248" s="79">
        <v>0</v>
      </c>
    </row>
    <row r="249" spans="1:22" s="10" customFormat="1" ht="30" x14ac:dyDescent="0.25">
      <c r="A249" s="9" t="str" cm="1">
        <f t="array" ref="A249">IFERROR(LOOKUP(2,1/([1]maestro!I:I=H249),[1]maestro!B:B),"")</f>
        <v/>
      </c>
      <c r="B249" s="10" t="str">
        <f>TEXT(A249,"mmmm")</f>
        <v/>
      </c>
      <c r="C249" s="11">
        <v>212</v>
      </c>
      <c r="D249" s="10" t="s">
        <v>656</v>
      </c>
      <c r="E249" s="13" t="str">
        <f>PROPER(D249)</f>
        <v>María Angélica Márquez Rozo</v>
      </c>
      <c r="F249" s="10" t="s">
        <v>66</v>
      </c>
      <c r="G249" s="14" t="str">
        <f>CONCATENATE($G$1,H249)</f>
        <v>573105587843</v>
      </c>
      <c r="H249" s="13">
        <v>3105587843</v>
      </c>
      <c r="I249" s="15">
        <v>500</v>
      </c>
      <c r="J249" s="15">
        <v>1000</v>
      </c>
      <c r="K249" s="15">
        <f>30*500</f>
        <v>15000</v>
      </c>
      <c r="L249" s="13">
        <f>K249/I249</f>
        <v>30</v>
      </c>
      <c r="M249" s="13">
        <f>K249/J249</f>
        <v>15</v>
      </c>
      <c r="N249" s="18" t="e">
        <f>(A249+M249)</f>
        <v>#VALUE!</v>
      </c>
      <c r="O249" s="13">
        <f>+Tabla2[[#This Row],[CODIGO]]</f>
        <v>212</v>
      </c>
      <c r="P249" s="19">
        <f>R249/Q249*1000</f>
        <v>22500</v>
      </c>
      <c r="Q249" s="10">
        <f>K249</f>
        <v>15000</v>
      </c>
      <c r="R249" s="29">
        <v>337500</v>
      </c>
      <c r="S249" s="10" t="s">
        <v>657</v>
      </c>
      <c r="T249" s="10" t="s">
        <v>658</v>
      </c>
      <c r="U249">
        <v>0</v>
      </c>
      <c r="V249" s="79">
        <v>0</v>
      </c>
    </row>
    <row r="250" spans="1:22" s="22" customFormat="1" x14ac:dyDescent="0.25">
      <c r="A250" s="21" cm="1">
        <f t="array" ref="A250">IFERROR(LOOKUP(2,1/([1]maestro!I:I=H250),[1]maestro!B:B),"")</f>
        <v>46036</v>
      </c>
      <c r="B250" s="22" t="str">
        <f>TEXT(A250,"mmmm")</f>
        <v>enero</v>
      </c>
      <c r="C250" s="23">
        <v>213</v>
      </c>
      <c r="D250" s="32" t="s">
        <v>659</v>
      </c>
      <c r="E250" s="24" t="str">
        <f>PROPER(D250)</f>
        <v>María Claudia Muriel Botero</v>
      </c>
      <c r="G250" s="25" t="str">
        <f>CONCATENATE($G$1,H250)</f>
        <v>573108677744</v>
      </c>
      <c r="H250" s="24">
        <v>3108677744</v>
      </c>
      <c r="I250" s="33">
        <v>60</v>
      </c>
      <c r="J250" s="33">
        <v>120</v>
      </c>
      <c r="K250" s="33">
        <f>+J250*15</f>
        <v>1800</v>
      </c>
      <c r="L250" s="34">
        <f>K250/I250</f>
        <v>30</v>
      </c>
      <c r="M250" s="35">
        <f>K250/J250</f>
        <v>15</v>
      </c>
      <c r="N250" s="28">
        <f>(A250+M250)</f>
        <v>46051</v>
      </c>
      <c r="O250" s="24">
        <f>+Tabla2[[#This Row],[CODIGO]]</f>
        <v>213</v>
      </c>
      <c r="P250" s="26">
        <f>R250/Q250*1000</f>
        <v>44000</v>
      </c>
      <c r="Q250" s="22">
        <f>K250</f>
        <v>1800</v>
      </c>
      <c r="R250" s="30">
        <v>79200</v>
      </c>
      <c r="S250" s="22" t="s">
        <v>660</v>
      </c>
      <c r="T250" s="22" t="s">
        <v>661</v>
      </c>
      <c r="U250">
        <v>0</v>
      </c>
      <c r="V250" s="79">
        <v>0</v>
      </c>
    </row>
    <row r="251" spans="1:22" s="10" customFormat="1" x14ac:dyDescent="0.25">
      <c r="A251" s="21" cm="1">
        <f t="array" ref="A251">IFERROR(LOOKUP(2,1/([1]maestro!I:I=H251),[1]maestro!B:B),"")</f>
        <v>46038</v>
      </c>
      <c r="B251" s="22" t="str">
        <f>TEXT(A251,"mmmm")</f>
        <v>enero</v>
      </c>
      <c r="C251" s="23">
        <v>215</v>
      </c>
      <c r="D251" s="22" t="s">
        <v>665</v>
      </c>
      <c r="E251" s="24" t="str">
        <f>PROPER(D251)</f>
        <v>Maria Magdalena Saavedra</v>
      </c>
      <c r="F251" s="22"/>
      <c r="G251" s="25" t="str">
        <f>CONCATENATE($G$1,H251)</f>
        <v>573133252005</v>
      </c>
      <c r="H251" s="24">
        <v>3133252005</v>
      </c>
      <c r="I251" s="33">
        <v>85</v>
      </c>
      <c r="J251" s="33">
        <v>170</v>
      </c>
      <c r="K251" s="24">
        <f>J251*15</f>
        <v>2550</v>
      </c>
      <c r="L251" s="24">
        <f>K251/I251</f>
        <v>30</v>
      </c>
      <c r="M251" s="24">
        <f>K251/J251</f>
        <v>15</v>
      </c>
      <c r="N251" s="28">
        <f>(A251+M251)</f>
        <v>46053</v>
      </c>
      <c r="O251" s="24">
        <f>+Tabla2[[#This Row],[CODIGO]]</f>
        <v>215</v>
      </c>
      <c r="P251" s="26">
        <f>R251/Q251*1000</f>
        <v>30000</v>
      </c>
      <c r="Q251" s="22">
        <f>K251</f>
        <v>2550</v>
      </c>
      <c r="R251" s="30">
        <v>76500</v>
      </c>
      <c r="S251" s="22" t="s">
        <v>666</v>
      </c>
      <c r="T251" s="22" t="s">
        <v>667</v>
      </c>
      <c r="U251">
        <v>3500</v>
      </c>
      <c r="V251" s="79">
        <v>0</v>
      </c>
    </row>
    <row r="252" spans="1:22" s="22" customFormat="1" x14ac:dyDescent="0.25">
      <c r="A252" s="21" cm="1">
        <f t="array" ref="A252">IFERROR(LOOKUP(2,1/([1]maestro!I:I=H252),[1]maestro!B:B),"")</f>
        <v>46045</v>
      </c>
      <c r="B252" s="22" t="str">
        <f>TEXT(A252,"mmmm")</f>
        <v>enero</v>
      </c>
      <c r="C252" s="23">
        <v>207</v>
      </c>
      <c r="D252" s="22" t="s">
        <v>642</v>
      </c>
      <c r="E252" s="24" t="str">
        <f>PROPER(D252)</f>
        <v>Marcela Diaz</v>
      </c>
      <c r="G252" s="25" t="str">
        <f>CONCATENATE($G$1,H252)</f>
        <v>573123176445</v>
      </c>
      <c r="H252" s="24">
        <v>3123176445</v>
      </c>
      <c r="I252" s="24">
        <v>140</v>
      </c>
      <c r="J252" s="24">
        <f>140*3</f>
        <v>420</v>
      </c>
      <c r="K252" s="24">
        <f>Tabla2[[#This Row],[AL DIA]]*10</f>
        <v>4200</v>
      </c>
      <c r="L252" s="24">
        <f>K252/I252</f>
        <v>30</v>
      </c>
      <c r="M252" s="24">
        <f>K252/J252</f>
        <v>10</v>
      </c>
      <c r="N252" s="28">
        <f>(A252+M252)</f>
        <v>46055</v>
      </c>
      <c r="O252" s="24">
        <f>+Tabla2[[#This Row],[CODIGO]]</f>
        <v>207</v>
      </c>
      <c r="P252" s="26">
        <f>R252/Q252*1000</f>
        <v>25000</v>
      </c>
      <c r="Q252" s="22">
        <f>K252</f>
        <v>4200</v>
      </c>
      <c r="R252" s="27">
        <v>105000</v>
      </c>
      <c r="S252" s="22" t="s">
        <v>643</v>
      </c>
      <c r="T252" s="22" t="s">
        <v>644</v>
      </c>
      <c r="U252">
        <v>0</v>
      </c>
      <c r="V252" s="79">
        <v>105000</v>
      </c>
    </row>
    <row r="253" spans="1:22" s="10" customFormat="1" x14ac:dyDescent="0.25">
      <c r="A253" s="21" cm="1">
        <f t="array" ref="A253">IFERROR(LOOKUP(2,1/([1]maestro!I:I=H253),[1]maestro!B:B),"")</f>
        <v>46042</v>
      </c>
      <c r="B253" s="22" t="str">
        <f>TEXT(A253,"mmmm")</f>
        <v>enero</v>
      </c>
      <c r="C253" s="23">
        <v>208</v>
      </c>
      <c r="D253" s="22" t="s">
        <v>645</v>
      </c>
      <c r="E253" s="24" t="str">
        <f>PROPER(D253)</f>
        <v>Marcela Hernandez</v>
      </c>
      <c r="F253" s="22"/>
      <c r="G253" s="25" t="str">
        <f>CONCATENATE($G$1,H253)</f>
        <v>573194584587</v>
      </c>
      <c r="H253" s="24">
        <v>3194584587</v>
      </c>
      <c r="I253" s="24">
        <v>220</v>
      </c>
      <c r="J253" s="24">
        <v>220</v>
      </c>
      <c r="K253" s="24">
        <f>23*220</f>
        <v>5060</v>
      </c>
      <c r="L253" s="24">
        <f>K253/I253</f>
        <v>23</v>
      </c>
      <c r="M253" s="24">
        <f>K253/J253</f>
        <v>23</v>
      </c>
      <c r="N253" s="28">
        <f>(A253+M253)</f>
        <v>46065</v>
      </c>
      <c r="O253" s="24">
        <f>+Tabla2[[#This Row],[CODIGO]]</f>
        <v>208</v>
      </c>
      <c r="P253" s="26">
        <f>R253/Q253*1000</f>
        <v>25000</v>
      </c>
      <c r="Q253" s="22">
        <f>K253</f>
        <v>5060</v>
      </c>
      <c r="R253" s="27">
        <v>126500</v>
      </c>
      <c r="S253" s="22" t="s">
        <v>456</v>
      </c>
      <c r="T253" s="22" t="s">
        <v>457</v>
      </c>
      <c r="U253">
        <v>0</v>
      </c>
      <c r="V253" s="79">
        <v>126500</v>
      </c>
    </row>
    <row r="254" spans="1:22" s="10" customFormat="1" x14ac:dyDescent="0.25">
      <c r="A254" s="9" t="str" cm="1">
        <f t="array" ref="A254">IFERROR(LOOKUP(2,1/([1]maestro!I:I=H254),[1]maestro!B:B),"")</f>
        <v/>
      </c>
      <c r="B254" s="10" t="str">
        <f>TEXT(A254,"mmmm")</f>
        <v/>
      </c>
      <c r="C254" s="11">
        <v>216</v>
      </c>
      <c r="D254" s="10" t="s">
        <v>668</v>
      </c>
      <c r="E254" s="13" t="str">
        <f>PROPER(D254)</f>
        <v>María Paula Buchely Jiménez</v>
      </c>
      <c r="G254" s="14" t="str">
        <f>CONCATENATE($G$1,H254)</f>
        <v>573023480211</v>
      </c>
      <c r="H254" s="13">
        <v>3023480211</v>
      </c>
      <c r="I254" s="13">
        <v>330</v>
      </c>
      <c r="J254" s="13">
        <v>330</v>
      </c>
      <c r="K254" s="13">
        <v>4950</v>
      </c>
      <c r="L254" s="13">
        <f>K254/I254</f>
        <v>15</v>
      </c>
      <c r="M254" s="13">
        <f>K254/J254</f>
        <v>15</v>
      </c>
      <c r="N254" s="18" t="e">
        <f>(A254+M254)</f>
        <v>#VALUE!</v>
      </c>
      <c r="O254" s="13">
        <f>+Tabla2[[#This Row],[CODIGO]]</f>
        <v>216</v>
      </c>
      <c r="P254" s="19">
        <f>R254/Q254*1000</f>
        <v>26000</v>
      </c>
      <c r="Q254" s="10">
        <f>K254</f>
        <v>4950</v>
      </c>
      <c r="R254" s="20">
        <v>128700</v>
      </c>
      <c r="S254" s="10" t="s">
        <v>669</v>
      </c>
      <c r="T254" s="10" t="s">
        <v>670</v>
      </c>
      <c r="U254">
        <v>0</v>
      </c>
      <c r="V254" s="79">
        <v>0</v>
      </c>
    </row>
    <row r="255" spans="1:22" s="10" customFormat="1" x14ac:dyDescent="0.25">
      <c r="A255" s="9" t="str" cm="1">
        <f t="array" ref="A255">IFERROR(LOOKUP(2,1/([1]maestro!I:I=H255),[1]maestro!B:B),"")</f>
        <v/>
      </c>
      <c r="B255" s="10" t="str">
        <f>TEXT(A255,"mmmm")</f>
        <v/>
      </c>
      <c r="C255" s="11">
        <v>218</v>
      </c>
      <c r="D255" s="12" t="s">
        <v>674</v>
      </c>
      <c r="E255" s="13" t="str">
        <f>PROPER(D255)</f>
        <v>Mariana Jimenez</v>
      </c>
      <c r="G255" s="14" t="str">
        <f>CONCATENATE($G$1,H255)</f>
        <v>573134097706</v>
      </c>
      <c r="H255" s="13">
        <v>3134097706</v>
      </c>
      <c r="I255" s="15">
        <v>330</v>
      </c>
      <c r="J255" s="15">
        <v>330</v>
      </c>
      <c r="K255" s="15">
        <f>+J255*7</f>
        <v>2310</v>
      </c>
      <c r="L255" s="16">
        <f>K255/I255</f>
        <v>7</v>
      </c>
      <c r="M255" s="17">
        <f>K255/J255</f>
        <v>7</v>
      </c>
      <c r="N255" s="18" t="e">
        <f>(A255+M255)</f>
        <v>#VALUE!</v>
      </c>
      <c r="O255" s="13">
        <f>+Tabla2[[#This Row],[CODIGO]]</f>
        <v>218</v>
      </c>
      <c r="P255" s="19">
        <f>R255/Q255*1000</f>
        <v>112554.11255411255</v>
      </c>
      <c r="Q255" s="10">
        <f>K255</f>
        <v>2310</v>
      </c>
      <c r="R255" s="20">
        <v>260000</v>
      </c>
      <c r="S255" s="10" t="s">
        <v>675</v>
      </c>
      <c r="U255">
        <v>0</v>
      </c>
      <c r="V255" s="79">
        <v>0</v>
      </c>
    </row>
    <row r="256" spans="1:22" s="10" customFormat="1" x14ac:dyDescent="0.25">
      <c r="A256" s="21" cm="1">
        <f t="array" ref="A256">IFERROR(LOOKUP(2,1/([1]maestro!I:I=H256),[1]maestro!B:B),"")</f>
        <v>46038</v>
      </c>
      <c r="B256" s="22" t="str">
        <f>TEXT(A256,"mmmm")</f>
        <v>enero</v>
      </c>
      <c r="C256" s="23">
        <v>219</v>
      </c>
      <c r="D256" s="22" t="s">
        <v>676</v>
      </c>
      <c r="E256" s="24" t="str">
        <f>PROPER(D256)</f>
        <v>Maribel Vidal</v>
      </c>
      <c r="F256" s="22"/>
      <c r="G256" s="25" t="str">
        <f>CONCATENATE($G$1,H256)</f>
        <v>573203728948</v>
      </c>
      <c r="H256" s="24">
        <v>3203728948</v>
      </c>
      <c r="I256" s="33">
        <v>150</v>
      </c>
      <c r="J256" s="33">
        <v>450</v>
      </c>
      <c r="K256" s="33">
        <v>6750</v>
      </c>
      <c r="L256" s="24">
        <f>K256/I256</f>
        <v>45</v>
      </c>
      <c r="M256" s="24">
        <f>K256/J256</f>
        <v>15</v>
      </c>
      <c r="N256" s="28">
        <f>(A256+M256)</f>
        <v>46053</v>
      </c>
      <c r="O256" s="24">
        <f>+Tabla2[[#This Row],[CODIGO]]</f>
        <v>219</v>
      </c>
      <c r="P256" s="26">
        <f>R256/Q256*1000</f>
        <v>29000</v>
      </c>
      <c r="Q256" s="22">
        <f>K256</f>
        <v>6750</v>
      </c>
      <c r="R256" s="30">
        <v>195750</v>
      </c>
      <c r="S256" s="22" t="s">
        <v>677</v>
      </c>
      <c r="T256" s="22" t="s">
        <v>678</v>
      </c>
      <c r="U256">
        <v>0</v>
      </c>
      <c r="V256" s="79">
        <v>0</v>
      </c>
    </row>
    <row r="257" spans="1:22" s="10" customFormat="1" x14ac:dyDescent="0.25">
      <c r="A257" s="9" t="str" cm="1">
        <f t="array" ref="A257">IFERROR(LOOKUP(2,1/([1]maestro!I:I=H257),[1]maestro!B:B),"")</f>
        <v/>
      </c>
      <c r="B257" s="10" t="str">
        <f>TEXT(A257,"mmmm")</f>
        <v/>
      </c>
      <c r="C257" s="11">
        <v>220</v>
      </c>
      <c r="D257" s="10" t="s">
        <v>679</v>
      </c>
      <c r="E257" s="13" t="str">
        <f>PROPER(D257)</f>
        <v xml:space="preserve">Marina Higuera </v>
      </c>
      <c r="F257" s="13"/>
      <c r="G257" s="63" t="str">
        <f>CONCATENATE($G$1,H257)</f>
        <v>573025401098</v>
      </c>
      <c r="H257" s="13">
        <v>3025401098</v>
      </c>
      <c r="I257" s="13">
        <v>50</v>
      </c>
      <c r="J257" s="13">
        <v>350</v>
      </c>
      <c r="K257" s="13">
        <f>+J257*7</f>
        <v>2450</v>
      </c>
      <c r="L257" s="13">
        <f>K257/I257</f>
        <v>49</v>
      </c>
      <c r="M257" s="13">
        <f>K257/J257</f>
        <v>7</v>
      </c>
      <c r="N257" s="18" t="e">
        <f>(A257+M257)</f>
        <v>#VALUE!</v>
      </c>
      <c r="O257" s="13">
        <f>+Tabla2[[#This Row],[CODIGO]]</f>
        <v>220</v>
      </c>
      <c r="P257" s="19">
        <f>R257/Q257*1000</f>
        <v>53877.551020408166</v>
      </c>
      <c r="Q257" s="10">
        <f>K257</f>
        <v>2450</v>
      </c>
      <c r="R257" s="20">
        <v>132000</v>
      </c>
      <c r="S257" s="10" t="s">
        <v>680</v>
      </c>
      <c r="T257" s="10" t="s">
        <v>681</v>
      </c>
      <c r="U257">
        <v>0</v>
      </c>
      <c r="V257" s="79">
        <v>0</v>
      </c>
    </row>
    <row r="258" spans="1:22" s="10" customFormat="1" x14ac:dyDescent="0.25">
      <c r="A258" s="21" cm="1">
        <f t="array" ref="A258">IFERROR(LOOKUP(2,1/([1]maestro!I:I=H258),[1]maestro!B:B),"")</f>
        <v>46043</v>
      </c>
      <c r="B258" s="22" t="str">
        <f>TEXT(A258,"mmmm")</f>
        <v>enero</v>
      </c>
      <c r="C258" s="23">
        <v>221</v>
      </c>
      <c r="D258" s="32" t="s">
        <v>682</v>
      </c>
      <c r="E258" s="24" t="str">
        <f>PROPER(D258)</f>
        <v>Martha Cecilia Romero</v>
      </c>
      <c r="F258" s="22"/>
      <c r="G258" s="25" t="str">
        <f>CONCATENATE($G$1,H258)</f>
        <v>573102701974</v>
      </c>
      <c r="H258" s="24">
        <v>3102701974</v>
      </c>
      <c r="I258" s="33">
        <v>59</v>
      </c>
      <c r="J258" s="33">
        <f>59*2</f>
        <v>118</v>
      </c>
      <c r="K258" s="33">
        <f>+J258*7</f>
        <v>826</v>
      </c>
      <c r="L258" s="34">
        <f>K258/I258</f>
        <v>14</v>
      </c>
      <c r="M258" s="35">
        <f>K258/J258</f>
        <v>7</v>
      </c>
      <c r="N258" s="28">
        <f>(A258+M258)</f>
        <v>46050</v>
      </c>
      <c r="O258" s="24">
        <f>+Tabla2[[#This Row],[CODIGO]]</f>
        <v>221</v>
      </c>
      <c r="P258" s="26">
        <f>R258/Q258*1000</f>
        <v>50000</v>
      </c>
      <c r="Q258" s="22">
        <f>K258</f>
        <v>826</v>
      </c>
      <c r="R258" s="27">
        <v>41300</v>
      </c>
      <c r="S258" s="22" t="s">
        <v>683</v>
      </c>
      <c r="T258" s="22" t="s">
        <v>684</v>
      </c>
      <c r="U258">
        <v>0</v>
      </c>
      <c r="V258" s="79">
        <v>0</v>
      </c>
    </row>
    <row r="259" spans="1:22" s="10" customFormat="1" x14ac:dyDescent="0.25">
      <c r="A259" s="48" cm="1">
        <f t="array" ref="A259">IFERROR(LOOKUP(2,1/([1]maestro!I:I=H259),[1]maestro!B:B),"")</f>
        <v>46043</v>
      </c>
      <c r="B259" s="49" t="str">
        <f>TEXT(A259,"mmmm")</f>
        <v>enero</v>
      </c>
      <c r="C259" s="50">
        <v>222</v>
      </c>
      <c r="D259" s="49" t="s">
        <v>685</v>
      </c>
      <c r="E259" s="51" t="str">
        <f>PROPER(D259)</f>
        <v>Martha Salgado Pet O Vet</v>
      </c>
      <c r="F259" s="49"/>
      <c r="G259" s="52" t="str">
        <f>CONCATENATE($G$1,H259)</f>
        <v>573102323184</v>
      </c>
      <c r="H259" s="51">
        <v>3102323184</v>
      </c>
      <c r="I259" s="51">
        <v>130</v>
      </c>
      <c r="J259" s="51">
        <v>260</v>
      </c>
      <c r="K259" s="15">
        <f>+J259*15</f>
        <v>3900</v>
      </c>
      <c r="L259" s="51">
        <f>K259/I259</f>
        <v>30</v>
      </c>
      <c r="M259" s="51">
        <f>K259/J259</f>
        <v>15</v>
      </c>
      <c r="N259" s="53">
        <f>(A259+M259)</f>
        <v>46058</v>
      </c>
      <c r="O259" s="51">
        <f>+Tabla2[[#This Row],[CODIGO]]</f>
        <v>222</v>
      </c>
      <c r="P259" s="54">
        <f>R259/Q259*1000</f>
        <v>39000</v>
      </c>
      <c r="Q259" s="49">
        <f>K259</f>
        <v>3900</v>
      </c>
      <c r="R259" s="55">
        <v>152100</v>
      </c>
      <c r="S259" s="49" t="s">
        <v>686</v>
      </c>
      <c r="T259" s="49" t="s">
        <v>687</v>
      </c>
      <c r="U259">
        <v>0</v>
      </c>
      <c r="V259" s="79">
        <v>0</v>
      </c>
    </row>
    <row r="260" spans="1:22" s="10" customFormat="1" x14ac:dyDescent="0.25">
      <c r="A260" s="9" cm="1">
        <f t="array" ref="A260">IFERROR(LOOKUP(2,1/([1]maestro!I:I=H260),[1]maestro!B:B),"")</f>
        <v>46048</v>
      </c>
      <c r="B260" s="10" t="str">
        <f>TEXT(A260,"mmmm")</f>
        <v>enero</v>
      </c>
      <c r="C260" s="11">
        <v>214</v>
      </c>
      <c r="D260" s="10" t="s">
        <v>662</v>
      </c>
      <c r="E260" s="13" t="str">
        <f>PROPER(D260)</f>
        <v>Maria Consuelo Ruiz</v>
      </c>
      <c r="G260" s="14" t="str">
        <f>CONCATENATE($G$1,H260)</f>
        <v>573208834012</v>
      </c>
      <c r="H260" s="13">
        <v>3208834012</v>
      </c>
      <c r="I260" s="13">
        <v>150</v>
      </c>
      <c r="J260" s="13">
        <v>450</v>
      </c>
      <c r="K260" s="13">
        <f>+Tabla2[[#This Row],[AL DIA]]*15</f>
        <v>6750</v>
      </c>
      <c r="L260" s="13">
        <v>45</v>
      </c>
      <c r="M260" s="13">
        <v>15</v>
      </c>
      <c r="N260" s="18">
        <f>(A260+M260)</f>
        <v>46063</v>
      </c>
      <c r="O260" s="13">
        <f>+Tabla2[[#This Row],[CODIGO]]</f>
        <v>214</v>
      </c>
      <c r="P260" s="19">
        <v>22000</v>
      </c>
      <c r="Q260" s="10">
        <f>K260</f>
        <v>6750</v>
      </c>
      <c r="R260" s="20">
        <v>145500</v>
      </c>
      <c r="S260" s="10" t="s">
        <v>663</v>
      </c>
      <c r="T260" s="10" t="s">
        <v>664</v>
      </c>
      <c r="U260">
        <v>0</v>
      </c>
      <c r="V260" s="79">
        <v>291000</v>
      </c>
    </row>
    <row r="261" spans="1:22" s="10" customFormat="1" x14ac:dyDescent="0.25">
      <c r="A261" s="9" t="str" cm="1">
        <f t="array" ref="A261">IFERROR(LOOKUP(2,1/([1]maestro!I:I=H261),[1]maestro!B:B),"")</f>
        <v/>
      </c>
      <c r="B261" s="10" t="str">
        <f>TEXT(A261,"mmmm")</f>
        <v/>
      </c>
      <c r="C261" s="11">
        <v>223</v>
      </c>
      <c r="D261" s="12" t="s">
        <v>688</v>
      </c>
      <c r="E261" s="13" t="str">
        <f>PROPER(D261)</f>
        <v>Mauricio Antonio Bernal Torre</v>
      </c>
      <c r="G261" s="14" t="str">
        <f>CONCATENATE($G$1,H261)</f>
        <v>573143474850</v>
      </c>
      <c r="H261" s="13">
        <v>3143474850</v>
      </c>
      <c r="I261" s="15">
        <v>34</v>
      </c>
      <c r="J261" s="15">
        <f>30*2</f>
        <v>60</v>
      </c>
      <c r="K261" s="15">
        <f>+J261*7</f>
        <v>420</v>
      </c>
      <c r="L261" s="16">
        <f>K261/I261</f>
        <v>12.352941176470589</v>
      </c>
      <c r="M261" s="17">
        <f>K261/J261</f>
        <v>7</v>
      </c>
      <c r="N261" s="18" t="e">
        <f>(A261+M261)</f>
        <v>#VALUE!</v>
      </c>
      <c r="O261" s="13">
        <f>+Tabla2[[#This Row],[CODIGO]]</f>
        <v>223</v>
      </c>
      <c r="P261" s="19">
        <f>R261/Q261*1000</f>
        <v>202380.95238095237</v>
      </c>
      <c r="Q261" s="10">
        <f>K261</f>
        <v>420</v>
      </c>
      <c r="R261" s="20">
        <v>85000</v>
      </c>
      <c r="S261" s="10" t="s">
        <v>689</v>
      </c>
      <c r="T261" s="10" t="s">
        <v>690</v>
      </c>
      <c r="U261">
        <v>0</v>
      </c>
      <c r="V261" s="79">
        <v>0</v>
      </c>
    </row>
    <row r="262" spans="1:22" s="10" customFormat="1" x14ac:dyDescent="0.25">
      <c r="A262" s="9" t="str" cm="1">
        <f t="array" ref="A262">IFERROR(LOOKUP(2,1/([1]maestro!I:I=H262),[1]maestro!B:B),"")</f>
        <v/>
      </c>
      <c r="B262" s="10" t="str">
        <f>TEXT(A262,"mmmm")</f>
        <v/>
      </c>
      <c r="C262" s="11">
        <v>224</v>
      </c>
      <c r="D262" s="12" t="s">
        <v>691</v>
      </c>
      <c r="E262" s="13" t="str">
        <f>PROPER(D262)</f>
        <v>Mauricio Valero</v>
      </c>
      <c r="G262" s="14" t="str">
        <f>CONCATENATE($G$1,H262)</f>
        <v>573152351111</v>
      </c>
      <c r="H262" s="13">
        <v>3152351111</v>
      </c>
      <c r="I262" s="15">
        <v>65</v>
      </c>
      <c r="J262" s="15">
        <v>103</v>
      </c>
      <c r="K262" s="15">
        <f>+J262*7</f>
        <v>721</v>
      </c>
      <c r="L262" s="16">
        <f>K262/I262</f>
        <v>11.092307692307692</v>
      </c>
      <c r="M262" s="17">
        <f>K262/J262</f>
        <v>7</v>
      </c>
      <c r="N262" s="18" t="e">
        <f>(A262+M262)</f>
        <v>#VALUE!</v>
      </c>
      <c r="O262" s="13">
        <f>+Tabla2[[#This Row],[CODIGO]]</f>
        <v>224</v>
      </c>
      <c r="P262" s="19">
        <f>R262/Q262*1000</f>
        <v>13869.625520110956</v>
      </c>
      <c r="Q262" s="10">
        <f>K262</f>
        <v>721</v>
      </c>
      <c r="R262" s="20">
        <v>10000</v>
      </c>
      <c r="S262" s="10" t="s">
        <v>692</v>
      </c>
      <c r="U262">
        <v>0</v>
      </c>
      <c r="V262" s="79">
        <v>0</v>
      </c>
    </row>
    <row r="263" spans="1:22" s="10" customFormat="1" x14ac:dyDescent="0.25">
      <c r="A263" s="9" cm="1">
        <f t="array" ref="A263">IFERROR(LOOKUP(2,1/([1]maestro!I:I=H263),[1]maestro!B:B),"")</f>
        <v>46035</v>
      </c>
      <c r="B263" s="10" t="str">
        <f>TEXT(A263,"mmmm")</f>
        <v>enero</v>
      </c>
      <c r="C263" s="11">
        <v>225</v>
      </c>
      <c r="D263" s="10" t="s">
        <v>693</v>
      </c>
      <c r="E263" s="13" t="str">
        <f>PROPER(D263)</f>
        <v>Mauricio Vargas 270</v>
      </c>
      <c r="G263" s="14" t="str">
        <f>CONCATENATE($G$1,H263)</f>
        <v>573183725754</v>
      </c>
      <c r="H263" s="13">
        <v>3183725754</v>
      </c>
      <c r="I263" s="13">
        <v>270</v>
      </c>
      <c r="J263" s="13">
        <v>270</v>
      </c>
      <c r="K263" s="13">
        <f>15*270</f>
        <v>4050</v>
      </c>
      <c r="L263" s="13">
        <f>K263/I263</f>
        <v>15</v>
      </c>
      <c r="M263" s="13">
        <f>K263/J263</f>
        <v>15</v>
      </c>
      <c r="N263" s="18">
        <f>(A263+M263)</f>
        <v>46050</v>
      </c>
      <c r="O263" s="13">
        <f>+Tabla2[[#This Row],[CODIGO]]</f>
        <v>225</v>
      </c>
      <c r="P263" s="19">
        <f>R263/Q263*1000</f>
        <v>21000</v>
      </c>
      <c r="Q263" s="10">
        <f>K263</f>
        <v>4050</v>
      </c>
      <c r="R263" s="20">
        <v>85050</v>
      </c>
      <c r="S263" s="10" t="s">
        <v>694</v>
      </c>
      <c r="T263" s="10" t="s">
        <v>695</v>
      </c>
      <c r="U263">
        <v>0</v>
      </c>
      <c r="V263" s="79">
        <v>0</v>
      </c>
    </row>
    <row r="264" spans="1:22" s="10" customFormat="1" x14ac:dyDescent="0.25">
      <c r="A264" s="9" cm="1">
        <f t="array" ref="A264">IFERROR(LOOKUP(2,1/([1]maestro!I:I=H264),[1]maestro!B:B),"")</f>
        <v>46035</v>
      </c>
      <c r="B264" s="10" t="str">
        <f>TEXT(A264,"mmmm")</f>
        <v>enero</v>
      </c>
      <c r="C264" s="11">
        <v>225</v>
      </c>
      <c r="D264" s="10" t="s">
        <v>696</v>
      </c>
      <c r="E264" s="13" t="str">
        <f>PROPER(D264)</f>
        <v>Mauricio Vargas 350</v>
      </c>
      <c r="G264" s="14" t="str">
        <f>CONCATENATE($G$1,H264)</f>
        <v>573183725754</v>
      </c>
      <c r="H264" s="13">
        <v>3183725754</v>
      </c>
      <c r="I264" s="13">
        <v>350</v>
      </c>
      <c r="J264" s="13">
        <v>350</v>
      </c>
      <c r="K264" s="13">
        <f>15*350</f>
        <v>5250</v>
      </c>
      <c r="L264" s="13">
        <f>K264/I264</f>
        <v>15</v>
      </c>
      <c r="M264" s="13">
        <f>K264/J264</f>
        <v>15</v>
      </c>
      <c r="N264" s="18">
        <f>(A264+M264)</f>
        <v>46050</v>
      </c>
      <c r="O264" s="13">
        <f>+Tabla2[[#This Row],[CODIGO]]</f>
        <v>225</v>
      </c>
      <c r="P264" s="19">
        <f>R264/Q264*1000</f>
        <v>21000</v>
      </c>
      <c r="Q264" s="10">
        <f>K264</f>
        <v>5250</v>
      </c>
      <c r="R264" s="20">
        <v>110250</v>
      </c>
      <c r="S264" s="10" t="s">
        <v>694</v>
      </c>
      <c r="T264" s="10" t="s">
        <v>695</v>
      </c>
      <c r="U264">
        <v>0</v>
      </c>
      <c r="V264" s="79">
        <v>0</v>
      </c>
    </row>
    <row r="265" spans="1:22" s="10" customFormat="1" x14ac:dyDescent="0.25">
      <c r="A265" s="48" cm="1">
        <f t="array" ref="A265">IFERROR(LOOKUP(2,1/([1]maestro!I:I=H265),[1]maestro!B:B),"")</f>
        <v>46043</v>
      </c>
      <c r="B265" s="49" t="str">
        <f>TEXT(A265,"mmmm")</f>
        <v>enero</v>
      </c>
      <c r="C265" s="50">
        <v>226</v>
      </c>
      <c r="D265" s="49" t="s">
        <v>697</v>
      </c>
      <c r="E265" s="51" t="str">
        <f>PROPER(D265)</f>
        <v>Maye Delgado</v>
      </c>
      <c r="F265" s="49"/>
      <c r="G265" s="52" t="str">
        <f>CONCATENATE($G$1,H265)</f>
        <v>573227436015</v>
      </c>
      <c r="H265" s="51">
        <v>3227436015</v>
      </c>
      <c r="I265" s="51">
        <v>200</v>
      </c>
      <c r="J265" s="51">
        <v>600</v>
      </c>
      <c r="K265" s="51">
        <f>31*200</f>
        <v>6200</v>
      </c>
      <c r="L265" s="51">
        <f>K265/I265</f>
        <v>31</v>
      </c>
      <c r="M265" s="51">
        <f>K265/J265</f>
        <v>10.333333333333334</v>
      </c>
      <c r="N265" s="53">
        <f>(A265+M265)</f>
        <v>46053.333333333336</v>
      </c>
      <c r="O265" s="51">
        <f>+Tabla2[[#This Row],[CODIGO]]</f>
        <v>226</v>
      </c>
      <c r="P265" s="54">
        <f>R265/Q265*1000</f>
        <v>25000</v>
      </c>
      <c r="Q265" s="49">
        <f>K265</f>
        <v>6200</v>
      </c>
      <c r="R265" s="55">
        <v>155000</v>
      </c>
      <c r="S265" s="49" t="s">
        <v>698</v>
      </c>
      <c r="T265" s="49" t="s">
        <v>699</v>
      </c>
      <c r="U265">
        <v>155000</v>
      </c>
      <c r="V265" s="79">
        <v>0</v>
      </c>
    </row>
    <row r="266" spans="1:22" s="10" customFormat="1" x14ac:dyDescent="0.25">
      <c r="A266" s="9" t="str" cm="1">
        <f t="array" ref="A266">IFERROR(LOOKUP(2,1/([1]maestro!I:I=H266),[1]maestro!B:B),"")</f>
        <v/>
      </c>
      <c r="B266" s="10" t="str">
        <f>TEXT(A266,"mmmm")</f>
        <v/>
      </c>
      <c r="C266" s="11">
        <v>227</v>
      </c>
      <c r="D266" s="10" t="s">
        <v>700</v>
      </c>
      <c r="E266" s="13" t="str">
        <f>PROPER(D266)</f>
        <v>Melissa Ortiz</v>
      </c>
      <c r="F266" s="13"/>
      <c r="G266" s="14" t="str">
        <f>CONCATENATE('[1]Clientes Inactivos'!$G$1,H266)</f>
        <v>573115580933</v>
      </c>
      <c r="H266" s="13">
        <v>3115580933</v>
      </c>
      <c r="I266" s="13">
        <v>500</v>
      </c>
      <c r="J266" s="13">
        <v>1000</v>
      </c>
      <c r="K266" s="13">
        <v>500</v>
      </c>
      <c r="L266" s="13">
        <f>K266/I266</f>
        <v>1</v>
      </c>
      <c r="M266" s="13">
        <f>K266/J266</f>
        <v>0.5</v>
      </c>
      <c r="N266" s="18" t="e">
        <f>(A266+M266)</f>
        <v>#VALUE!</v>
      </c>
      <c r="O266" s="13">
        <f>+Tabla2[[#This Row],[CODIGO]]</f>
        <v>227</v>
      </c>
      <c r="P266" s="19">
        <f>R266/Q266*1000</f>
        <v>90000</v>
      </c>
      <c r="Q266" s="10">
        <f>K266</f>
        <v>500</v>
      </c>
      <c r="R266" s="20">
        <v>45000</v>
      </c>
      <c r="S266" s="10" t="s">
        <v>701</v>
      </c>
      <c r="T266" s="10" t="s">
        <v>702</v>
      </c>
      <c r="U266">
        <v>0</v>
      </c>
      <c r="V266" s="79">
        <v>0</v>
      </c>
    </row>
    <row r="267" spans="1:22" s="22" customFormat="1" x14ac:dyDescent="0.25">
      <c r="A267" s="9" cm="1">
        <f t="array" ref="A267">IFERROR(LOOKUP(2,1/([1]maestro!I:I=H267),[1]maestro!B:B),"")</f>
        <v>46046</v>
      </c>
      <c r="B267" s="10" t="str">
        <f>TEXT(A267,"mmmm")</f>
        <v>enero</v>
      </c>
      <c r="C267" s="11">
        <v>228</v>
      </c>
      <c r="D267" s="12" t="s">
        <v>703</v>
      </c>
      <c r="E267" s="13" t="str">
        <f>PROPER(D267)</f>
        <v>Mercedes Paez</v>
      </c>
      <c r="F267" s="10"/>
      <c r="G267" s="14" t="str">
        <f>CONCATENATE($G$1,H267)</f>
        <v>573123538879</v>
      </c>
      <c r="H267" s="13">
        <v>3123538879</v>
      </c>
      <c r="I267" s="15">
        <v>250</v>
      </c>
      <c r="J267" s="15">
        <f>+Tabla2[[#This Row],[POR COMIDA]]*3</f>
        <v>750</v>
      </c>
      <c r="K267" s="15">
        <f>+J267*15</f>
        <v>11250</v>
      </c>
      <c r="L267" s="16">
        <v>45</v>
      </c>
      <c r="M267" s="17">
        <v>15</v>
      </c>
      <c r="N267" s="18">
        <f>(A267+M267)</f>
        <v>46061</v>
      </c>
      <c r="O267" s="13">
        <f>+Tabla2[[#This Row],[CODIGO]]</f>
        <v>228</v>
      </c>
      <c r="P267" s="19">
        <f>R267/Q267*1000</f>
        <v>23093.333333333332</v>
      </c>
      <c r="Q267" s="10">
        <f>K267</f>
        <v>11250</v>
      </c>
      <c r="R267" s="20">
        <v>259800</v>
      </c>
      <c r="S267" s="10" t="s">
        <v>704</v>
      </c>
      <c r="T267" s="10" t="s">
        <v>705</v>
      </c>
      <c r="U267">
        <v>0</v>
      </c>
      <c r="V267" s="79">
        <v>0</v>
      </c>
    </row>
    <row r="268" spans="1:22" s="49" customFormat="1" x14ac:dyDescent="0.25">
      <c r="A268" s="9" t="str" cm="1">
        <f t="array" ref="A268">IFERROR(LOOKUP(2,1/([1]maestro!I:I=H268),[1]maestro!B:B),"")</f>
        <v/>
      </c>
      <c r="B268" s="10" t="str">
        <f>TEXT(A268,"mmmm")</f>
        <v/>
      </c>
      <c r="C268" s="11">
        <v>229</v>
      </c>
      <c r="D268" s="12" t="s">
        <v>706</v>
      </c>
      <c r="E268" s="13" t="str">
        <f>PROPER(D268)</f>
        <v>Miguel David Avellaneda Mendoza</v>
      </c>
      <c r="F268" s="10"/>
      <c r="G268" s="14" t="str">
        <f>CONCATENATE($G$1,H268)</f>
        <v>573233952054</v>
      </c>
      <c r="H268" s="13">
        <v>3233952054</v>
      </c>
      <c r="I268" s="15">
        <v>67</v>
      </c>
      <c r="J268" s="15">
        <v>134</v>
      </c>
      <c r="K268" s="15">
        <f>+J268*15</f>
        <v>2010</v>
      </c>
      <c r="L268" s="16">
        <f>K268/I268</f>
        <v>30</v>
      </c>
      <c r="M268" s="17">
        <f>K268/J268</f>
        <v>15</v>
      </c>
      <c r="N268" s="18" t="e">
        <f>(A268+M268)</f>
        <v>#VALUE!</v>
      </c>
      <c r="O268" s="13">
        <f>+Tabla2[[#This Row],[CODIGO]]</f>
        <v>229</v>
      </c>
      <c r="P268" s="19">
        <f>R268/Q268*1000</f>
        <v>37363.18407960199</v>
      </c>
      <c r="Q268" s="10">
        <f>K268</f>
        <v>2010</v>
      </c>
      <c r="R268" s="20">
        <v>75100</v>
      </c>
      <c r="S268" s="10" t="s">
        <v>707</v>
      </c>
      <c r="T268" s="10" t="s">
        <v>708</v>
      </c>
      <c r="U268">
        <v>0</v>
      </c>
      <c r="V268" s="79">
        <v>0</v>
      </c>
    </row>
    <row r="269" spans="1:22" s="10" customFormat="1" x14ac:dyDescent="0.25">
      <c r="A269" s="9" t="str" cm="1">
        <f t="array" ref="A269">IFERROR(LOOKUP(2,1/([1]maestro!I:I=H269),[1]maestro!B:B),"")</f>
        <v/>
      </c>
      <c r="B269" s="10" t="str">
        <f>TEXT(A269,"mmmm")</f>
        <v/>
      </c>
      <c r="C269" s="11">
        <v>230</v>
      </c>
      <c r="D269" s="12" t="s">
        <v>709</v>
      </c>
      <c r="E269" s="13" t="str">
        <f>PROPER(D269)</f>
        <v>Miguel Torres</v>
      </c>
      <c r="G269" s="14" t="str">
        <f>CONCATENATE($G$1,H269)</f>
        <v>573174184318</v>
      </c>
      <c r="H269" s="13">
        <v>3174184318</v>
      </c>
      <c r="I269" s="15">
        <v>196</v>
      </c>
      <c r="J269" s="15">
        <v>590</v>
      </c>
      <c r="K269" s="15">
        <f>+J269*7</f>
        <v>4130</v>
      </c>
      <c r="L269" s="16">
        <f>K269/I269</f>
        <v>21.071428571428573</v>
      </c>
      <c r="M269" s="17">
        <f>K269/J269</f>
        <v>7</v>
      </c>
      <c r="N269" s="18" t="e">
        <f>(A269+M269)</f>
        <v>#VALUE!</v>
      </c>
      <c r="O269" s="13">
        <f>+Tabla2[[#This Row],[CODIGO]]</f>
        <v>230</v>
      </c>
      <c r="P269" s="19">
        <f>R269/Q269*1000</f>
        <v>2421.3075060532688</v>
      </c>
      <c r="Q269" s="10">
        <f>K269</f>
        <v>4130</v>
      </c>
      <c r="R269" s="20">
        <v>10000</v>
      </c>
      <c r="S269" s="10" t="s">
        <v>710</v>
      </c>
      <c r="U269">
        <v>0</v>
      </c>
      <c r="V269" s="79">
        <v>0</v>
      </c>
    </row>
    <row r="270" spans="1:22" s="10" customFormat="1" x14ac:dyDescent="0.25">
      <c r="A270" s="9" t="str" cm="1">
        <f t="array" ref="A270">IFERROR(LOOKUP(2,1/([1]maestro!I:I=H270),[1]maestro!B:B),"")</f>
        <v/>
      </c>
      <c r="B270" s="10" t="str">
        <f>TEXT(A270,"mmmm")</f>
        <v/>
      </c>
      <c r="C270" s="11">
        <v>231</v>
      </c>
      <c r="D270" s="10" t="s">
        <v>711</v>
      </c>
      <c r="E270" s="13" t="str">
        <f>PROPER(D270)</f>
        <v>Milena Castillo</v>
      </c>
      <c r="G270" s="14" t="str">
        <f>CONCATENATE($G$1,H270)</f>
        <v>573123223532</v>
      </c>
      <c r="H270" s="13">
        <v>3123223532</v>
      </c>
      <c r="I270" s="13">
        <v>35</v>
      </c>
      <c r="J270" s="13">
        <v>70</v>
      </c>
      <c r="K270" s="13">
        <v>1050</v>
      </c>
      <c r="L270" s="13">
        <f>K270/I270</f>
        <v>30</v>
      </c>
      <c r="M270" s="13">
        <f>K270/J270</f>
        <v>15</v>
      </c>
      <c r="N270" s="18" t="e">
        <f>(A270+M270)</f>
        <v>#VALUE!</v>
      </c>
      <c r="O270" s="13">
        <f>+Tabla2[[#This Row],[CODIGO]]</f>
        <v>231</v>
      </c>
      <c r="P270" s="19">
        <f>R270/Q270*1000</f>
        <v>38095.238095238092</v>
      </c>
      <c r="Q270" s="10">
        <f>K270</f>
        <v>1050</v>
      </c>
      <c r="R270" s="20">
        <v>40000</v>
      </c>
      <c r="S270" s="10" t="s">
        <v>712</v>
      </c>
      <c r="T270" s="10" t="s">
        <v>713</v>
      </c>
      <c r="U270">
        <v>0</v>
      </c>
      <c r="V270" s="79">
        <v>0</v>
      </c>
    </row>
    <row r="271" spans="1:22" s="10" customFormat="1" x14ac:dyDescent="0.25">
      <c r="A271" s="9" t="str" cm="1">
        <f t="array" ref="A271">IFERROR(LOOKUP(2,1/([1]maestro!I:I=H271),[1]maestro!B:B),"")</f>
        <v/>
      </c>
      <c r="B271" s="10" t="str">
        <f>TEXT(A271,"mmmm")</f>
        <v/>
      </c>
      <c r="C271" s="11">
        <v>232</v>
      </c>
      <c r="D271" s="12" t="s">
        <v>714</v>
      </c>
      <c r="E271" s="13" t="str">
        <f>PROPER(D271)</f>
        <v>Milena Roldan</v>
      </c>
      <c r="G271" s="14" t="str">
        <f>CONCATENATE($G$1,H271)</f>
        <v>573212180434</v>
      </c>
      <c r="H271" s="13">
        <v>3212180434</v>
      </c>
      <c r="I271" s="15">
        <v>90</v>
      </c>
      <c r="J271" s="15">
        <v>180</v>
      </c>
      <c r="K271" s="15">
        <f>+J271*15</f>
        <v>2700</v>
      </c>
      <c r="L271" s="16">
        <f>K271/I271</f>
        <v>30</v>
      </c>
      <c r="M271" s="17">
        <f>K271/J271</f>
        <v>15</v>
      </c>
      <c r="N271" s="18" t="e">
        <f>(A271+M271)</f>
        <v>#VALUE!</v>
      </c>
      <c r="O271" s="13">
        <f>+Tabla2[[#This Row],[CODIGO]]</f>
        <v>232</v>
      </c>
      <c r="P271" s="19">
        <f>R271/Q271*1000</f>
        <v>38222.222222222219</v>
      </c>
      <c r="Q271" s="10">
        <f>K271</f>
        <v>2700</v>
      </c>
      <c r="R271" s="20">
        <v>103200</v>
      </c>
      <c r="S271" s="10" t="s">
        <v>715</v>
      </c>
      <c r="T271" s="10" t="s">
        <v>716</v>
      </c>
      <c r="U271">
        <v>0</v>
      </c>
      <c r="V271" s="79">
        <v>0</v>
      </c>
    </row>
    <row r="272" spans="1:22" s="10" customFormat="1" x14ac:dyDescent="0.25">
      <c r="A272" s="9" t="str" cm="1">
        <f t="array" ref="A272">IFERROR(LOOKUP(2,1/([1]maestro!I:I=H272),[1]maestro!B:B),"")</f>
        <v/>
      </c>
      <c r="B272" s="10" t="str">
        <f>TEXT(A272,"mmmm")</f>
        <v/>
      </c>
      <c r="C272" s="11">
        <v>233</v>
      </c>
      <c r="D272" s="12" t="s">
        <v>717</v>
      </c>
      <c r="E272" s="13" t="str">
        <f>PROPER(D272)</f>
        <v xml:space="preserve">Mireya Gaitán </v>
      </c>
      <c r="G272" s="14" t="str">
        <f>CONCATENATE($G$1,H272)</f>
        <v>573005563556</v>
      </c>
      <c r="H272" s="13">
        <v>3005563556</v>
      </c>
      <c r="I272" s="15">
        <v>65</v>
      </c>
      <c r="J272" s="15">
        <v>130</v>
      </c>
      <c r="K272" s="15">
        <f>+J272*15</f>
        <v>1950</v>
      </c>
      <c r="L272" s="16">
        <f>K272/I272</f>
        <v>30</v>
      </c>
      <c r="M272" s="17">
        <f>K272/J272</f>
        <v>15</v>
      </c>
      <c r="N272" s="18" t="e">
        <f>(A272+M272)</f>
        <v>#VALUE!</v>
      </c>
      <c r="O272" s="13">
        <f>+Tabla2[[#This Row],[CODIGO]]</f>
        <v>233</v>
      </c>
      <c r="P272" s="19">
        <f>R272/Q272*1000</f>
        <v>41230.769230769234</v>
      </c>
      <c r="Q272" s="10">
        <f>K272</f>
        <v>1950</v>
      </c>
      <c r="R272" s="20">
        <v>80400</v>
      </c>
      <c r="S272" s="36" t="s">
        <v>718</v>
      </c>
      <c r="U272">
        <v>0</v>
      </c>
      <c r="V272" s="79">
        <v>0</v>
      </c>
    </row>
    <row r="273" spans="1:22" s="49" customFormat="1" x14ac:dyDescent="0.25">
      <c r="A273" s="9" t="str" cm="1">
        <f t="array" ref="A273">IFERROR(LOOKUP(2,1/([1]maestro!I:I=H273),[1]maestro!B:B),"")</f>
        <v/>
      </c>
      <c r="B273" s="10" t="str">
        <f>TEXT(A273,"mmmm")</f>
        <v/>
      </c>
      <c r="C273" s="11">
        <v>234</v>
      </c>
      <c r="D273" s="10" t="s">
        <v>719</v>
      </c>
      <c r="E273" s="13" t="str">
        <f>PROPER(D273)</f>
        <v>Monica Calderon Urrego</v>
      </c>
      <c r="F273" s="10"/>
      <c r="G273" s="14" t="str">
        <f>CONCATENATE($G$1,H273)</f>
        <v>573208454868</v>
      </c>
      <c r="H273" s="13">
        <v>3208454868</v>
      </c>
      <c r="I273" s="13">
        <v>320</v>
      </c>
      <c r="J273" s="13">
        <v>320</v>
      </c>
      <c r="K273" s="13">
        <f>15*320</f>
        <v>4800</v>
      </c>
      <c r="L273" s="13">
        <f>K273/I273</f>
        <v>15</v>
      </c>
      <c r="M273" s="13">
        <f>K273/J273</f>
        <v>15</v>
      </c>
      <c r="N273" s="18" t="e">
        <f>(A273+M273)</f>
        <v>#VALUE!</v>
      </c>
      <c r="O273" s="13">
        <f>+Tabla2[[#This Row],[CODIGO]]</f>
        <v>234</v>
      </c>
      <c r="P273" s="19">
        <f>R273/Q273*1000</f>
        <v>26000</v>
      </c>
      <c r="Q273" s="10">
        <f>K273</f>
        <v>4800</v>
      </c>
      <c r="R273" s="20">
        <v>124800</v>
      </c>
      <c r="S273" s="10" t="s">
        <v>720</v>
      </c>
      <c r="T273" s="10" t="s">
        <v>721</v>
      </c>
      <c r="U273">
        <v>0</v>
      </c>
      <c r="V273" s="79">
        <v>0</v>
      </c>
    </row>
    <row r="274" spans="1:22" s="10" customFormat="1" x14ac:dyDescent="0.25">
      <c r="A274" s="9" cm="1">
        <f t="array" ref="A274">IFERROR(LOOKUP(2,1/([1]maestro!I:I=H274),[1]maestro!B:B),"")</f>
        <v>46041</v>
      </c>
      <c r="B274" s="10" t="str">
        <f>TEXT(A274,"mmmm")</f>
        <v>enero</v>
      </c>
      <c r="C274" s="11">
        <v>235</v>
      </c>
      <c r="D274" s="10" t="s">
        <v>722</v>
      </c>
      <c r="E274" s="13" t="str">
        <f>PROPER(D274)</f>
        <v>Monica Rodriguez  Márquez</v>
      </c>
      <c r="F274" s="13"/>
      <c r="G274" s="14" t="str">
        <f>CONCATENATE($G$1,H274)</f>
        <v>573153499818</v>
      </c>
      <c r="H274" s="13">
        <v>3153499818</v>
      </c>
      <c r="I274" s="13">
        <v>60</v>
      </c>
      <c r="J274" s="13">
        <v>180</v>
      </c>
      <c r="K274" s="13">
        <f>+J274*7</f>
        <v>1260</v>
      </c>
      <c r="L274" s="13">
        <f>K274/I274</f>
        <v>21</v>
      </c>
      <c r="M274" s="13">
        <f>K274/J274</f>
        <v>7</v>
      </c>
      <c r="N274" s="18">
        <f>(A274+M274)</f>
        <v>46048</v>
      </c>
      <c r="O274" s="13">
        <f>+Tabla2[[#This Row],[CODIGO]]</f>
        <v>235</v>
      </c>
      <c r="P274" s="19">
        <f>R274/Q274*1000</f>
        <v>7936.5079365079364</v>
      </c>
      <c r="Q274" s="10">
        <f>K274</f>
        <v>1260</v>
      </c>
      <c r="R274" s="20">
        <v>10000</v>
      </c>
      <c r="S274" s="10" t="s">
        <v>723</v>
      </c>
      <c r="U274">
        <v>0</v>
      </c>
      <c r="V274" s="79">
        <v>0</v>
      </c>
    </row>
    <row r="275" spans="1:22" s="10" customFormat="1" x14ac:dyDescent="0.25">
      <c r="A275" s="9" t="str" cm="1">
        <f t="array" ref="A275">IFERROR(LOOKUP(2,1/([1]maestro!I:I=H275),[1]maestro!B:B),"")</f>
        <v/>
      </c>
      <c r="B275" s="10" t="str">
        <f>TEXT(A275,"mmmm")</f>
        <v/>
      </c>
      <c r="C275" s="11">
        <v>236</v>
      </c>
      <c r="D275" s="12" t="s">
        <v>724</v>
      </c>
      <c r="E275" s="13" t="str">
        <f>PROPER(D275)</f>
        <v>Mónica Romero</v>
      </c>
      <c r="G275" s="14" t="str">
        <f>CONCATENATE($G$1,H275)</f>
        <v>573134800075</v>
      </c>
      <c r="H275" s="13">
        <v>3134800075</v>
      </c>
      <c r="I275" s="15">
        <v>110</v>
      </c>
      <c r="J275" s="15">
        <v>220</v>
      </c>
      <c r="K275" s="15">
        <f>+J275*7</f>
        <v>1540</v>
      </c>
      <c r="L275" s="16">
        <f>K275/I275</f>
        <v>14</v>
      </c>
      <c r="M275" s="17">
        <f>K275/J275</f>
        <v>7</v>
      </c>
      <c r="N275" s="18" t="e">
        <f>(A275+M275)</f>
        <v>#VALUE!</v>
      </c>
      <c r="O275" s="13">
        <f>+Tabla2[[#This Row],[CODIGO]]</f>
        <v>236</v>
      </c>
      <c r="P275" s="19">
        <f>R275/Q275*1000</f>
        <v>40519.480519480516</v>
      </c>
      <c r="Q275" s="10">
        <f>K275</f>
        <v>1540</v>
      </c>
      <c r="R275" s="20">
        <v>62400</v>
      </c>
      <c r="S275" s="10" t="s">
        <v>725</v>
      </c>
      <c r="T275" s="10" t="s">
        <v>726</v>
      </c>
      <c r="U275">
        <v>0</v>
      </c>
      <c r="V275" s="79">
        <v>0</v>
      </c>
    </row>
    <row r="276" spans="1:22" s="10" customFormat="1" x14ac:dyDescent="0.25">
      <c r="A276" s="9" t="str" cm="1">
        <f t="array" ref="A276">IFERROR(LOOKUP(2,1/([1]maestro!I:I=H276),[1]maestro!B:B),"")</f>
        <v/>
      </c>
      <c r="B276" s="10" t="str">
        <f>TEXT(A276,"mmmm")</f>
        <v/>
      </c>
      <c r="C276" s="11">
        <v>237</v>
      </c>
      <c r="D276" s="10" t="s">
        <v>727</v>
      </c>
      <c r="E276" s="13" t="s">
        <v>727</v>
      </c>
      <c r="F276" s="13"/>
      <c r="G276" s="14" t="str">
        <f>CONCATENATE('[1]Clientes Inactivos'!$G$1,H276)</f>
        <v>573138772977</v>
      </c>
      <c r="H276" s="13">
        <v>3138772977</v>
      </c>
      <c r="I276" s="13">
        <v>80</v>
      </c>
      <c r="J276" s="13">
        <f>+Tabla2[[#This Row],[POR COMIDA]]*2</f>
        <v>160</v>
      </c>
      <c r="K276" s="13">
        <f>+J276*7</f>
        <v>1120</v>
      </c>
      <c r="L276" s="13">
        <f>K276/I276</f>
        <v>14</v>
      </c>
      <c r="M276" s="13">
        <f>K276/J276</f>
        <v>7</v>
      </c>
      <c r="N276" s="18" t="e">
        <f>(A276+M276)</f>
        <v>#VALUE!</v>
      </c>
      <c r="O276" s="13">
        <f>+Tabla2[[#This Row],[CODIGO]]</f>
        <v>237</v>
      </c>
      <c r="P276" s="19">
        <f>R276/Q276*1000</f>
        <v>36428.571428571428</v>
      </c>
      <c r="Q276" s="10">
        <f>K276</f>
        <v>1120</v>
      </c>
      <c r="R276" s="20">
        <v>40800</v>
      </c>
      <c r="S276" s="10" t="s">
        <v>728</v>
      </c>
      <c r="T276" s="10" t="s">
        <v>729</v>
      </c>
      <c r="U276">
        <v>0</v>
      </c>
      <c r="V276" s="79">
        <v>0</v>
      </c>
    </row>
    <row r="277" spans="1:22" s="10" customFormat="1" x14ac:dyDescent="0.25">
      <c r="A277" s="21" cm="1">
        <f t="array" ref="A277">IFERROR(LOOKUP(2,1/([1]maestro!I:I=H277),[1]maestro!B:B),"")</f>
        <v>46041</v>
      </c>
      <c r="B277" s="22" t="str">
        <f>TEXT(A277,"mmmm")</f>
        <v>enero</v>
      </c>
      <c r="C277" s="23">
        <v>240</v>
      </c>
      <c r="D277" s="32" t="s">
        <v>736</v>
      </c>
      <c r="E277" s="24" t="str">
        <f>PROPER(D277)</f>
        <v>Nayiver Rincon Diaz</v>
      </c>
      <c r="F277" s="24"/>
      <c r="G277" s="25" t="str">
        <f>CONCATENATE($G$1,H277)</f>
        <v>573144581629</v>
      </c>
      <c r="H277" s="24">
        <v>3144581629</v>
      </c>
      <c r="I277" s="33">
        <v>74</v>
      </c>
      <c r="J277" s="33">
        <v>220</v>
      </c>
      <c r="K277" s="33">
        <f>+J277*15</f>
        <v>3300</v>
      </c>
      <c r="L277" s="34">
        <f>K277/I277</f>
        <v>44.594594594594597</v>
      </c>
      <c r="M277" s="35">
        <f>K277/J277</f>
        <v>15</v>
      </c>
      <c r="N277" s="28">
        <f>(A277+M277)</f>
        <v>46056</v>
      </c>
      <c r="O277" s="24">
        <f>+Tabla2[[#This Row],[CODIGO]]</f>
        <v>240</v>
      </c>
      <c r="P277" s="26">
        <f>R277/Q277*1000</f>
        <v>40000</v>
      </c>
      <c r="Q277" s="22">
        <f>K277</f>
        <v>3300</v>
      </c>
      <c r="R277" s="27">
        <v>132000</v>
      </c>
      <c r="S277" s="22" t="s">
        <v>737</v>
      </c>
      <c r="T277" s="22" t="s">
        <v>738</v>
      </c>
      <c r="U277">
        <v>0</v>
      </c>
      <c r="V277" s="79">
        <v>0</v>
      </c>
    </row>
    <row r="278" spans="1:22" s="10" customFormat="1" x14ac:dyDescent="0.25">
      <c r="A278" s="9" cm="1">
        <f t="array" ref="A278">IFERROR(LOOKUP(2,1/([1]maestro!I:I=H278),[1]maestro!B:B),"")</f>
        <v>46036</v>
      </c>
      <c r="B278" s="10" t="str">
        <f>TEXT(A278,"mmmm")</f>
        <v>enero</v>
      </c>
      <c r="C278" s="11">
        <v>241</v>
      </c>
      <c r="D278" s="10" t="s">
        <v>739</v>
      </c>
      <c r="E278" s="13" t="str">
        <f>PROPER(D278)</f>
        <v>Neidy Kekhan Reyes</v>
      </c>
      <c r="G278" s="14" t="str">
        <f>CONCATENATE($G$1,H278)</f>
        <v>573212496807</v>
      </c>
      <c r="H278" s="13">
        <v>3212496807</v>
      </c>
      <c r="I278" s="13">
        <v>300</v>
      </c>
      <c r="J278" s="13">
        <v>600</v>
      </c>
      <c r="K278" s="13">
        <v>9000</v>
      </c>
      <c r="L278" s="13">
        <f>K278/I278</f>
        <v>30</v>
      </c>
      <c r="M278" s="13">
        <f>K278/J278</f>
        <v>15</v>
      </c>
      <c r="N278" s="18">
        <f>(A278+M278)</f>
        <v>46051</v>
      </c>
      <c r="O278" s="13">
        <f>+Tabla2[[#This Row],[CODIGO]]</f>
        <v>241</v>
      </c>
      <c r="P278" s="19">
        <f>R278/Q278*1000</f>
        <v>25450</v>
      </c>
      <c r="Q278" s="10">
        <f>K278</f>
        <v>9000</v>
      </c>
      <c r="R278" s="20">
        <v>229050</v>
      </c>
      <c r="S278" s="10" t="s">
        <v>740</v>
      </c>
      <c r="T278" s="10" t="s">
        <v>741</v>
      </c>
      <c r="U278">
        <v>229050</v>
      </c>
      <c r="V278" s="79">
        <v>0</v>
      </c>
    </row>
    <row r="279" spans="1:22" s="10" customFormat="1" x14ac:dyDescent="0.25">
      <c r="A279" s="21" cm="1">
        <f t="array" ref="A279">IFERROR(LOOKUP(2,1/([1]maestro!I:I=H279),[1]maestro!B:B),"")</f>
        <v>46052</v>
      </c>
      <c r="B279" s="22" t="str">
        <f>TEXT(A279,"mmmm")</f>
        <v>enero</v>
      </c>
      <c r="C279" s="23">
        <v>242</v>
      </c>
      <c r="D279" s="22" t="s">
        <v>742</v>
      </c>
      <c r="E279" s="24" t="str">
        <f>PROPER(D279)</f>
        <v>Nestor Gonzalez</v>
      </c>
      <c r="F279" s="22"/>
      <c r="G279" s="25" t="str">
        <f>CONCATENATE($G$1,H279)</f>
        <v>573157198061</v>
      </c>
      <c r="H279" s="24">
        <v>3157198061</v>
      </c>
      <c r="I279" s="24">
        <v>200</v>
      </c>
      <c r="J279" s="24">
        <v>200</v>
      </c>
      <c r="K279" s="24">
        <v>3000</v>
      </c>
      <c r="L279" s="24">
        <f>K279/I279</f>
        <v>15</v>
      </c>
      <c r="M279" s="24">
        <f>K279/J279</f>
        <v>15</v>
      </c>
      <c r="N279" s="28">
        <f>(A279+M279)</f>
        <v>46067</v>
      </c>
      <c r="O279" s="24">
        <f>+Tabla2[[#This Row],[CODIGO]]</f>
        <v>242</v>
      </c>
      <c r="P279" s="26">
        <f>R279/Q279*1000</f>
        <v>32200.000000000004</v>
      </c>
      <c r="Q279" s="22">
        <f>K279</f>
        <v>3000</v>
      </c>
      <c r="R279" s="30">
        <v>96600</v>
      </c>
      <c r="S279" s="22" t="s">
        <v>743</v>
      </c>
      <c r="T279" s="22" t="s">
        <v>744</v>
      </c>
      <c r="U279">
        <v>0</v>
      </c>
      <c r="V279" s="79">
        <v>0</v>
      </c>
    </row>
    <row r="280" spans="1:22" s="10" customFormat="1" x14ac:dyDescent="0.25">
      <c r="A280" s="21" cm="1">
        <f t="array" ref="A280">IFERROR(LOOKUP(2,1/([1]maestro!I:I=H280),[1]maestro!B:B),"")</f>
        <v>46045</v>
      </c>
      <c r="B280" s="22" t="str">
        <f>TEXT(A280,"mmmm")</f>
        <v>enero</v>
      </c>
      <c r="C280" s="23">
        <v>243</v>
      </c>
      <c r="D280" s="32" t="s">
        <v>745</v>
      </c>
      <c r="E280" s="24" t="str">
        <f>PROPER(D280)</f>
        <v>Nestor Guzman</v>
      </c>
      <c r="F280" s="22"/>
      <c r="G280" s="25" t="str">
        <f>CONCATENATE($G$1,H280)</f>
        <v>573187283298</v>
      </c>
      <c r="H280" s="24">
        <v>3187283298</v>
      </c>
      <c r="I280" s="33">
        <v>67</v>
      </c>
      <c r="J280" s="33">
        <v>200</v>
      </c>
      <c r="K280" s="33">
        <f>+J280*15</f>
        <v>3000</v>
      </c>
      <c r="L280" s="34">
        <f>K280/I280</f>
        <v>44.776119402985074</v>
      </c>
      <c r="M280" s="35">
        <f>K280/J280</f>
        <v>15</v>
      </c>
      <c r="N280" s="28">
        <f>(A280+M280)</f>
        <v>46060</v>
      </c>
      <c r="O280" s="24">
        <f>+Tabla2[[#This Row],[CODIGO]]</f>
        <v>243</v>
      </c>
      <c r="P280" s="26">
        <f>R280/Q280*1000</f>
        <v>38000</v>
      </c>
      <c r="Q280" s="22">
        <f>K280</f>
        <v>3000</v>
      </c>
      <c r="R280" s="27">
        <v>114000</v>
      </c>
      <c r="S280" s="22" t="s">
        <v>746</v>
      </c>
      <c r="T280" s="22"/>
      <c r="U280">
        <v>0</v>
      </c>
      <c r="V280" s="79">
        <v>0</v>
      </c>
    </row>
    <row r="281" spans="1:22" s="10" customFormat="1" x14ac:dyDescent="0.25">
      <c r="A281" s="21" cm="1">
        <f t="array" ref="A281">IFERROR(LOOKUP(2,1/([1]maestro!I:I=H281),[1]maestro!B:B),"")</f>
        <v>46038</v>
      </c>
      <c r="B281" s="22" t="str">
        <f>TEXT(A281,"mmmm")</f>
        <v>enero</v>
      </c>
      <c r="C281" s="23">
        <v>244</v>
      </c>
      <c r="D281" s="32" t="s">
        <v>747</v>
      </c>
      <c r="E281" s="24" t="str">
        <f>PROPER(D281)</f>
        <v>Nestor Valderrama</v>
      </c>
      <c r="F281" s="22"/>
      <c r="G281" s="25" t="str">
        <f>CONCATENATE($G$1,H281)</f>
        <v>573057630517</v>
      </c>
      <c r="H281" s="24">
        <v>3057630517</v>
      </c>
      <c r="I281" s="33">
        <v>150</v>
      </c>
      <c r="J281" s="33">
        <f>+Tabla2[[#This Row],[POR COMIDA]]*2</f>
        <v>300</v>
      </c>
      <c r="K281" s="33">
        <f>+J281*15</f>
        <v>4500</v>
      </c>
      <c r="L281" s="34">
        <f>K281/I281</f>
        <v>30</v>
      </c>
      <c r="M281" s="35">
        <f>K281/J281</f>
        <v>15</v>
      </c>
      <c r="N281" s="28">
        <f>(A281+M281)</f>
        <v>46053</v>
      </c>
      <c r="O281" s="24">
        <f>+Tabla2[[#This Row],[CODIGO]]</f>
        <v>244</v>
      </c>
      <c r="P281" s="64">
        <f>R281/Q281*1000</f>
        <v>40000</v>
      </c>
      <c r="Q281" s="22">
        <f>K281</f>
        <v>4500</v>
      </c>
      <c r="R281" s="30">
        <v>180000</v>
      </c>
      <c r="S281" s="22" t="s">
        <v>748</v>
      </c>
      <c r="T281" s="22" t="s">
        <v>749</v>
      </c>
      <c r="U281">
        <v>0</v>
      </c>
      <c r="V281" s="79">
        <v>0</v>
      </c>
    </row>
    <row r="282" spans="1:22" s="10" customFormat="1" x14ac:dyDescent="0.25">
      <c r="A282" s="21" cm="1">
        <f t="array" ref="A282">IFERROR(LOOKUP(2,1/([1]maestro!I:I=H282),[1]maestro!B:B),"")</f>
        <v>46041</v>
      </c>
      <c r="B282" s="22" t="str">
        <f>TEXT(A282,"mmmm")</f>
        <v>enero</v>
      </c>
      <c r="C282" s="23">
        <v>246</v>
      </c>
      <c r="D282" s="32" t="s">
        <v>752</v>
      </c>
      <c r="E282" s="24" t="str">
        <f>PROPER(D282)</f>
        <v>Nohora Padilla Hellen 60</v>
      </c>
      <c r="F282" s="22"/>
      <c r="G282" s="25" t="str">
        <f>CONCATENATE($G$1,H282)</f>
        <v>573125973000</v>
      </c>
      <c r="H282" s="24">
        <v>3125973000</v>
      </c>
      <c r="I282" s="33">
        <v>60</v>
      </c>
      <c r="J282" s="33">
        <v>180</v>
      </c>
      <c r="K282" s="33">
        <f>+J282*7</f>
        <v>1260</v>
      </c>
      <c r="L282" s="34">
        <f>K282/I282</f>
        <v>21</v>
      </c>
      <c r="M282" s="35">
        <f>K282/J282</f>
        <v>7</v>
      </c>
      <c r="N282" s="28">
        <f>(A282+M282)</f>
        <v>46048</v>
      </c>
      <c r="O282" s="24">
        <f>+Tabla2[[#This Row],[CODIGO]]</f>
        <v>246</v>
      </c>
      <c r="P282" s="26">
        <f>R282/Q282*1000</f>
        <v>45714.285714285717</v>
      </c>
      <c r="Q282" s="22">
        <f>K282</f>
        <v>1260</v>
      </c>
      <c r="R282" s="27">
        <v>57600</v>
      </c>
      <c r="S282" s="22" t="s">
        <v>753</v>
      </c>
      <c r="T282" s="22" t="s">
        <v>754</v>
      </c>
      <c r="U282">
        <v>0</v>
      </c>
      <c r="V282" s="79">
        <v>0</v>
      </c>
    </row>
    <row r="283" spans="1:22" s="10" customFormat="1" x14ac:dyDescent="0.25">
      <c r="A283" s="21" cm="1">
        <f t="array" ref="A283">IFERROR(LOOKUP(2,1/([1]maestro!I:I=H283),[1]maestro!B:B),"")</f>
        <v>46041</v>
      </c>
      <c r="B283" s="22" t="str">
        <f>TEXT(A283,"mmmm")</f>
        <v>enero</v>
      </c>
      <c r="C283" s="23">
        <v>247</v>
      </c>
      <c r="D283" s="32" t="s">
        <v>755</v>
      </c>
      <c r="E283" s="24" t="str">
        <f>PROPER(D283)</f>
        <v>Nubia Constanza Rodriguez</v>
      </c>
      <c r="F283" s="22"/>
      <c r="G283" s="25" t="str">
        <f>CONCATENATE($G$1,H283)</f>
        <v>573208339212</v>
      </c>
      <c r="H283" s="24">
        <v>3208339212</v>
      </c>
      <c r="I283" s="33">
        <v>60</v>
      </c>
      <c r="J283" s="33">
        <v>180</v>
      </c>
      <c r="K283" s="33">
        <f>+J283*7</f>
        <v>1260</v>
      </c>
      <c r="L283" s="34">
        <f>K283/I283</f>
        <v>21</v>
      </c>
      <c r="M283" s="35">
        <f>K283/J283</f>
        <v>7</v>
      </c>
      <c r="N283" s="28">
        <f>(A283+M283)</f>
        <v>46048</v>
      </c>
      <c r="O283" s="24">
        <f>+Tabla2[[#This Row],[CODIGO]]</f>
        <v>247</v>
      </c>
      <c r="P283" s="26">
        <f>R283/Q283*1000</f>
        <v>45714.285714285717</v>
      </c>
      <c r="Q283" s="22">
        <f>K283</f>
        <v>1260</v>
      </c>
      <c r="R283" s="27">
        <v>57600</v>
      </c>
      <c r="S283" s="22" t="s">
        <v>756</v>
      </c>
      <c r="T283" s="22" t="s">
        <v>757</v>
      </c>
      <c r="U283">
        <v>0</v>
      </c>
      <c r="V283" s="79">
        <v>0</v>
      </c>
    </row>
    <row r="284" spans="1:22" s="10" customFormat="1" x14ac:dyDescent="0.25">
      <c r="A284" s="21" t="str" cm="1">
        <f t="array" ref="A284">IFERROR(LOOKUP(2,1/([1]maestro!I:I=H284),[1]maestro!B:B),"")</f>
        <v/>
      </c>
      <c r="B284" s="22" t="str">
        <f>TEXT(A284,"mmmm")</f>
        <v/>
      </c>
      <c r="C284" s="23">
        <v>248</v>
      </c>
      <c r="D284" s="22" t="s">
        <v>758</v>
      </c>
      <c r="E284" s="24" t="str">
        <f>PROPER(D284)</f>
        <v>Nubia Galindo</v>
      </c>
      <c r="F284" s="22"/>
      <c r="G284" s="25" t="str">
        <f>CONCATENATE($G$1,H284)</f>
        <v>573118511812</v>
      </c>
      <c r="H284" s="24">
        <v>3118511812</v>
      </c>
      <c r="I284" s="33">
        <v>200</v>
      </c>
      <c r="J284" s="33">
        <v>400</v>
      </c>
      <c r="K284" s="33">
        <f>+J284*15</f>
        <v>6000</v>
      </c>
      <c r="L284" s="34">
        <f>K284/I284</f>
        <v>30</v>
      </c>
      <c r="M284" s="35">
        <f>K284/J284</f>
        <v>15</v>
      </c>
      <c r="N284" s="28" t="e">
        <f>(A284+M284)</f>
        <v>#VALUE!</v>
      </c>
      <c r="O284" s="24">
        <f>+Tabla2[[#This Row],[CODIGO]]</f>
        <v>248</v>
      </c>
      <c r="P284" s="26">
        <f>R284/Q284*1000</f>
        <v>13000</v>
      </c>
      <c r="Q284" s="22">
        <f>K284</f>
        <v>6000</v>
      </c>
      <c r="R284" s="27">
        <v>78000</v>
      </c>
      <c r="S284" s="22" t="s">
        <v>67</v>
      </c>
      <c r="T284" s="22"/>
      <c r="U284">
        <v>0</v>
      </c>
      <c r="V284" s="79">
        <v>0</v>
      </c>
    </row>
    <row r="285" spans="1:22" s="10" customFormat="1" x14ac:dyDescent="0.25">
      <c r="A285" s="21" cm="1">
        <f t="array" ref="A285">IFERROR(LOOKUP(2,1/([1]maestro!I:I=H285),[1]maestro!B:B),"")</f>
        <v>46036</v>
      </c>
      <c r="B285" s="22" t="str">
        <f>TEXT(A285,"mmmm")</f>
        <v>enero</v>
      </c>
      <c r="C285" s="23">
        <v>238</v>
      </c>
      <c r="D285" s="22" t="s">
        <v>730</v>
      </c>
      <c r="E285" s="24" t="str">
        <f>PROPER(D285)</f>
        <v>Narda Mendez</v>
      </c>
      <c r="F285" s="22"/>
      <c r="G285" s="22" t="str">
        <f>CONCATENATE($G$1,H285)</f>
        <v>573173755513</v>
      </c>
      <c r="H285" s="24">
        <v>3173755513</v>
      </c>
      <c r="I285" s="33">
        <v>300</v>
      </c>
      <c r="J285" s="33">
        <v>300</v>
      </c>
      <c r="K285" s="24">
        <f>+J285*17</f>
        <v>5100</v>
      </c>
      <c r="L285" s="24">
        <f>K285/I285</f>
        <v>17</v>
      </c>
      <c r="M285" s="24">
        <f>K285/J285</f>
        <v>17</v>
      </c>
      <c r="N285" s="28">
        <f>(A285+M285)</f>
        <v>46053</v>
      </c>
      <c r="O285" s="24">
        <f>+Tabla2[[#This Row],[CODIGO]]</f>
        <v>238</v>
      </c>
      <c r="P285" s="26">
        <f>R285/Q285*1000</f>
        <v>26000</v>
      </c>
      <c r="Q285" s="22">
        <f>K285</f>
        <v>5100</v>
      </c>
      <c r="R285" s="30">
        <v>132600</v>
      </c>
      <c r="S285" s="22" t="s">
        <v>731</v>
      </c>
      <c r="T285" s="22" t="s">
        <v>732</v>
      </c>
      <c r="U285">
        <v>0</v>
      </c>
      <c r="V285" s="79">
        <v>132600</v>
      </c>
    </row>
    <row r="286" spans="1:22" s="10" customFormat="1" x14ac:dyDescent="0.25">
      <c r="A286" s="9" cm="1">
        <f t="array" ref="A286">IFERROR(LOOKUP(2,1/([1]maestro!I:I=H286),[1]maestro!B:B),"")</f>
        <v>46035</v>
      </c>
      <c r="B286" s="10" t="str">
        <f>TEXT(A286,"mmmm")</f>
        <v>enero</v>
      </c>
      <c r="C286" s="11">
        <v>239</v>
      </c>
      <c r="D286" s="10" t="s">
        <v>733</v>
      </c>
      <c r="E286" s="13" t="str">
        <f>PROPER(D286)</f>
        <v>Natalia Duran</v>
      </c>
      <c r="G286" s="14" t="str">
        <f>CONCATENATE($G$1,H286)</f>
        <v>573057202444</v>
      </c>
      <c r="H286" s="13">
        <v>3057202444</v>
      </c>
      <c r="I286" s="13">
        <v>230</v>
      </c>
      <c r="J286" s="13">
        <v>230</v>
      </c>
      <c r="K286" s="13">
        <f>230*15</f>
        <v>3450</v>
      </c>
      <c r="L286" s="13">
        <f>K286/I286</f>
        <v>15</v>
      </c>
      <c r="M286" s="13">
        <f>K286/J286</f>
        <v>15</v>
      </c>
      <c r="N286" s="18">
        <f>(A286+M286)</f>
        <v>46050</v>
      </c>
      <c r="O286" s="13">
        <f>+Tabla2[[#This Row],[CODIGO]]</f>
        <v>239</v>
      </c>
      <c r="P286" s="19">
        <f>R286/Q286*1000</f>
        <v>13043.478260869564</v>
      </c>
      <c r="Q286" s="10">
        <f>K286</f>
        <v>3450</v>
      </c>
      <c r="R286" s="20">
        <v>45000</v>
      </c>
      <c r="S286" s="10" t="s">
        <v>734</v>
      </c>
      <c r="T286" s="10" t="s">
        <v>735</v>
      </c>
      <c r="U286">
        <v>0</v>
      </c>
      <c r="V286" s="79">
        <v>45000</v>
      </c>
    </row>
    <row r="287" spans="1:22" s="10" customFormat="1" x14ac:dyDescent="0.25">
      <c r="A287" s="9" t="str" cm="1">
        <f t="array" ref="A287">IFERROR(LOOKUP(2,1/([1]maestro!I:I=H287),[1]maestro!B:B),"")</f>
        <v/>
      </c>
      <c r="B287" s="10" t="str">
        <f>TEXT(A287,"mmmm")</f>
        <v/>
      </c>
      <c r="C287" s="11">
        <v>249</v>
      </c>
      <c r="D287" s="12" t="s">
        <v>759</v>
      </c>
      <c r="E287" s="13" t="str">
        <f>PROPER(D287)</f>
        <v>Paola Andrea Ossa</v>
      </c>
      <c r="G287" s="14" t="str">
        <f>CONCATENATE($G$1,H287)</f>
        <v>573224175609</v>
      </c>
      <c r="H287" s="13">
        <v>3224175609</v>
      </c>
      <c r="I287" s="15">
        <v>50</v>
      </c>
      <c r="J287" s="15">
        <v>100</v>
      </c>
      <c r="K287" s="15">
        <f>+J287*15</f>
        <v>1500</v>
      </c>
      <c r="L287" s="16">
        <f>K287/I287</f>
        <v>30</v>
      </c>
      <c r="M287" s="17">
        <f>K287/J287</f>
        <v>15</v>
      </c>
      <c r="N287" s="18" t="e">
        <f>(A287+M287)</f>
        <v>#VALUE!</v>
      </c>
      <c r="O287" s="13">
        <f>+Tabla2[[#This Row],[CODIGO]]</f>
        <v>249</v>
      </c>
      <c r="P287" s="19">
        <f>R287/Q287*1000</f>
        <v>53600</v>
      </c>
      <c r="Q287" s="10">
        <f>K287</f>
        <v>1500</v>
      </c>
      <c r="R287" s="20">
        <v>80400</v>
      </c>
      <c r="S287" s="10" t="s">
        <v>760</v>
      </c>
      <c r="T287" s="10" t="s">
        <v>761</v>
      </c>
      <c r="U287">
        <v>0</v>
      </c>
      <c r="V287" s="79">
        <v>0</v>
      </c>
    </row>
    <row r="288" spans="1:22" s="10" customFormat="1" x14ac:dyDescent="0.25">
      <c r="A288" s="9" cm="1">
        <f t="array" ref="A288">IFERROR(LOOKUP(2,1/([1]maestro!I:I=H288),[1]maestro!B:B),"")</f>
        <v>46041</v>
      </c>
      <c r="B288" s="10" t="str">
        <f>TEXT(A288,"mmmm")</f>
        <v>enero</v>
      </c>
      <c r="C288" s="11">
        <v>251</v>
      </c>
      <c r="D288" s="10" t="s">
        <v>767</v>
      </c>
      <c r="E288" s="13" t="str">
        <f>PROPER(D288)</f>
        <v>Paola González 124</v>
      </c>
      <c r="G288" s="14" t="str">
        <f>CONCATENATE($G$1,H288)</f>
        <v>573134308182</v>
      </c>
      <c r="H288" s="13">
        <v>3134308182</v>
      </c>
      <c r="I288" s="13">
        <v>124</v>
      </c>
      <c r="J288" s="13">
        <v>124</v>
      </c>
      <c r="K288" s="13">
        <f>+J288*15</f>
        <v>1860</v>
      </c>
      <c r="L288" s="13">
        <f>K288/I288</f>
        <v>15</v>
      </c>
      <c r="M288" s="13">
        <f>K288/J288</f>
        <v>15</v>
      </c>
      <c r="N288" s="18">
        <f>(A288+M288)</f>
        <v>46056</v>
      </c>
      <c r="O288" s="13">
        <f>+Tabla2[[#This Row],[CODIGO]]</f>
        <v>251</v>
      </c>
      <c r="P288" s="19">
        <f>R288/Q288*1000</f>
        <v>42903.225806451614</v>
      </c>
      <c r="Q288" s="10">
        <f>K288</f>
        <v>1860</v>
      </c>
      <c r="R288" s="20">
        <v>79800</v>
      </c>
      <c r="S288" s="10" t="s">
        <v>768</v>
      </c>
      <c r="T288" s="10" t="s">
        <v>769</v>
      </c>
      <c r="U288">
        <v>0</v>
      </c>
      <c r="V288" s="79">
        <v>0</v>
      </c>
    </row>
    <row r="289" spans="1:22" s="10" customFormat="1" x14ac:dyDescent="0.25">
      <c r="A289" s="9" cm="1">
        <f t="array" ref="A289">IFERROR(LOOKUP(2,1/([1]maestro!I:I=H289),[1]maestro!B:B),"")</f>
        <v>46041</v>
      </c>
      <c r="B289" s="10" t="str">
        <f>TEXT(A289,"mmmm")</f>
        <v>enero</v>
      </c>
      <c r="C289" s="11">
        <v>251</v>
      </c>
      <c r="D289" s="10" t="s">
        <v>770</v>
      </c>
      <c r="E289" s="13" t="str">
        <f>PROPER(D289)</f>
        <v>Paola González 160</v>
      </c>
      <c r="G289" s="14" t="str">
        <f>CONCATENATE($G$1,H289)</f>
        <v>573134308182</v>
      </c>
      <c r="H289" s="13">
        <v>3134308182</v>
      </c>
      <c r="I289" s="13">
        <v>160</v>
      </c>
      <c r="J289" s="13">
        <v>160</v>
      </c>
      <c r="K289" s="13">
        <f>+J289*15</f>
        <v>2400</v>
      </c>
      <c r="L289" s="13">
        <f>K289/I289</f>
        <v>15</v>
      </c>
      <c r="M289" s="13">
        <f>K289/J289</f>
        <v>15</v>
      </c>
      <c r="N289" s="18">
        <f>(A289+M289)</f>
        <v>46056</v>
      </c>
      <c r="O289" s="13">
        <f>+Tabla2[[#This Row],[CODIGO]]</f>
        <v>251</v>
      </c>
      <c r="P289" s="19">
        <f>R289/Q289*1000</f>
        <v>27250</v>
      </c>
      <c r="Q289" s="10">
        <f>K289</f>
        <v>2400</v>
      </c>
      <c r="R289" s="20">
        <v>65400</v>
      </c>
      <c r="S289" s="10" t="s">
        <v>768</v>
      </c>
      <c r="T289" s="10" t="s">
        <v>769</v>
      </c>
      <c r="U289">
        <v>0</v>
      </c>
      <c r="V289" s="79">
        <v>0</v>
      </c>
    </row>
    <row r="290" spans="1:22" s="10" customFormat="1" x14ac:dyDescent="0.25">
      <c r="A290" s="21" cm="1">
        <f t="array" ref="A290">IFERROR(LOOKUP(2,1/([1]maestro!I:I=H290),[1]maestro!B:B),"")</f>
        <v>46037</v>
      </c>
      <c r="B290" s="22" t="str">
        <f>TEXT(A290,"mmmm")</f>
        <v>enero</v>
      </c>
      <c r="C290" s="23">
        <v>252</v>
      </c>
      <c r="D290" s="22" t="s">
        <v>771</v>
      </c>
      <c r="E290" s="24" t="str">
        <f>PROPER(D290)</f>
        <v>Paola Torres Silva</v>
      </c>
      <c r="F290" s="22"/>
      <c r="G290" s="25" t="str">
        <f>CONCATENATE($G$1,H290)</f>
        <v>573103093707</v>
      </c>
      <c r="H290" s="24">
        <v>3103093707</v>
      </c>
      <c r="I290" s="24">
        <v>235</v>
      </c>
      <c r="J290" s="24">
        <v>470</v>
      </c>
      <c r="K290" s="24">
        <v>7050</v>
      </c>
      <c r="L290" s="24">
        <f>K290/I290</f>
        <v>30</v>
      </c>
      <c r="M290" s="24">
        <f>K290/J290</f>
        <v>15</v>
      </c>
      <c r="N290" s="28">
        <f>(A290+M290)</f>
        <v>46052</v>
      </c>
      <c r="O290" s="24">
        <f>+Tabla2[[#This Row],[CODIGO]]</f>
        <v>252</v>
      </c>
      <c r="P290" s="26">
        <f>R290/Q290*1000</f>
        <v>25000</v>
      </c>
      <c r="Q290" s="22">
        <f>K290</f>
        <v>7050</v>
      </c>
      <c r="R290" s="30">
        <v>176250</v>
      </c>
      <c r="S290" s="22" t="s">
        <v>772</v>
      </c>
      <c r="T290" s="22" t="s">
        <v>732</v>
      </c>
      <c r="U290">
        <v>0</v>
      </c>
      <c r="V290" s="79">
        <v>0</v>
      </c>
    </row>
    <row r="291" spans="1:22" s="10" customFormat="1" x14ac:dyDescent="0.25">
      <c r="A291" s="9" t="str" cm="1">
        <f t="array" ref="A291">IFERROR(LOOKUP(2,1/([1]maestro!I:I=H291),[1]maestro!B:B),"")</f>
        <v/>
      </c>
      <c r="B291" s="10" t="str">
        <f>TEXT(A291,"mmmm")</f>
        <v/>
      </c>
      <c r="C291" s="11">
        <v>253</v>
      </c>
      <c r="D291" s="12" t="s">
        <v>773</v>
      </c>
      <c r="E291" s="13" t="str">
        <f>PROPER(D291)</f>
        <v>Patricia Esguerra Velo 75</v>
      </c>
      <c r="G291" s="14" t="str">
        <f>CONCATENATE($G$1,H291)</f>
        <v>573124021670</v>
      </c>
      <c r="H291" s="13">
        <v>3124021670</v>
      </c>
      <c r="I291" s="15">
        <v>75</v>
      </c>
      <c r="J291" s="15">
        <v>150</v>
      </c>
      <c r="K291" s="15">
        <f>+J291*7</f>
        <v>1050</v>
      </c>
      <c r="L291" s="16">
        <f>K291/I291</f>
        <v>14</v>
      </c>
      <c r="M291" s="17">
        <f>K291/J291</f>
        <v>7</v>
      </c>
      <c r="N291" s="18" t="e">
        <f>(A291+M291)</f>
        <v>#VALUE!</v>
      </c>
      <c r="O291" s="13">
        <f>+Tabla2[[#This Row],[CODIGO]]</f>
        <v>253</v>
      </c>
      <c r="P291" s="19">
        <f>R291/Q291*1000</f>
        <v>9523.8095238095229</v>
      </c>
      <c r="Q291" s="10">
        <f>K291</f>
        <v>1050</v>
      </c>
      <c r="R291" s="20">
        <v>10000</v>
      </c>
      <c r="S291" s="10" t="s">
        <v>774</v>
      </c>
      <c r="U291">
        <v>0</v>
      </c>
      <c r="V291" s="79">
        <v>0</v>
      </c>
    </row>
    <row r="292" spans="1:22" s="10" customFormat="1" x14ac:dyDescent="0.25">
      <c r="A292" s="21" cm="1">
        <f t="array" ref="A292">IFERROR(LOOKUP(2,1/([1]maestro!I:I=H292),[1]maestro!B:B),"")</f>
        <v>46036</v>
      </c>
      <c r="B292" s="22" t="str">
        <f>TEXT(A292,"mmmm")</f>
        <v>enero</v>
      </c>
      <c r="C292" s="23">
        <v>245</v>
      </c>
      <c r="D292" s="22" t="s">
        <v>750</v>
      </c>
      <c r="E292" s="22" t="str">
        <f>PROPER(D292)</f>
        <v>Nicol Rico</v>
      </c>
      <c r="F292" s="22"/>
      <c r="G292" s="22" t="str">
        <f>CONCATENATE($G$1,H292)</f>
        <v>573222549449</v>
      </c>
      <c r="H292" s="24">
        <v>3222549449</v>
      </c>
      <c r="I292" s="33">
        <v>120</v>
      </c>
      <c r="J292" s="33">
        <v>240</v>
      </c>
      <c r="K292" s="33">
        <f>+J292*16</f>
        <v>3840</v>
      </c>
      <c r="L292" s="34">
        <f>K292/I292</f>
        <v>32</v>
      </c>
      <c r="M292" s="35">
        <f>K292/J292</f>
        <v>16</v>
      </c>
      <c r="N292" s="28">
        <f>(A292+M292)</f>
        <v>46052</v>
      </c>
      <c r="O292" s="24">
        <f>+Tabla2[[#This Row],[CODIGO]]</f>
        <v>245</v>
      </c>
      <c r="P292" s="26">
        <f>R292/Q292*1000</f>
        <v>19718.75</v>
      </c>
      <c r="Q292" s="22">
        <f>K292</f>
        <v>3840</v>
      </c>
      <c r="R292" s="31">
        <v>75720</v>
      </c>
      <c r="S292" s="22" t="s">
        <v>751</v>
      </c>
      <c r="T292" s="22"/>
      <c r="U292">
        <v>0</v>
      </c>
      <c r="V292" s="79">
        <v>58250</v>
      </c>
    </row>
    <row r="293" spans="1:22" s="10" customFormat="1" x14ac:dyDescent="0.25">
      <c r="A293" s="9" t="str" cm="1">
        <f t="array" ref="A293">IFERROR(LOOKUP(2,1/([1]maestro!I:I=H293),[1]maestro!B:B),"")</f>
        <v/>
      </c>
      <c r="B293" s="10" t="str">
        <f>TEXT(A293,"mmmm")</f>
        <v/>
      </c>
      <c r="C293" s="11">
        <v>253</v>
      </c>
      <c r="D293" s="12" t="s">
        <v>775</v>
      </c>
      <c r="E293" s="13" t="str">
        <f>PROPER(D293)</f>
        <v>Patricia Esguerra Velo 85</v>
      </c>
      <c r="G293" s="14" t="str">
        <f>CONCATENATE($G$1,H293)</f>
        <v>573124021670</v>
      </c>
      <c r="H293" s="13">
        <v>3124021670</v>
      </c>
      <c r="I293" s="15">
        <v>85</v>
      </c>
      <c r="J293" s="15">
        <v>170</v>
      </c>
      <c r="K293" s="15">
        <f>+J293*7</f>
        <v>1190</v>
      </c>
      <c r="L293" s="16">
        <f>K293/I293</f>
        <v>14</v>
      </c>
      <c r="M293" s="17">
        <f>K293/J293</f>
        <v>7</v>
      </c>
      <c r="N293" s="18" t="e">
        <f>(A293+M293)</f>
        <v>#VALUE!</v>
      </c>
      <c r="O293" s="13">
        <f>+Tabla2[[#This Row],[CODIGO]]</f>
        <v>253</v>
      </c>
      <c r="P293" s="19">
        <f>R293/Q293*1000</f>
        <v>8403.361344537816</v>
      </c>
      <c r="Q293" s="10">
        <f>K293</f>
        <v>1190</v>
      </c>
      <c r="R293" s="20">
        <v>10000</v>
      </c>
      <c r="S293" s="10" t="s">
        <v>774</v>
      </c>
      <c r="U293">
        <v>0</v>
      </c>
      <c r="V293" s="79">
        <v>0</v>
      </c>
    </row>
    <row r="294" spans="1:22" s="10" customFormat="1" x14ac:dyDescent="0.25">
      <c r="A294" s="9" t="str" cm="1">
        <f t="array" ref="A294">IFERROR(LOOKUP(2,1/([1]maestro!I:I=H294),[1]maestro!B:B),"")</f>
        <v/>
      </c>
      <c r="B294" s="10" t="str">
        <f>TEXT(A294,"mmmm")</f>
        <v/>
      </c>
      <c r="C294" s="11">
        <v>254</v>
      </c>
      <c r="D294" s="12" t="s">
        <v>776</v>
      </c>
      <c r="E294" s="13" t="str">
        <f>PROPER(D294)</f>
        <v>Patricia Lopez</v>
      </c>
      <c r="G294" s="14" t="str">
        <f>CONCATENATE('[1]Clientes Inactivos'!$G$1,H294)</f>
        <v>573144250722</v>
      </c>
      <c r="H294" s="13">
        <v>3144250722</v>
      </c>
      <c r="I294" s="15">
        <v>65</v>
      </c>
      <c r="J294" s="15">
        <v>130</v>
      </c>
      <c r="K294" s="15">
        <f>+J294*15</f>
        <v>1950</v>
      </c>
      <c r="L294" s="16">
        <f>K294/I294</f>
        <v>30</v>
      </c>
      <c r="M294" s="17">
        <f>K294/J294</f>
        <v>15</v>
      </c>
      <c r="N294" s="18" t="e">
        <f>(A294+M294)</f>
        <v>#VALUE!</v>
      </c>
      <c r="O294" s="13">
        <f>+Tabla2[[#This Row],[CODIGO]]</f>
        <v>254</v>
      </c>
      <c r="P294" s="19">
        <f>R294/Q294*1000</f>
        <v>41230.769230769234</v>
      </c>
      <c r="Q294" s="10">
        <f>K294</f>
        <v>1950</v>
      </c>
      <c r="R294" s="20">
        <v>80400</v>
      </c>
      <c r="S294" s="10" t="s">
        <v>777</v>
      </c>
      <c r="U294">
        <v>0</v>
      </c>
      <c r="V294" s="79">
        <v>0</v>
      </c>
    </row>
    <row r="295" spans="1:22" s="10" customFormat="1" x14ac:dyDescent="0.25">
      <c r="A295" s="9" t="str" cm="1">
        <f t="array" ref="A295">IFERROR(LOOKUP(2,1/([1]maestro!I:I=H295),[1]maestro!B:B),"")</f>
        <v/>
      </c>
      <c r="B295" s="10" t="str">
        <f>TEXT(A295,"mmmm")</f>
        <v/>
      </c>
      <c r="C295" s="11">
        <v>254</v>
      </c>
      <c r="D295" s="12" t="s">
        <v>778</v>
      </c>
      <c r="E295" s="13" t="str">
        <f>PROPER(D295)</f>
        <v>Patricia Lopez Coco</v>
      </c>
      <c r="G295" s="14" t="str">
        <f>CONCATENATE('[1]Clientes Inactivos'!$G$1,H295)</f>
        <v>573144250722</v>
      </c>
      <c r="H295" s="13">
        <v>3144250722</v>
      </c>
      <c r="I295" s="15">
        <v>46</v>
      </c>
      <c r="J295" s="15">
        <v>92</v>
      </c>
      <c r="K295" s="15">
        <f>+J295*7</f>
        <v>644</v>
      </c>
      <c r="L295" s="16">
        <f>K295/I295</f>
        <v>14</v>
      </c>
      <c r="M295" s="17">
        <f>K295/J295</f>
        <v>7</v>
      </c>
      <c r="N295" s="18" t="e">
        <f>(A295+M295)</f>
        <v>#VALUE!</v>
      </c>
      <c r="O295" s="13">
        <f>+Tabla2[[#This Row],[CODIGO]]</f>
        <v>254</v>
      </c>
      <c r="P295" s="19">
        <f>R295/Q295*1000</f>
        <v>15527.950310559007</v>
      </c>
      <c r="Q295" s="10">
        <f>K295</f>
        <v>644</v>
      </c>
      <c r="R295" s="20">
        <v>10000</v>
      </c>
      <c r="S295" s="10" t="s">
        <v>777</v>
      </c>
      <c r="U295">
        <v>0</v>
      </c>
      <c r="V295" s="79">
        <v>0</v>
      </c>
    </row>
    <row r="296" spans="1:22" s="10" customFormat="1" x14ac:dyDescent="0.25">
      <c r="A296" s="9" t="str" cm="1">
        <f t="array" ref="A296">IFERROR(LOOKUP(2,1/([1]maestro!I:I=H296),[1]maestro!B:B),"")</f>
        <v/>
      </c>
      <c r="B296" s="10" t="str">
        <f>TEXT(A296,"mmmm")</f>
        <v/>
      </c>
      <c r="C296" s="11">
        <v>254</v>
      </c>
      <c r="D296" s="12" t="s">
        <v>779</v>
      </c>
      <c r="E296" s="13" t="str">
        <f>PROPER(D296)</f>
        <v>Patricia Lopez Polly</v>
      </c>
      <c r="G296" s="14" t="str">
        <f>CONCATENATE('[1]Clientes Inactivos'!$G$1,H296)</f>
        <v>573144250722</v>
      </c>
      <c r="H296" s="13">
        <v>3144250722</v>
      </c>
      <c r="I296" s="15">
        <v>46</v>
      </c>
      <c r="J296" s="15">
        <v>92</v>
      </c>
      <c r="K296" s="15">
        <f>+J296*7</f>
        <v>644</v>
      </c>
      <c r="L296" s="16">
        <f>K296/I296</f>
        <v>14</v>
      </c>
      <c r="M296" s="17">
        <f>K296/J296</f>
        <v>7</v>
      </c>
      <c r="N296" s="18" t="e">
        <f>(A296+M296)</f>
        <v>#VALUE!</v>
      </c>
      <c r="O296" s="13">
        <f>+Tabla2[[#This Row],[CODIGO]]</f>
        <v>254</v>
      </c>
      <c r="P296" s="19">
        <f>R296/Q296*1000</f>
        <v>15527.950310559007</v>
      </c>
      <c r="Q296" s="10">
        <f>K296</f>
        <v>644</v>
      </c>
      <c r="R296" s="20">
        <v>10000</v>
      </c>
      <c r="S296" s="10" t="s">
        <v>777</v>
      </c>
      <c r="U296">
        <v>0</v>
      </c>
      <c r="V296" s="79">
        <v>0</v>
      </c>
    </row>
    <row r="297" spans="1:22" s="10" customFormat="1" x14ac:dyDescent="0.25">
      <c r="A297" s="9" cm="1">
        <f t="array" ref="A297">IFERROR(LOOKUP(2,1/([1]maestro!I:I=H297),[1]maestro!B:B),"")</f>
        <v>0</v>
      </c>
      <c r="B297" s="10" t="str">
        <f>TEXT(A297,"mmmm")</f>
        <v>enero</v>
      </c>
      <c r="C297" s="11">
        <v>255</v>
      </c>
      <c r="D297" s="12" t="s">
        <v>780</v>
      </c>
      <c r="E297" s="13" t="str">
        <f>PROPER(D297)</f>
        <v>Plastico Empresariales</v>
      </c>
      <c r="G297" s="14" t="str">
        <f>CONCATENATE($G$1,H297)</f>
        <v>57</v>
      </c>
      <c r="H297" s="13"/>
      <c r="I297" s="15">
        <v>0</v>
      </c>
      <c r="J297" s="15">
        <v>0</v>
      </c>
      <c r="K297" s="15">
        <f>+J297*7</f>
        <v>0</v>
      </c>
      <c r="L297" s="16" t="e">
        <f>K297/I297</f>
        <v>#DIV/0!</v>
      </c>
      <c r="M297" s="17" t="e">
        <f>K297/J297</f>
        <v>#DIV/0!</v>
      </c>
      <c r="N297" s="18" t="e">
        <f>(A297+M297)</f>
        <v>#DIV/0!</v>
      </c>
      <c r="O297" s="13">
        <f>+Tabla2[[#This Row],[CODIGO]]</f>
        <v>255</v>
      </c>
      <c r="P297" s="19" t="e">
        <f>R297/Q297*1000</f>
        <v>#DIV/0!</v>
      </c>
      <c r="Q297" s="10">
        <f>K297</f>
        <v>0</v>
      </c>
      <c r="R297" s="20">
        <v>0</v>
      </c>
      <c r="U297">
        <v>0</v>
      </c>
      <c r="V297" s="79">
        <v>0</v>
      </c>
    </row>
    <row r="298" spans="1:22" s="10" customFormat="1" x14ac:dyDescent="0.25">
      <c r="A298" s="21" cm="1">
        <f t="array" ref="A298">IFERROR(LOOKUP(2,1/([1]maestro!I:I=H298),[1]maestro!B:B),"")</f>
        <v>46036</v>
      </c>
      <c r="B298" s="22" t="str">
        <f>TEXT(A298,"mmmm")</f>
        <v>enero</v>
      </c>
      <c r="C298" s="23">
        <v>256</v>
      </c>
      <c r="D298" s="22" t="s">
        <v>781</v>
      </c>
      <c r="E298" s="24" t="str">
        <f>PROPER(D298)</f>
        <v>Ricardo Andrés Paredes G</v>
      </c>
      <c r="F298" s="22"/>
      <c r="G298" s="25" t="str">
        <f>CONCATENATE($G$1,H298)</f>
        <v>573208294365</v>
      </c>
      <c r="H298" s="24">
        <v>3208294365</v>
      </c>
      <c r="I298" s="33">
        <v>180</v>
      </c>
      <c r="J298" s="33">
        <v>540</v>
      </c>
      <c r="K298" s="24">
        <f>+J298*15</f>
        <v>8100</v>
      </c>
      <c r="L298" s="24">
        <f>K298/I298</f>
        <v>45</v>
      </c>
      <c r="M298" s="24">
        <f>K298/J298</f>
        <v>15</v>
      </c>
      <c r="N298" s="28">
        <f>(A298+M298)</f>
        <v>46051</v>
      </c>
      <c r="O298" s="24">
        <f>+Tabla2[[#This Row],[CODIGO]]</f>
        <v>256</v>
      </c>
      <c r="P298" s="26">
        <f>R298/Q298*1000</f>
        <v>27000</v>
      </c>
      <c r="Q298" s="22">
        <f>K298</f>
        <v>8100</v>
      </c>
      <c r="R298" s="31">
        <v>218700</v>
      </c>
      <c r="S298" s="22" t="s">
        <v>782</v>
      </c>
      <c r="T298" s="22" t="s">
        <v>783</v>
      </c>
      <c r="U298">
        <v>0</v>
      </c>
      <c r="V298" s="79">
        <v>0</v>
      </c>
    </row>
    <row r="299" spans="1:22" s="10" customFormat="1" x14ac:dyDescent="0.25">
      <c r="A299" s="21" cm="1">
        <f t="array" ref="A299">IFERROR(LOOKUP(2,1/([1]maestro!I:I=H299),[1]maestro!B:B),"")</f>
        <v>46034</v>
      </c>
      <c r="B299" s="22" t="str">
        <f>TEXT(A299,"mmmm")</f>
        <v>enero</v>
      </c>
      <c r="C299" s="23">
        <v>257</v>
      </c>
      <c r="D299" s="22" t="s">
        <v>784</v>
      </c>
      <c r="E299" s="24" t="str">
        <f>PROPER(D299)</f>
        <v>Ricardo Blanco 110</v>
      </c>
      <c r="F299" s="22"/>
      <c r="G299" s="25" t="str">
        <f>CONCATENATE($G$1,H299)</f>
        <v>573134939137</v>
      </c>
      <c r="H299" s="24">
        <v>3134939137</v>
      </c>
      <c r="I299" s="24">
        <v>110</v>
      </c>
      <c r="J299" s="24">
        <v>220</v>
      </c>
      <c r="K299" s="24">
        <f>+J299*15</f>
        <v>3300</v>
      </c>
      <c r="L299" s="24">
        <f>K299/I299</f>
        <v>30</v>
      </c>
      <c r="M299" s="24">
        <f>K299/J299</f>
        <v>15</v>
      </c>
      <c r="N299" s="28">
        <f>(A299+M299)</f>
        <v>46049</v>
      </c>
      <c r="O299" s="24">
        <f>+Tabla2[[#This Row],[CODIGO]]</f>
        <v>257</v>
      </c>
      <c r="P299" s="26">
        <f>R299/Q299*1000</f>
        <v>41515.151515151512</v>
      </c>
      <c r="Q299" s="22">
        <f>K299</f>
        <v>3300</v>
      </c>
      <c r="R299" s="30">
        <v>137000</v>
      </c>
      <c r="S299" s="22" t="s">
        <v>785</v>
      </c>
      <c r="T299" s="22" t="s">
        <v>786</v>
      </c>
      <c r="U299">
        <v>0</v>
      </c>
      <c r="V299" s="79">
        <v>0</v>
      </c>
    </row>
    <row r="300" spans="1:22" s="10" customFormat="1" x14ac:dyDescent="0.25">
      <c r="A300" s="9" t="str" cm="1">
        <f t="array" ref="A300">IFERROR(LOOKUP(2,1/([1]maestro!I:I=H300),[1]maestro!B:B),"")</f>
        <v/>
      </c>
      <c r="B300" s="10" t="str">
        <f>TEXT(A300,"mmmm")</f>
        <v/>
      </c>
      <c r="C300" s="11">
        <v>258</v>
      </c>
      <c r="D300" s="12" t="s">
        <v>787</v>
      </c>
      <c r="E300" s="13" t="str">
        <f>PROPER(D300)</f>
        <v xml:space="preserve">Ricardo Mayorga </v>
      </c>
      <c r="G300" s="14" t="str">
        <f>CONCATENATE($G$1,H300)</f>
        <v>573125952260</v>
      </c>
      <c r="H300" s="13">
        <v>3125952260</v>
      </c>
      <c r="I300" s="15">
        <v>50</v>
      </c>
      <c r="J300" s="15">
        <v>100</v>
      </c>
      <c r="K300" s="15">
        <f>+J300*7</f>
        <v>700</v>
      </c>
      <c r="L300" s="16">
        <f>K300/I300</f>
        <v>14</v>
      </c>
      <c r="M300" s="17">
        <f>K300/J300</f>
        <v>7</v>
      </c>
      <c r="N300" s="18" t="e">
        <f>(A300+M300)</f>
        <v>#VALUE!</v>
      </c>
      <c r="O300" s="13">
        <f>+Tabla2[[#This Row],[CODIGO]]</f>
        <v>258</v>
      </c>
      <c r="P300" s="19">
        <f>R300/Q300*1000</f>
        <v>14285.714285714286</v>
      </c>
      <c r="Q300" s="10">
        <f>K300</f>
        <v>700</v>
      </c>
      <c r="R300" s="20">
        <v>10000</v>
      </c>
      <c r="S300" s="10" t="s">
        <v>788</v>
      </c>
      <c r="U300">
        <v>0</v>
      </c>
      <c r="V300" s="79">
        <v>0</v>
      </c>
    </row>
    <row r="301" spans="1:22" s="10" customFormat="1" x14ac:dyDescent="0.25">
      <c r="A301" s="9" t="str" cm="1">
        <f t="array" ref="A301">IFERROR(LOOKUP(2,1/([1]maestro!I:I=H301),[1]maestro!B:B),"")</f>
        <v/>
      </c>
      <c r="B301" s="10" t="str">
        <f>TEXT(A301,"mmmm")</f>
        <v/>
      </c>
      <c r="C301" s="11">
        <v>259</v>
      </c>
      <c r="D301" s="12" t="s">
        <v>789</v>
      </c>
      <c r="E301" s="13" t="str">
        <f>PROPER(D301)</f>
        <v>Richard Rincón Dobby</v>
      </c>
      <c r="G301" s="14" t="str">
        <f>CONCATENATE($G$1,H301)</f>
        <v>573015802694</v>
      </c>
      <c r="H301" s="13">
        <v>3015802694</v>
      </c>
      <c r="I301" s="15">
        <v>85</v>
      </c>
      <c r="J301" s="15">
        <v>170</v>
      </c>
      <c r="K301" s="15">
        <f>+J301*7</f>
        <v>1190</v>
      </c>
      <c r="L301" s="16">
        <f>K301/I301</f>
        <v>14</v>
      </c>
      <c r="M301" s="17">
        <f>K301/J301</f>
        <v>7</v>
      </c>
      <c r="N301" s="18" t="e">
        <f>(A301+M301)</f>
        <v>#VALUE!</v>
      </c>
      <c r="O301" s="13">
        <f>+Tabla2[[#This Row],[CODIGO]]</f>
        <v>259</v>
      </c>
      <c r="P301" s="19">
        <f>R301/Q301*1000</f>
        <v>82184.873949579836</v>
      </c>
      <c r="Q301" s="10">
        <f>K301</f>
        <v>1190</v>
      </c>
      <c r="R301" s="20">
        <v>97800</v>
      </c>
      <c r="S301" s="10" t="s">
        <v>790</v>
      </c>
      <c r="U301">
        <v>0</v>
      </c>
      <c r="V301" s="79">
        <v>0</v>
      </c>
    </row>
    <row r="302" spans="1:22" s="10" customFormat="1" x14ac:dyDescent="0.25">
      <c r="A302" s="9" t="str" cm="1">
        <f t="array" ref="A302">IFERROR(LOOKUP(2,1/([1]maestro!I:I=H302),[1]maestro!B:B),"")</f>
        <v/>
      </c>
      <c r="B302" s="10" t="str">
        <f>TEXT(A302,"mmmm")</f>
        <v/>
      </c>
      <c r="C302" s="11">
        <v>259</v>
      </c>
      <c r="D302" s="12" t="s">
        <v>791</v>
      </c>
      <c r="E302" s="13" t="str">
        <f>PROPER(D302)</f>
        <v>Richard Rincón Gema</v>
      </c>
      <c r="G302" s="14" t="str">
        <f>CONCATENATE($G$1,H302)</f>
        <v>573015802694</v>
      </c>
      <c r="H302" s="13">
        <v>3015802694</v>
      </c>
      <c r="I302" s="15">
        <v>60</v>
      </c>
      <c r="J302" s="15">
        <v>120</v>
      </c>
      <c r="K302" s="15">
        <f>+J302*7</f>
        <v>840</v>
      </c>
      <c r="L302" s="16">
        <f>K302/I302</f>
        <v>14</v>
      </c>
      <c r="M302" s="17">
        <f>K302/J302</f>
        <v>7</v>
      </c>
      <c r="N302" s="18" t="e">
        <f>(A302+M302)</f>
        <v>#VALUE!</v>
      </c>
      <c r="O302" s="13">
        <f>+Tabla2[[#This Row],[CODIGO]]</f>
        <v>259</v>
      </c>
      <c r="P302" s="19">
        <f>R302/Q302*1000</f>
        <v>90000</v>
      </c>
      <c r="Q302" s="10">
        <f>K302</f>
        <v>840</v>
      </c>
      <c r="R302" s="20">
        <v>75600</v>
      </c>
      <c r="S302" s="10" t="s">
        <v>790</v>
      </c>
      <c r="U302">
        <v>0</v>
      </c>
      <c r="V302" s="79">
        <v>0</v>
      </c>
    </row>
    <row r="303" spans="1:22" s="10" customFormat="1" x14ac:dyDescent="0.25">
      <c r="A303" s="9" t="str" cm="1">
        <f t="array" ref="A303">IFERROR(LOOKUP(2,1/([1]maestro!I:I=H303),[1]maestro!B:B),"")</f>
        <v/>
      </c>
      <c r="B303" s="10" t="str">
        <f>TEXT(A303,"mmmm")</f>
        <v/>
      </c>
      <c r="C303" s="11">
        <v>259</v>
      </c>
      <c r="D303" s="12" t="s">
        <v>792</v>
      </c>
      <c r="E303" s="13" t="str">
        <f>PROPER(D303)</f>
        <v>Richard Rincón Tonny</v>
      </c>
      <c r="G303" s="14" t="str">
        <f>CONCATENATE($G$1,H303)</f>
        <v>573015802694</v>
      </c>
      <c r="H303" s="13">
        <v>3015802694</v>
      </c>
      <c r="I303" s="15">
        <v>95</v>
      </c>
      <c r="J303" s="15">
        <v>190</v>
      </c>
      <c r="K303" s="15">
        <f>+J303*7</f>
        <v>1330</v>
      </c>
      <c r="L303" s="16">
        <f>K303/I303</f>
        <v>14</v>
      </c>
      <c r="M303" s="17">
        <f>K303/J303</f>
        <v>7</v>
      </c>
      <c r="N303" s="18" t="e">
        <f>(A303+M303)</f>
        <v>#VALUE!</v>
      </c>
      <c r="O303" s="13">
        <f>+Tabla2[[#This Row],[CODIGO]]</f>
        <v>259</v>
      </c>
      <c r="P303" s="19">
        <f>R303/Q303*1000</f>
        <v>81654.135338345863</v>
      </c>
      <c r="Q303" s="10">
        <f>K303</f>
        <v>1330</v>
      </c>
      <c r="R303" s="20">
        <v>108600</v>
      </c>
      <c r="S303" s="10" t="s">
        <v>790</v>
      </c>
      <c r="U303">
        <v>0</v>
      </c>
      <c r="V303" s="79">
        <v>0</v>
      </c>
    </row>
    <row r="304" spans="1:22" s="10" customFormat="1" x14ac:dyDescent="0.25">
      <c r="A304" s="9" t="str" cm="1">
        <f t="array" ref="A304">IFERROR(LOOKUP(2,1/([1]maestro!I:I=H304),[1]maestro!B:B),"")</f>
        <v/>
      </c>
      <c r="B304" s="10" t="str">
        <f>TEXT(A304,"mmmm")</f>
        <v/>
      </c>
      <c r="C304" s="11">
        <v>259</v>
      </c>
      <c r="D304" s="12" t="s">
        <v>793</v>
      </c>
      <c r="E304" s="13" t="str">
        <f>PROPER(D304)</f>
        <v>Richard Rincón Ugo</v>
      </c>
      <c r="G304" s="14" t="str">
        <f>CONCATENATE($G$1,H304)</f>
        <v>573015802694</v>
      </c>
      <c r="H304" s="13">
        <v>3015802694</v>
      </c>
      <c r="I304" s="15">
        <v>45</v>
      </c>
      <c r="J304" s="15">
        <v>90</v>
      </c>
      <c r="K304" s="15">
        <f>+J304*7</f>
        <v>630</v>
      </c>
      <c r="L304" s="16">
        <f>K304/I304</f>
        <v>14</v>
      </c>
      <c r="M304" s="17">
        <f>K304/J304</f>
        <v>7</v>
      </c>
      <c r="N304" s="18" t="e">
        <f>(A304+M304)</f>
        <v>#VALUE!</v>
      </c>
      <c r="O304" s="13">
        <f>+Tabla2[[#This Row],[CODIGO]]</f>
        <v>259</v>
      </c>
      <c r="P304" s="19">
        <f>R304/Q304*1000</f>
        <v>115555.55555555556</v>
      </c>
      <c r="Q304" s="10">
        <f>K304</f>
        <v>630</v>
      </c>
      <c r="R304" s="20">
        <v>72800</v>
      </c>
      <c r="S304" s="10" t="s">
        <v>790</v>
      </c>
      <c r="U304">
        <v>0</v>
      </c>
      <c r="V304" s="79">
        <v>0</v>
      </c>
    </row>
    <row r="305" spans="1:22" s="10" customFormat="1" x14ac:dyDescent="0.25">
      <c r="A305" s="9" cm="1">
        <f t="array" ref="A305">IFERROR(LOOKUP(2,1/([1]maestro!I:I=H305),[1]maestro!B:B),"")</f>
        <v>46034</v>
      </c>
      <c r="B305" s="10" t="str">
        <f>TEXT(A305,"mmmm")</f>
        <v>enero</v>
      </c>
      <c r="C305" s="11">
        <v>260</v>
      </c>
      <c r="D305" s="10" t="s">
        <v>794</v>
      </c>
      <c r="E305" s="13" t="str">
        <f>PROPER(D305)</f>
        <v>Rigoberto Londoño</v>
      </c>
      <c r="F305" s="13"/>
      <c r="G305" s="14" t="str">
        <f>CONCATENATE($G$1,H305)</f>
        <v>573144130865</v>
      </c>
      <c r="H305" s="13">
        <v>3144130865</v>
      </c>
      <c r="I305" s="13">
        <v>135</v>
      </c>
      <c r="J305" s="13">
        <v>270</v>
      </c>
      <c r="K305" s="13">
        <f>270*15</f>
        <v>4050</v>
      </c>
      <c r="L305" s="13">
        <f>K305/I305</f>
        <v>30</v>
      </c>
      <c r="M305" s="13">
        <f>K305/J305</f>
        <v>15</v>
      </c>
      <c r="N305" s="18">
        <f>(A305+M305)</f>
        <v>46049</v>
      </c>
      <c r="O305" s="13">
        <f>+Tabla2[[#This Row],[CODIGO]]</f>
        <v>260</v>
      </c>
      <c r="P305" s="19">
        <f>R305/Q305*1000</f>
        <v>33481.481481481482</v>
      </c>
      <c r="Q305" s="10">
        <f>K305</f>
        <v>4050</v>
      </c>
      <c r="R305" s="20">
        <v>135600</v>
      </c>
      <c r="S305" s="10" t="s">
        <v>795</v>
      </c>
      <c r="T305" s="10" t="s">
        <v>713</v>
      </c>
      <c r="U305">
        <v>0</v>
      </c>
      <c r="V305" s="79">
        <v>0</v>
      </c>
    </row>
    <row r="306" spans="1:22" s="10" customFormat="1" x14ac:dyDescent="0.25">
      <c r="A306" s="21" cm="1">
        <f t="array" ref="A306">IFERROR(LOOKUP(2,1/([1]maestro!I:I=H306),[1]maestro!B:B),"")</f>
        <v>46048</v>
      </c>
      <c r="B306" s="22" t="str">
        <f>TEXT(A306,"mmmm")</f>
        <v>enero</v>
      </c>
      <c r="C306" s="23">
        <v>261</v>
      </c>
      <c r="D306" s="32" t="s">
        <v>796</v>
      </c>
      <c r="E306" s="24" t="str">
        <f>PROPER(D306)</f>
        <v>Rocio Linares</v>
      </c>
      <c r="F306" s="22"/>
      <c r="G306" s="25" t="str">
        <f>CONCATENATE($G$1,H306)</f>
        <v>573208119637</v>
      </c>
      <c r="H306" s="24">
        <v>3208119637</v>
      </c>
      <c r="I306" s="33">
        <v>200</v>
      </c>
      <c r="J306" s="33">
        <f>+Tabla2[[#This Row],[POR COMIDA]]*2</f>
        <v>400</v>
      </c>
      <c r="K306" s="33">
        <f>+J306*15</f>
        <v>6000</v>
      </c>
      <c r="L306" s="34">
        <f>K306/I306</f>
        <v>30</v>
      </c>
      <c r="M306" s="35">
        <f>K306/J306</f>
        <v>15</v>
      </c>
      <c r="N306" s="28">
        <f>(A306+M306)</f>
        <v>46063</v>
      </c>
      <c r="O306" s="24">
        <f>+Tabla2[[#This Row],[CODIGO]]</f>
        <v>261</v>
      </c>
      <c r="P306" s="26">
        <f>R306/Q306*1000</f>
        <v>37000</v>
      </c>
      <c r="Q306" s="22">
        <f>K306</f>
        <v>6000</v>
      </c>
      <c r="R306" s="27">
        <v>222000</v>
      </c>
      <c r="S306" s="22" t="s">
        <v>797</v>
      </c>
      <c r="T306" s="22" t="s">
        <v>798</v>
      </c>
      <c r="U306">
        <v>0</v>
      </c>
      <c r="V306" s="79">
        <v>0</v>
      </c>
    </row>
    <row r="307" spans="1:22" s="10" customFormat="1" x14ac:dyDescent="0.25">
      <c r="A307" s="48" cm="1">
        <f t="array" ref="A307">IFERROR(LOOKUP(2,1/([1]maestro!I:I=H307),[1]maestro!B:B),"")</f>
        <v>46043</v>
      </c>
      <c r="B307" s="49" t="str">
        <f>TEXT(A307,"mmmm")</f>
        <v>enero</v>
      </c>
      <c r="C307" s="50">
        <v>262</v>
      </c>
      <c r="D307" s="61" t="s">
        <v>799</v>
      </c>
      <c r="E307" s="51" t="str">
        <f>PROPER(D307)</f>
        <v xml:space="preserve">Ronald Cruz </v>
      </c>
      <c r="F307" s="49"/>
      <c r="G307" s="52" t="str">
        <f>CONCATENATE($G$1,H307)</f>
        <v>573202548747</v>
      </c>
      <c r="H307" s="51">
        <v>3202548747</v>
      </c>
      <c r="I307" s="62">
        <v>250</v>
      </c>
      <c r="J307" s="62">
        <v>750</v>
      </c>
      <c r="K307" s="62">
        <f>+J307*15</f>
        <v>11250</v>
      </c>
      <c r="L307" s="58">
        <f>K307/I307</f>
        <v>45</v>
      </c>
      <c r="M307" s="59">
        <f>K307/J307</f>
        <v>15</v>
      </c>
      <c r="N307" s="53">
        <f>(A307+M307)</f>
        <v>46058</v>
      </c>
      <c r="O307" s="51">
        <f>+Tabla2[[#This Row],[CODIGO]]</f>
        <v>262</v>
      </c>
      <c r="P307" s="54">
        <f>R307/Q307*1000</f>
        <v>23093.333333333332</v>
      </c>
      <c r="Q307" s="49">
        <f>K307</f>
        <v>11250</v>
      </c>
      <c r="R307" s="55">
        <v>259800</v>
      </c>
      <c r="S307" s="49" t="s">
        <v>800</v>
      </c>
      <c r="T307" s="49"/>
      <c r="U307">
        <v>0</v>
      </c>
      <c r="V307" s="79">
        <v>0</v>
      </c>
    </row>
    <row r="308" spans="1:22" s="10" customFormat="1" x14ac:dyDescent="0.25">
      <c r="A308" s="9" t="str" cm="1">
        <f t="array" ref="A308">IFERROR(LOOKUP(2,1/([1]maestro!I:I=H308),[1]maestro!B:B),"")</f>
        <v/>
      </c>
      <c r="B308" s="10" t="str">
        <f>TEXT(A308,"mmmm")</f>
        <v/>
      </c>
      <c r="C308" s="11">
        <v>265</v>
      </c>
      <c r="D308" s="12" t="s">
        <v>806</v>
      </c>
      <c r="E308" s="13" t="str">
        <f>PROPER(D308)</f>
        <v>Sandra Milena Lara García</v>
      </c>
      <c r="G308" s="14" t="str">
        <f>CONCATENATE($G$1,H308)</f>
        <v>573124871923</v>
      </c>
      <c r="H308" s="13">
        <v>3124871923</v>
      </c>
      <c r="I308" s="15">
        <v>34</v>
      </c>
      <c r="J308" s="15">
        <v>102</v>
      </c>
      <c r="K308" s="15">
        <f>+J308*15</f>
        <v>1530</v>
      </c>
      <c r="L308" s="16">
        <f>K308/I308</f>
        <v>45</v>
      </c>
      <c r="M308" s="17">
        <f>K308/J308</f>
        <v>15</v>
      </c>
      <c r="N308" s="18" t="e">
        <f>(A308+M308)</f>
        <v>#VALUE!</v>
      </c>
      <c r="O308" s="13">
        <f>+Tabla2[[#This Row],[CODIGO]]</f>
        <v>265</v>
      </c>
      <c r="P308" s="19">
        <f>R308/Q308*1000</f>
        <v>42810.457516339869</v>
      </c>
      <c r="Q308" s="10">
        <f>K308</f>
        <v>1530</v>
      </c>
      <c r="R308" s="20">
        <v>65500</v>
      </c>
      <c r="S308" s="10" t="s">
        <v>807</v>
      </c>
      <c r="T308" s="10" t="s">
        <v>808</v>
      </c>
      <c r="U308">
        <v>0</v>
      </c>
      <c r="V308" s="79">
        <v>0</v>
      </c>
    </row>
    <row r="309" spans="1:22" s="10" customFormat="1" x14ac:dyDescent="0.25">
      <c r="A309" s="9" t="str" cm="1">
        <f t="array" ref="A309">IFERROR(LOOKUP(2,1/([1]maestro!I:I=H309),[1]maestro!B:B),"")</f>
        <v/>
      </c>
      <c r="B309" s="10" t="str">
        <f>TEXT(A309,"mmmm")</f>
        <v/>
      </c>
      <c r="C309" s="11">
        <v>266</v>
      </c>
      <c r="D309" s="10" t="s">
        <v>809</v>
      </c>
      <c r="E309" s="13" t="str">
        <f>PROPER(D309)</f>
        <v>Sandra Milena Sandoval Osorio</v>
      </c>
      <c r="F309" s="15" t="s">
        <v>23</v>
      </c>
      <c r="G309" s="14" t="str">
        <f>CONCATENATE('[1]Clientes Inactivos'!$G$1,H309)</f>
        <v>573143420660</v>
      </c>
      <c r="H309" s="13">
        <v>3143420660</v>
      </c>
      <c r="I309" s="15">
        <v>100</v>
      </c>
      <c r="J309" s="15">
        <v>200</v>
      </c>
      <c r="K309" s="15">
        <f>+J309*15</f>
        <v>3000</v>
      </c>
      <c r="L309" s="13">
        <f>K309/I309</f>
        <v>30</v>
      </c>
      <c r="M309" s="13">
        <f>K309/J309</f>
        <v>15</v>
      </c>
      <c r="N309" s="18" t="e">
        <f>(A309+M309)</f>
        <v>#VALUE!</v>
      </c>
      <c r="O309" s="13">
        <f>+Tabla2[[#This Row],[CODIGO]]</f>
        <v>266</v>
      </c>
      <c r="P309" s="19">
        <f>R309/Q309*1000</f>
        <v>38000</v>
      </c>
      <c r="Q309" s="10">
        <f>K309</f>
        <v>3000</v>
      </c>
      <c r="R309" s="20">
        <v>114000</v>
      </c>
      <c r="S309" s="10" t="s">
        <v>810</v>
      </c>
      <c r="U309">
        <v>0</v>
      </c>
      <c r="V309" s="79">
        <v>0</v>
      </c>
    </row>
    <row r="310" spans="1:22" s="10" customFormat="1" x14ac:dyDescent="0.25">
      <c r="A310" s="9" t="str" cm="1">
        <f t="array" ref="A310">IFERROR(LOOKUP(2,1/([1]maestro!I:I=H310),[1]maestro!B:B),"")</f>
        <v/>
      </c>
      <c r="B310" s="10" t="str">
        <f>TEXT(A310,"mmmm")</f>
        <v/>
      </c>
      <c r="C310" s="11">
        <v>267</v>
      </c>
      <c r="D310" s="10" t="s">
        <v>811</v>
      </c>
      <c r="E310" s="13" t="str">
        <f>PROPER(D310)</f>
        <v>Sandra Milena Villamizar 180</v>
      </c>
      <c r="G310" s="14" t="str">
        <f>CONCATENATE('[1]Clientes Inactivos'!$G$1,H310)</f>
        <v>573027081180</v>
      </c>
      <c r="H310" s="13">
        <v>3027081180</v>
      </c>
      <c r="I310" s="15">
        <v>180</v>
      </c>
      <c r="J310" s="15">
        <v>180</v>
      </c>
      <c r="K310" s="15">
        <f>+J310*7</f>
        <v>1260</v>
      </c>
      <c r="L310" s="16">
        <f>K310/I310</f>
        <v>7</v>
      </c>
      <c r="M310" s="17">
        <f>K310/J310</f>
        <v>7</v>
      </c>
      <c r="N310" s="18" t="e">
        <f>(A310+M310)</f>
        <v>#VALUE!</v>
      </c>
      <c r="O310" s="13">
        <f>+Tabla2[[#This Row],[CODIGO]]</f>
        <v>267</v>
      </c>
      <c r="P310" s="19">
        <f>R310/Q310*1000</f>
        <v>7936.5079365079364</v>
      </c>
      <c r="Q310" s="10">
        <f>K310</f>
        <v>1260</v>
      </c>
      <c r="R310" s="20">
        <v>10000</v>
      </c>
      <c r="S310" s="10" t="s">
        <v>812</v>
      </c>
      <c r="U310">
        <v>0</v>
      </c>
      <c r="V310" s="79">
        <v>0</v>
      </c>
    </row>
    <row r="311" spans="1:22" s="10" customFormat="1" x14ac:dyDescent="0.25">
      <c r="A311" s="9" t="str" cm="1">
        <f t="array" ref="A311">IFERROR(LOOKUP(2,1/([1]maestro!I:I=H311),[1]maestro!B:B),"")</f>
        <v/>
      </c>
      <c r="B311" s="10" t="str">
        <f>TEXT(A311,"mmmm")</f>
        <v/>
      </c>
      <c r="C311" s="11">
        <v>267</v>
      </c>
      <c r="D311" s="10" t="s">
        <v>813</v>
      </c>
      <c r="E311" s="13" t="str">
        <f>PROPER(D311)</f>
        <v>Sandra Milena Villamizar 60</v>
      </c>
      <c r="G311" s="14" t="str">
        <f>CONCATENATE('[1]Clientes Inactivos'!$G$1,H311)</f>
        <v>573027081180</v>
      </c>
      <c r="H311" s="13">
        <v>3027081180</v>
      </c>
      <c r="I311" s="15">
        <v>60</v>
      </c>
      <c r="J311" s="15">
        <v>60</v>
      </c>
      <c r="K311" s="15">
        <f>+J311*14</f>
        <v>840</v>
      </c>
      <c r="L311" s="16">
        <f>K311/I311</f>
        <v>14</v>
      </c>
      <c r="M311" s="17">
        <f>K311/J311</f>
        <v>14</v>
      </c>
      <c r="N311" s="18" t="e">
        <f>(A311+M311)</f>
        <v>#VALUE!</v>
      </c>
      <c r="O311" s="13">
        <f>+Tabla2[[#This Row],[CODIGO]]</f>
        <v>267</v>
      </c>
      <c r="P311" s="19">
        <f>R311/Q311*1000</f>
        <v>58214.285714285717</v>
      </c>
      <c r="Q311" s="10">
        <f>K311</f>
        <v>840</v>
      </c>
      <c r="R311" s="20">
        <v>48900</v>
      </c>
      <c r="S311" s="10" t="s">
        <v>812</v>
      </c>
      <c r="U311">
        <v>0</v>
      </c>
      <c r="V311" s="79">
        <v>0</v>
      </c>
    </row>
    <row r="312" spans="1:22" s="10" customFormat="1" x14ac:dyDescent="0.25">
      <c r="A312" s="9" cm="1">
        <f t="array" ref="A312">IFERROR(LOOKUP(2,1/([1]maestro!I:I=H312),[1]maestro!B:B),"")</f>
        <v>46034</v>
      </c>
      <c r="B312" s="10" t="str">
        <f>TEXT(A312,"mmmm")</f>
        <v>enero</v>
      </c>
      <c r="C312" s="11">
        <v>269</v>
      </c>
      <c r="D312" s="10" t="s">
        <v>817</v>
      </c>
      <c r="E312" s="13" t="str">
        <f>PROPER(D312)</f>
        <v>Sandra Sotelo</v>
      </c>
      <c r="G312" s="14" t="str">
        <f>CONCATENATE($G$1,H312)</f>
        <v>573123733590</v>
      </c>
      <c r="H312" s="13">
        <v>3123733590</v>
      </c>
      <c r="I312" s="13">
        <v>200</v>
      </c>
      <c r="J312" s="13">
        <v>200</v>
      </c>
      <c r="K312" s="24">
        <f>+Tabla2[[#This Row],[AL DIA]]*15</f>
        <v>3000</v>
      </c>
      <c r="L312" s="13">
        <f>K312/I312</f>
        <v>15</v>
      </c>
      <c r="M312" s="13">
        <f>K312/J312</f>
        <v>15</v>
      </c>
      <c r="N312" s="18">
        <f>(A312+M312)</f>
        <v>46049</v>
      </c>
      <c r="O312" s="13">
        <f>+Tabla2[[#This Row],[CODIGO]]</f>
        <v>269</v>
      </c>
      <c r="P312" s="19">
        <f>R312/Q312*1000</f>
        <v>33500</v>
      </c>
      <c r="Q312" s="22">
        <f>K312</f>
        <v>3000</v>
      </c>
      <c r="R312" s="20">
        <v>100500</v>
      </c>
      <c r="S312" s="10" t="s">
        <v>818</v>
      </c>
      <c r="T312" s="10" t="s">
        <v>819</v>
      </c>
      <c r="U312">
        <v>0</v>
      </c>
      <c r="V312" s="79">
        <v>0</v>
      </c>
    </row>
    <row r="313" spans="1:22" s="10" customFormat="1" x14ac:dyDescent="0.25">
      <c r="A313" s="9" t="str" cm="1">
        <f t="array" ref="A313">IFERROR(LOOKUP(2,1/([1]maestro!I:I=H313),[1]maestro!B:B),"")</f>
        <v/>
      </c>
      <c r="B313" s="10" t="str">
        <f>TEXT(A313,"mmmm")</f>
        <v/>
      </c>
      <c r="C313" s="11">
        <v>270</v>
      </c>
      <c r="D313" s="10" t="s">
        <v>820</v>
      </c>
      <c r="E313" s="13" t="str">
        <f>PROPER(D313)</f>
        <v>Sandra Yaneth Beltrán Vera 115</v>
      </c>
      <c r="G313" s="14" t="str">
        <f>CONCATENATE($G$1,H313)</f>
        <v>573202342573</v>
      </c>
      <c r="H313" s="13">
        <v>3202342573</v>
      </c>
      <c r="I313" s="13">
        <v>115</v>
      </c>
      <c r="J313" s="13">
        <v>230</v>
      </c>
      <c r="K313" s="13">
        <f>+J313*7</f>
        <v>1610</v>
      </c>
      <c r="L313" s="13">
        <f>K313/I313</f>
        <v>14</v>
      </c>
      <c r="M313" s="13">
        <f>K313/J313</f>
        <v>7</v>
      </c>
      <c r="N313" s="18" t="e">
        <f>(A313+M313)</f>
        <v>#VALUE!</v>
      </c>
      <c r="O313" s="13">
        <f>+Tabla2[[#This Row],[CODIGO]]</f>
        <v>270</v>
      </c>
      <c r="P313" s="19">
        <f>R313/Q313*1000</f>
        <v>36149.068322981366</v>
      </c>
      <c r="Q313" s="10">
        <f>K313</f>
        <v>1610</v>
      </c>
      <c r="R313" s="20">
        <v>58200</v>
      </c>
      <c r="S313" s="10" t="s">
        <v>821</v>
      </c>
      <c r="T313" s="10" t="s">
        <v>822</v>
      </c>
      <c r="U313">
        <v>0</v>
      </c>
      <c r="V313" s="79">
        <v>0</v>
      </c>
    </row>
    <row r="314" spans="1:22" s="10" customFormat="1" x14ac:dyDescent="0.25">
      <c r="A314" s="9" t="str" cm="1">
        <f t="array" ref="A314">IFERROR(LOOKUP(2,1/([1]maestro!I:I=H314),[1]maestro!B:B),"")</f>
        <v/>
      </c>
      <c r="B314" s="10" t="str">
        <f>TEXT(A314,"mmmm")</f>
        <v/>
      </c>
      <c r="C314" s="11">
        <v>272</v>
      </c>
      <c r="D314" s="12" t="s">
        <v>826</v>
      </c>
      <c r="E314" s="13" t="str">
        <f>PROPER(D314)</f>
        <v>Sara Sanabria 100</v>
      </c>
      <c r="G314" s="14" t="str">
        <f>CONCATENATE($G$1,H314)</f>
        <v>573103055919</v>
      </c>
      <c r="H314" s="13">
        <v>3103055919</v>
      </c>
      <c r="I314" s="15">
        <v>150</v>
      </c>
      <c r="J314" s="15">
        <v>300</v>
      </c>
      <c r="K314" s="15">
        <f>+J314*15</f>
        <v>4500</v>
      </c>
      <c r="L314" s="16">
        <f>K314/I314</f>
        <v>30</v>
      </c>
      <c r="M314" s="17">
        <f>K314/J314</f>
        <v>15</v>
      </c>
      <c r="N314" s="18" t="e">
        <f>(A314+M314)</f>
        <v>#VALUE!</v>
      </c>
      <c r="O314" s="13">
        <f>+Tabla2[[#This Row],[CODIGO]]</f>
        <v>272</v>
      </c>
      <c r="P314" s="19">
        <f>R314/Q314*1000</f>
        <v>26000</v>
      </c>
      <c r="Q314" s="10">
        <f>K314</f>
        <v>4500</v>
      </c>
      <c r="R314" s="20">
        <v>117000</v>
      </c>
      <c r="S314" s="36" t="s">
        <v>827</v>
      </c>
      <c r="T314" s="10" t="s">
        <v>828</v>
      </c>
      <c r="U314">
        <v>0</v>
      </c>
      <c r="V314" s="79">
        <v>0</v>
      </c>
    </row>
    <row r="315" spans="1:22" s="10" customFormat="1" x14ac:dyDescent="0.25">
      <c r="A315" s="9" t="str" cm="1">
        <f t="array" ref="A315">IFERROR(LOOKUP(2,1/([1]maestro!I:I=H315),[1]maestro!B:B),"")</f>
        <v/>
      </c>
      <c r="B315" s="10" t="str">
        <f>TEXT(A315,"mmmm")</f>
        <v/>
      </c>
      <c r="C315" s="11">
        <v>272</v>
      </c>
      <c r="D315" s="12" t="s">
        <v>829</v>
      </c>
      <c r="E315" s="13" t="str">
        <f>PROPER(D315)</f>
        <v>Sara Sanabria 234</v>
      </c>
      <c r="G315" s="14" t="str">
        <f>CONCATENATE($G$1,H315)</f>
        <v>573103055919</v>
      </c>
      <c r="H315" s="13">
        <v>3103055919</v>
      </c>
      <c r="I315" s="15">
        <v>234</v>
      </c>
      <c r="J315" s="15">
        <f>+Tabla2[[#This Row],[POR COMIDA]]*2</f>
        <v>468</v>
      </c>
      <c r="K315" s="15">
        <f>+J315*15</f>
        <v>7020</v>
      </c>
      <c r="L315" s="16">
        <f>K315/I315</f>
        <v>30</v>
      </c>
      <c r="M315" s="17">
        <f>K315/J315</f>
        <v>15</v>
      </c>
      <c r="N315" s="18" t="e">
        <f>(A315+M315)</f>
        <v>#VALUE!</v>
      </c>
      <c r="O315" s="13">
        <f>+Tabla2[[#This Row],[CODIGO]]</f>
        <v>272</v>
      </c>
      <c r="P315" s="19">
        <f>R315/Q315*1000</f>
        <v>38888.888888888883</v>
      </c>
      <c r="Q315" s="10">
        <f>K315</f>
        <v>7020</v>
      </c>
      <c r="R315" s="20">
        <v>273000</v>
      </c>
      <c r="S315" s="36" t="s">
        <v>827</v>
      </c>
      <c r="T315" s="10" t="s">
        <v>828</v>
      </c>
      <c r="U315">
        <v>0</v>
      </c>
      <c r="V315" s="79">
        <v>0</v>
      </c>
    </row>
    <row r="316" spans="1:22" s="22" customFormat="1" x14ac:dyDescent="0.25">
      <c r="A316" s="9" t="str" cm="1">
        <f t="array" ref="A316">IFERROR(LOOKUP(2,1/([1]maestro!I:I=H316),[1]maestro!B:B),"")</f>
        <v/>
      </c>
      <c r="B316" s="10" t="str">
        <f>TEXT(A316,"mmmm")</f>
        <v/>
      </c>
      <c r="C316" s="11">
        <v>274</v>
      </c>
      <c r="D316" s="12" t="s">
        <v>833</v>
      </c>
      <c r="E316" s="13" t="str">
        <f>PROPER(D316)</f>
        <v>Sebastian Alfonso Martin Vs</v>
      </c>
      <c r="F316" s="10"/>
      <c r="G316" s="14" t="str">
        <f>CONCATENATE($G$1,H316)</f>
        <v>573183876221</v>
      </c>
      <c r="H316" s="13">
        <v>3183876221</v>
      </c>
      <c r="I316" s="15">
        <v>160</v>
      </c>
      <c r="J316" s="15">
        <v>320</v>
      </c>
      <c r="K316" s="15">
        <f>+J316*7</f>
        <v>2240</v>
      </c>
      <c r="L316" s="16">
        <f>K316/I316</f>
        <v>14</v>
      </c>
      <c r="M316" s="17">
        <f>K316/J316</f>
        <v>7</v>
      </c>
      <c r="N316" s="18" t="e">
        <f>(A316+M316)</f>
        <v>#VALUE!</v>
      </c>
      <c r="O316" s="13">
        <f>+Tabla2[[#This Row],[CODIGO]]</f>
        <v>274</v>
      </c>
      <c r="P316" s="19">
        <f>R316/Q316*1000</f>
        <v>39910.714285714283</v>
      </c>
      <c r="Q316" s="10">
        <f>K316</f>
        <v>2240</v>
      </c>
      <c r="R316" s="20">
        <v>89400</v>
      </c>
      <c r="S316" s="10" t="s">
        <v>834</v>
      </c>
      <c r="T316" s="10" t="s">
        <v>835</v>
      </c>
      <c r="U316">
        <v>0</v>
      </c>
      <c r="V316" s="79">
        <v>0</v>
      </c>
    </row>
    <row r="317" spans="1:22" s="49" customFormat="1" x14ac:dyDescent="0.25">
      <c r="A317" s="9" cm="1">
        <f t="array" ref="A317">IFERROR(LOOKUP(2,1/([1]maestro!I:I=H317),[1]maestro!B:B),"")</f>
        <v>46035</v>
      </c>
      <c r="B317" s="10" t="str">
        <f>TEXT(A317,"mmmm")</f>
        <v>enero</v>
      </c>
      <c r="C317" s="11">
        <v>276</v>
      </c>
      <c r="D317" s="10" t="s">
        <v>839</v>
      </c>
      <c r="E317" s="13" t="str">
        <f>PROPER(D317)</f>
        <v>Simon Guillermo La Torre Buitrago</v>
      </c>
      <c r="F317" s="10"/>
      <c r="G317" s="14" t="str">
        <f>CONCATENATE($G$1,H317)</f>
        <v>573046129451</v>
      </c>
      <c r="H317" s="13">
        <v>3046129451</v>
      </c>
      <c r="I317" s="13">
        <v>160</v>
      </c>
      <c r="J317" s="13">
        <v>360</v>
      </c>
      <c r="K317" s="13">
        <f>160*30</f>
        <v>4800</v>
      </c>
      <c r="L317" s="13">
        <f>K317/I317</f>
        <v>30</v>
      </c>
      <c r="M317" s="13">
        <f>K317/J317</f>
        <v>13.333333333333334</v>
      </c>
      <c r="N317" s="18">
        <f>(A317+M317)</f>
        <v>46048.333333333336</v>
      </c>
      <c r="O317" s="13">
        <f>+Tabla2[[#This Row],[CODIGO]]</f>
        <v>276</v>
      </c>
      <c r="P317" s="19">
        <f>R317/Q317*1000</f>
        <v>25000</v>
      </c>
      <c r="Q317" s="10">
        <f>K317</f>
        <v>4800</v>
      </c>
      <c r="R317" s="20">
        <v>120000</v>
      </c>
      <c r="S317" s="10" t="s">
        <v>840</v>
      </c>
      <c r="T317" s="10" t="s">
        <v>841</v>
      </c>
      <c r="U317">
        <v>0</v>
      </c>
      <c r="V317" s="79">
        <v>0</v>
      </c>
    </row>
    <row r="318" spans="1:22" s="22" customFormat="1" x14ac:dyDescent="0.25">
      <c r="A318" s="21" cm="1">
        <f t="array" ref="A318">IFERROR(LOOKUP(2,1/([1]maestro!I:I=H318),[1]maestro!B:B),"")</f>
        <v>46044</v>
      </c>
      <c r="B318" s="22" t="str">
        <f>TEXT(A318,"mmmm")</f>
        <v>enero</v>
      </c>
      <c r="C318" s="23">
        <v>263</v>
      </c>
      <c r="D318" s="22" t="s">
        <v>801</v>
      </c>
      <c r="E318" s="24" t="str">
        <f>PROPER(D318)</f>
        <v>Sandra Galvis</v>
      </c>
      <c r="F318" s="24"/>
      <c r="G318" s="25" t="str">
        <f>CONCATENATE($G$1,H318)</f>
        <v>573204698185</v>
      </c>
      <c r="H318" s="24">
        <v>3204698185</v>
      </c>
      <c r="I318" s="24">
        <v>70</v>
      </c>
      <c r="J318" s="24">
        <v>70</v>
      </c>
      <c r="K318" s="24">
        <f>15*70</f>
        <v>1050</v>
      </c>
      <c r="L318" s="24">
        <f>K318/I318</f>
        <v>15</v>
      </c>
      <c r="M318" s="24">
        <f>K318/J318</f>
        <v>15</v>
      </c>
      <c r="N318" s="28">
        <f>(A318+M318)</f>
        <v>46059</v>
      </c>
      <c r="O318" s="24">
        <f>+Tabla2[[#This Row],[CODIGO]]</f>
        <v>263</v>
      </c>
      <c r="P318" s="26">
        <f>R318/Q318*1000</f>
        <v>41000</v>
      </c>
      <c r="Q318" s="22">
        <f>K318</f>
        <v>1050</v>
      </c>
      <c r="R318" s="27">
        <v>43050</v>
      </c>
      <c r="S318" s="22" t="s">
        <v>802</v>
      </c>
      <c r="T318" s="22" t="s">
        <v>617</v>
      </c>
      <c r="U318">
        <v>0</v>
      </c>
      <c r="V318" s="79">
        <v>43050</v>
      </c>
    </row>
    <row r="319" spans="1:22" s="10" customFormat="1" x14ac:dyDescent="0.25">
      <c r="A319" s="21" cm="1">
        <f t="array" ref="A319">IFERROR(LOOKUP(2,1/([1]maestro!I:I=H319),[1]maestro!B:B),"")</f>
        <v>46042</v>
      </c>
      <c r="B319" s="22" t="str">
        <f>TEXT(A319,"mmmm")</f>
        <v>enero</v>
      </c>
      <c r="C319" s="23">
        <v>264</v>
      </c>
      <c r="D319" s="22" t="s">
        <v>803</v>
      </c>
      <c r="E319" s="24" t="str">
        <f>PROPER(D319)</f>
        <v>Sandra Lucia Muñoz Mosquera</v>
      </c>
      <c r="F319" s="22"/>
      <c r="G319" s="25" t="str">
        <f>CONCATENATE($G$1,H319)</f>
        <v>573193187152</v>
      </c>
      <c r="H319" s="24">
        <v>3193187152</v>
      </c>
      <c r="I319" s="24">
        <v>170</v>
      </c>
      <c r="J319" s="24">
        <v>170</v>
      </c>
      <c r="K319" s="24">
        <f>170*15</f>
        <v>2550</v>
      </c>
      <c r="L319" s="24">
        <f>K319/I319</f>
        <v>15</v>
      </c>
      <c r="M319" s="24">
        <f>K319/J319</f>
        <v>15</v>
      </c>
      <c r="N319" s="28">
        <f>(A319+M319)</f>
        <v>46057</v>
      </c>
      <c r="O319" s="24">
        <f>+Tabla2[[#This Row],[CODIGO]]</f>
        <v>264</v>
      </c>
      <c r="P319" s="26">
        <f>R319/Q319*1000</f>
        <v>42000</v>
      </c>
      <c r="Q319" s="22">
        <f>K319</f>
        <v>2550</v>
      </c>
      <c r="R319" s="27">
        <v>107100</v>
      </c>
      <c r="S319" s="22" t="s">
        <v>804</v>
      </c>
      <c r="T319" s="22" t="s">
        <v>805</v>
      </c>
      <c r="U319">
        <v>0</v>
      </c>
      <c r="V319" s="79">
        <v>107100</v>
      </c>
    </row>
    <row r="320" spans="1:22" s="10" customFormat="1" x14ac:dyDescent="0.25">
      <c r="A320" s="9" t="str" cm="1">
        <f t="array" ref="A320">IFERROR(LOOKUP(2,1/([1]maestro!I:I=H320),[1]maestro!B:B),"")</f>
        <v/>
      </c>
      <c r="B320" s="10" t="str">
        <f>TEXT(A320,"mmmm")</f>
        <v/>
      </c>
      <c r="C320" s="11">
        <v>277</v>
      </c>
      <c r="D320" s="10" t="s">
        <v>842</v>
      </c>
      <c r="E320" s="13" t="str">
        <f>PROPER(D320)</f>
        <v>Sofia Poveda</v>
      </c>
      <c r="F320" s="15"/>
      <c r="G320" s="14" t="str">
        <f>CONCATENATE($G$1,H320)</f>
        <v>573177155156</v>
      </c>
      <c r="H320" s="13">
        <v>3177155156</v>
      </c>
      <c r="I320" s="13">
        <v>170</v>
      </c>
      <c r="J320" s="13">
        <v>340</v>
      </c>
      <c r="K320" s="13">
        <f>170*30</f>
        <v>5100</v>
      </c>
      <c r="L320" s="13">
        <f>K320/I320</f>
        <v>30</v>
      </c>
      <c r="M320" s="13">
        <f>K320/J320</f>
        <v>15</v>
      </c>
      <c r="N320" s="18" t="e">
        <f>(A320+M320)</f>
        <v>#VALUE!</v>
      </c>
      <c r="O320" s="13">
        <f>+Tabla2[[#This Row],[CODIGO]]</f>
        <v>277</v>
      </c>
      <c r="P320" s="19">
        <f>R320/Q320*1000</f>
        <v>23000</v>
      </c>
      <c r="Q320" s="10">
        <f>K320</f>
        <v>5100</v>
      </c>
      <c r="R320" s="20">
        <v>117300</v>
      </c>
      <c r="S320" s="10" t="s">
        <v>843</v>
      </c>
      <c r="T320" s="10" t="s">
        <v>844</v>
      </c>
      <c r="U320">
        <v>0</v>
      </c>
      <c r="V320" s="79">
        <v>0</v>
      </c>
    </row>
    <row r="321" spans="1:22" s="10" customFormat="1" x14ac:dyDescent="0.25">
      <c r="A321" s="9" t="str" cm="1">
        <f t="array" ref="A321">IFERROR(LOOKUP(2,1/([1]maestro!I:I=H321),[1]maestro!B:B),"")</f>
        <v/>
      </c>
      <c r="B321" s="10" t="str">
        <f>TEXT(A321,"mmmm")</f>
        <v/>
      </c>
      <c r="C321" s="11">
        <v>280</v>
      </c>
      <c r="D321" s="12" t="s">
        <v>852</v>
      </c>
      <c r="E321" s="13" t="str">
        <f>PROPER(D321)</f>
        <v>Tatiana Quitian</v>
      </c>
      <c r="G321" s="14" t="str">
        <f>CONCATENATE($G$1,H321)</f>
        <v>573219257704</v>
      </c>
      <c r="H321" s="13">
        <v>3219257704</v>
      </c>
      <c r="I321" s="15">
        <v>35</v>
      </c>
      <c r="J321" s="15">
        <f>35*2</f>
        <v>70</v>
      </c>
      <c r="K321" s="15">
        <f>+J321*15</f>
        <v>1050</v>
      </c>
      <c r="L321" s="16">
        <f>K321/I321</f>
        <v>30</v>
      </c>
      <c r="M321" s="17">
        <f>K321/J321</f>
        <v>15</v>
      </c>
      <c r="N321" s="18" t="e">
        <f>(A321+M321)</f>
        <v>#VALUE!</v>
      </c>
      <c r="O321" s="13">
        <f>+Tabla2[[#This Row],[CODIGO]]</f>
        <v>280</v>
      </c>
      <c r="P321" s="19">
        <f>R321/Q321*1000</f>
        <v>56333.333333333336</v>
      </c>
      <c r="Q321" s="10">
        <f>K321</f>
        <v>1050</v>
      </c>
      <c r="R321" s="20">
        <v>59150</v>
      </c>
      <c r="S321" s="10" t="s">
        <v>853</v>
      </c>
      <c r="T321" s="10" t="s">
        <v>854</v>
      </c>
      <c r="U321">
        <v>0</v>
      </c>
      <c r="V321" s="79">
        <v>0</v>
      </c>
    </row>
    <row r="322" spans="1:22" s="10" customFormat="1" x14ac:dyDescent="0.25">
      <c r="A322" s="9" t="str" cm="1">
        <f t="array" ref="A322">IFERROR(LOOKUP(2,1/([1]maestro!I:I=H322),[1]maestro!B:B),"")</f>
        <v/>
      </c>
      <c r="B322" s="10" t="str">
        <f>TEXT(A322,"mmmm")</f>
        <v/>
      </c>
      <c r="C322" s="11">
        <v>281</v>
      </c>
      <c r="D322" s="12" t="s">
        <v>855</v>
      </c>
      <c r="E322" s="13" t="str">
        <f>PROPER(D322)</f>
        <v>Tatiana Urrea Obando 165</v>
      </c>
      <c r="G322" s="14" t="str">
        <f>CONCATENATE($G$1,H322)</f>
        <v>573172207542</v>
      </c>
      <c r="H322" s="13">
        <v>3172207542</v>
      </c>
      <c r="I322" s="15">
        <v>165</v>
      </c>
      <c r="J322" s="15">
        <v>330</v>
      </c>
      <c r="K322" s="15">
        <f>+J322*7</f>
        <v>2310</v>
      </c>
      <c r="L322" s="16">
        <f>K322/I322</f>
        <v>14</v>
      </c>
      <c r="M322" s="17">
        <f>K322/J322</f>
        <v>7</v>
      </c>
      <c r="N322" s="18" t="e">
        <f>(A322+M322)</f>
        <v>#VALUE!</v>
      </c>
      <c r="O322" s="13">
        <f>+Tabla2[[#This Row],[CODIGO]]</f>
        <v>281</v>
      </c>
      <c r="P322" s="19">
        <f>R322/Q322*1000</f>
        <v>79696.969696969696</v>
      </c>
      <c r="Q322" s="10">
        <f>K322</f>
        <v>2310</v>
      </c>
      <c r="R322" s="20">
        <v>184100</v>
      </c>
      <c r="S322" s="10" t="s">
        <v>856</v>
      </c>
      <c r="T322" s="10" t="s">
        <v>857</v>
      </c>
      <c r="U322">
        <v>0</v>
      </c>
      <c r="V322" s="79">
        <v>0</v>
      </c>
    </row>
    <row r="323" spans="1:22" s="10" customFormat="1" x14ac:dyDescent="0.25">
      <c r="A323" s="9" t="str" cm="1">
        <f t="array" ref="A323">IFERROR(LOOKUP(2,1/([1]maestro!I:I=H323),[1]maestro!B:B),"")</f>
        <v/>
      </c>
      <c r="B323" s="10" t="str">
        <f>TEXT(A323,"mmmm")</f>
        <v/>
      </c>
      <c r="C323" s="11">
        <v>281</v>
      </c>
      <c r="D323" s="12" t="s">
        <v>858</v>
      </c>
      <c r="E323" s="13" t="str">
        <f>PROPER(D323)</f>
        <v>Tatiana Urrea Obando 75</v>
      </c>
      <c r="G323" s="14" t="str">
        <f>CONCATENATE($G$1,H323)</f>
        <v>573172207542</v>
      </c>
      <c r="H323" s="13">
        <v>3172207542</v>
      </c>
      <c r="I323" s="15">
        <v>75</v>
      </c>
      <c r="J323" s="15">
        <f>75*2</f>
        <v>150</v>
      </c>
      <c r="K323" s="15">
        <f>+J323*15</f>
        <v>2250</v>
      </c>
      <c r="L323" s="16">
        <f>K323/I323</f>
        <v>30</v>
      </c>
      <c r="M323" s="17">
        <f>K323/J323</f>
        <v>15</v>
      </c>
      <c r="N323" s="18" t="e">
        <f>(A323+M323)</f>
        <v>#VALUE!</v>
      </c>
      <c r="O323" s="13">
        <f>+Tabla2[[#This Row],[CODIGO]]</f>
        <v>281</v>
      </c>
      <c r="P323" s="19">
        <f>R323/Q323*1000</f>
        <v>38666.666666666664</v>
      </c>
      <c r="Q323" s="10">
        <f>K323</f>
        <v>2250</v>
      </c>
      <c r="R323" s="20">
        <v>87000</v>
      </c>
      <c r="S323" s="10" t="s">
        <v>856</v>
      </c>
      <c r="T323" s="10" t="s">
        <v>857</v>
      </c>
      <c r="U323">
        <v>0</v>
      </c>
      <c r="V323" s="79">
        <v>0</v>
      </c>
    </row>
    <row r="324" spans="1:22" s="10" customFormat="1" x14ac:dyDescent="0.25">
      <c r="A324" s="21" cm="1">
        <f t="array" ref="A324">IFERROR(LOOKUP(2,1/([1]maestro!I:I=H324),[1]maestro!B:B),"")</f>
        <v>46041</v>
      </c>
      <c r="B324" s="22" t="str">
        <f>TEXT(A324,"mmmm")</f>
        <v>enero</v>
      </c>
      <c r="C324" s="23">
        <v>268</v>
      </c>
      <c r="D324" s="22" t="s">
        <v>814</v>
      </c>
      <c r="E324" s="24" t="str">
        <f>PROPER(D324)</f>
        <v>Sandra Romero</v>
      </c>
      <c r="F324" s="22"/>
      <c r="G324" s="25" t="str">
        <f>CONCATENATE($G$1,H324)</f>
        <v>573002776351</v>
      </c>
      <c r="H324" s="24">
        <v>3002776351</v>
      </c>
      <c r="I324" s="24">
        <v>180</v>
      </c>
      <c r="J324" s="24">
        <v>360</v>
      </c>
      <c r="K324" s="24">
        <v>5400</v>
      </c>
      <c r="L324" s="24">
        <f>K324/I324</f>
        <v>30</v>
      </c>
      <c r="M324" s="24">
        <f>K324/J324</f>
        <v>15</v>
      </c>
      <c r="N324" s="28">
        <f>(A324+M324)</f>
        <v>46056</v>
      </c>
      <c r="O324" s="24">
        <f>+Tabla2[[#This Row],[CODIGO]]</f>
        <v>268</v>
      </c>
      <c r="P324" s="26">
        <f>R324/Q324*1000</f>
        <v>25000</v>
      </c>
      <c r="Q324" s="22">
        <f>K324</f>
        <v>5400</v>
      </c>
      <c r="R324" s="27">
        <v>135000</v>
      </c>
      <c r="S324" s="22" t="s">
        <v>815</v>
      </c>
      <c r="T324" s="22" t="s">
        <v>816</v>
      </c>
      <c r="U324">
        <v>0</v>
      </c>
      <c r="V324" s="79">
        <v>180600</v>
      </c>
    </row>
    <row r="325" spans="1:22" s="10" customFormat="1" x14ac:dyDescent="0.25">
      <c r="A325" s="9" t="str" cm="1">
        <f t="array" ref="A325">IFERROR(LOOKUP(2,1/([1]maestro!I:I=H325),[1]maestro!B:B),"")</f>
        <v/>
      </c>
      <c r="B325" s="10" t="str">
        <f>TEXT(A325,"mmmm")</f>
        <v/>
      </c>
      <c r="C325" s="11">
        <v>282</v>
      </c>
      <c r="D325" s="12" t="s">
        <v>859</v>
      </c>
      <c r="E325" s="13" t="str">
        <f>PROPER(D325)</f>
        <v xml:space="preserve">Valentina Oviedo </v>
      </c>
      <c r="G325" s="14" t="str">
        <f>CONCATENATE($G$1,H325)</f>
        <v>573152164681</v>
      </c>
      <c r="H325" s="13">
        <v>3152164681</v>
      </c>
      <c r="I325" s="15">
        <v>120</v>
      </c>
      <c r="J325" s="15">
        <v>360</v>
      </c>
      <c r="K325" s="15">
        <f>+J325*7</f>
        <v>2520</v>
      </c>
      <c r="L325" s="16">
        <f>K325/I325</f>
        <v>21</v>
      </c>
      <c r="M325" s="17">
        <f>K325/J325</f>
        <v>7</v>
      </c>
      <c r="N325" s="18" t="e">
        <f>(A325+M325)</f>
        <v>#VALUE!</v>
      </c>
      <c r="O325" s="13">
        <f>+Tabla2[[#This Row],[CODIGO]]</f>
        <v>282</v>
      </c>
      <c r="P325" s="19">
        <f>R325/Q325*1000</f>
        <v>3968.2539682539682</v>
      </c>
      <c r="Q325" s="10">
        <f>K325</f>
        <v>2520</v>
      </c>
      <c r="R325" s="20">
        <v>10000</v>
      </c>
      <c r="S325" s="10" t="s">
        <v>860</v>
      </c>
      <c r="U325">
        <v>0</v>
      </c>
      <c r="V325" s="79">
        <v>0</v>
      </c>
    </row>
    <row r="326" spans="1:22" s="10" customFormat="1" x14ac:dyDescent="0.25">
      <c r="A326" s="21" cm="1">
        <f t="array" ref="A326">IFERROR(LOOKUP(2,1/([1]maestro!I:I=H326),[1]maestro!B:B),"")</f>
        <v>46043</v>
      </c>
      <c r="B326" s="22" t="str">
        <f>TEXT(A326,"mmmm")</f>
        <v>enero</v>
      </c>
      <c r="C326" s="23">
        <v>283</v>
      </c>
      <c r="D326" s="22" t="s">
        <v>861</v>
      </c>
      <c r="E326" s="24" t="str">
        <f>PROPER(D326)</f>
        <v>Valentina Perez Uribe 240</v>
      </c>
      <c r="F326" s="22"/>
      <c r="G326" s="25" t="str">
        <f>CONCATENATE($G$1,H326)</f>
        <v>573122570708</v>
      </c>
      <c r="H326" s="24">
        <v>3122570708</v>
      </c>
      <c r="I326" s="24">
        <v>240</v>
      </c>
      <c r="J326" s="24">
        <v>240</v>
      </c>
      <c r="K326" s="24">
        <f>+Tabla2[[#This Row],[POR COMIDA]]*30</f>
        <v>7200</v>
      </c>
      <c r="L326" s="24">
        <f>K326/I326</f>
        <v>30</v>
      </c>
      <c r="M326" s="24">
        <f>K326/J326</f>
        <v>30</v>
      </c>
      <c r="N326" s="28">
        <f>(A326+M326)</f>
        <v>46073</v>
      </c>
      <c r="O326" s="24">
        <f>+Tabla2[[#This Row],[CODIGO]]</f>
        <v>283</v>
      </c>
      <c r="P326" s="26">
        <f>R326/Q326*1000</f>
        <v>32777.777777777781</v>
      </c>
      <c r="Q326" s="22">
        <f>K326</f>
        <v>7200</v>
      </c>
      <c r="R326" s="27">
        <v>236000</v>
      </c>
      <c r="S326" s="22" t="s">
        <v>862</v>
      </c>
      <c r="T326" s="22" t="s">
        <v>110</v>
      </c>
      <c r="U326">
        <v>0</v>
      </c>
      <c r="V326" s="79">
        <v>0</v>
      </c>
    </row>
    <row r="327" spans="1:22" s="10" customFormat="1" x14ac:dyDescent="0.25">
      <c r="A327" s="21" cm="1">
        <f t="array" ref="A327">IFERROR(LOOKUP(2,1/([1]maestro!I:I=H327),[1]maestro!B:B),"")</f>
        <v>46044</v>
      </c>
      <c r="B327" s="22" t="str">
        <f>TEXT(A327,"mmmm")</f>
        <v>enero</v>
      </c>
      <c r="C327" s="23">
        <v>271</v>
      </c>
      <c r="D327" s="22" t="s">
        <v>823</v>
      </c>
      <c r="E327" s="24" t="str">
        <f>PROPER(D327)</f>
        <v>Santiago Medina Vega</v>
      </c>
      <c r="F327" s="22"/>
      <c r="G327" s="25" t="str">
        <f>CONCATENATE($G$1,H327)</f>
        <v>573124298893</v>
      </c>
      <c r="H327" s="24">
        <v>3124298893</v>
      </c>
      <c r="I327" s="33">
        <v>150</v>
      </c>
      <c r="J327" s="33">
        <f>150*3</f>
        <v>450</v>
      </c>
      <c r="K327" s="33">
        <f>450*15</f>
        <v>6750</v>
      </c>
      <c r="L327" s="24">
        <f>K327/I327</f>
        <v>45</v>
      </c>
      <c r="M327" s="24">
        <f>K327/J327</f>
        <v>15</v>
      </c>
      <c r="N327" s="28">
        <f>(A327+M327)</f>
        <v>46059</v>
      </c>
      <c r="O327" s="24">
        <f>+Tabla2[[#This Row],[CODIGO]]</f>
        <v>271</v>
      </c>
      <c r="P327" s="26">
        <f>R327/Q327*1000</f>
        <v>30000</v>
      </c>
      <c r="Q327" s="22">
        <f>K327</f>
        <v>6750</v>
      </c>
      <c r="R327" s="31">
        <v>202500</v>
      </c>
      <c r="S327" s="22" t="s">
        <v>824</v>
      </c>
      <c r="T327" s="22" t="s">
        <v>825</v>
      </c>
      <c r="U327">
        <v>0</v>
      </c>
      <c r="V327" s="79">
        <v>202500</v>
      </c>
    </row>
    <row r="328" spans="1:22" s="10" customFormat="1" x14ac:dyDescent="0.25">
      <c r="A328" s="21" cm="1">
        <f t="array" ref="A328">IFERROR(LOOKUP(2,1/([1]maestro!I:I=H328),[1]maestro!B:B),"")</f>
        <v>46043</v>
      </c>
      <c r="B328" s="22" t="str">
        <f>TEXT(A328,"mmmm")</f>
        <v>enero</v>
      </c>
      <c r="C328" s="23">
        <v>283</v>
      </c>
      <c r="D328" s="22" t="s">
        <v>863</v>
      </c>
      <c r="E328" s="24" t="str">
        <f>PROPER(D328)</f>
        <v>Valentina Perez Uribe 265</v>
      </c>
      <c r="F328" s="22"/>
      <c r="G328" s="25" t="str">
        <f>CONCATENATE($G$1,H328)</f>
        <v>573122570708</v>
      </c>
      <c r="H328" s="24">
        <v>3122570708</v>
      </c>
      <c r="I328" s="24">
        <v>265</v>
      </c>
      <c r="J328" s="24">
        <v>265</v>
      </c>
      <c r="K328" s="24">
        <f>265*30</f>
        <v>7950</v>
      </c>
      <c r="L328" s="24">
        <f>K328/I328</f>
        <v>30</v>
      </c>
      <c r="M328" s="24">
        <f>K328/J328</f>
        <v>30</v>
      </c>
      <c r="N328" s="28">
        <f>(A328+M328)</f>
        <v>46073</v>
      </c>
      <c r="O328" s="24">
        <f>+Tabla2[[#This Row],[CODIGO]]</f>
        <v>283</v>
      </c>
      <c r="P328" s="26">
        <f>R328/Q328*1000</f>
        <v>32704.402515723275</v>
      </c>
      <c r="Q328" s="22">
        <f>K328</f>
        <v>7950</v>
      </c>
      <c r="R328" s="27">
        <v>260000</v>
      </c>
      <c r="S328" s="22" t="s">
        <v>862</v>
      </c>
      <c r="T328" s="22" t="s">
        <v>110</v>
      </c>
      <c r="U328">
        <v>0</v>
      </c>
      <c r="V328" s="79">
        <v>0</v>
      </c>
    </row>
    <row r="329" spans="1:22" s="10" customFormat="1" x14ac:dyDescent="0.25">
      <c r="A329" s="21" cm="1">
        <f t="array" ref="A329">IFERROR(LOOKUP(2,1/([1]maestro!I:I=H329),[1]maestro!B:B),"")</f>
        <v>46036</v>
      </c>
      <c r="B329" s="22" t="str">
        <f>TEXT(A329,"mmmm")</f>
        <v>enero</v>
      </c>
      <c r="C329" s="23">
        <v>284</v>
      </c>
      <c r="D329" s="22" t="s">
        <v>864</v>
      </c>
      <c r="E329" s="24" t="str">
        <f>PROPER(D329)</f>
        <v>Vanesa Montoya</v>
      </c>
      <c r="F329" s="22"/>
      <c r="G329" s="25" t="str">
        <f>CONCATENATE($G$1,H329)</f>
        <v>573023735213</v>
      </c>
      <c r="H329" s="24">
        <v>3023735213</v>
      </c>
      <c r="I329" s="24">
        <v>240</v>
      </c>
      <c r="J329" s="24">
        <v>240</v>
      </c>
      <c r="K329" s="24">
        <f>240*30</f>
        <v>7200</v>
      </c>
      <c r="L329" s="24">
        <f>K329/I329</f>
        <v>30</v>
      </c>
      <c r="M329" s="24">
        <f>K329/J329</f>
        <v>30</v>
      </c>
      <c r="N329" s="28">
        <f>(A329+M329)</f>
        <v>46066</v>
      </c>
      <c r="O329" s="24">
        <f>+Tabla2[[#This Row],[CODIGO]]</f>
        <v>284</v>
      </c>
      <c r="P329" s="26">
        <f>R329/Q329*1000</f>
        <v>31000</v>
      </c>
      <c r="Q329" s="22">
        <f>K329</f>
        <v>7200</v>
      </c>
      <c r="R329" s="30">
        <v>223200</v>
      </c>
      <c r="S329" s="22" t="s">
        <v>865</v>
      </c>
      <c r="T329" s="22" t="s">
        <v>866</v>
      </c>
      <c r="U329">
        <v>0</v>
      </c>
      <c r="V329" s="79">
        <v>0</v>
      </c>
    </row>
    <row r="330" spans="1:22" s="22" customFormat="1" x14ac:dyDescent="0.25">
      <c r="A330" s="21" cm="1">
        <f t="array" ref="A330">IFERROR(LOOKUP(2,1/([1]maestro!I:I=H330),[1]maestro!B:B),"")</f>
        <v>46045</v>
      </c>
      <c r="B330" s="22" t="str">
        <f>TEXT(A330,"mmmm")</f>
        <v>enero</v>
      </c>
      <c r="C330" s="23">
        <v>273</v>
      </c>
      <c r="D330" s="22" t="s">
        <v>830</v>
      </c>
      <c r="E330" s="22" t="str">
        <f>PROPER(D330)</f>
        <v>Saraya Bonilla Lozada</v>
      </c>
      <c r="G330" s="22" t="str">
        <f>CONCATENATE($G$1,H330)</f>
        <v>573218940510</v>
      </c>
      <c r="H330" s="24">
        <v>3218940510</v>
      </c>
      <c r="I330" s="33">
        <v>120</v>
      </c>
      <c r="J330" s="33">
        <v>240</v>
      </c>
      <c r="K330" s="33">
        <f>+J330*7</f>
        <v>1680</v>
      </c>
      <c r="L330" s="34">
        <f>K330/I330</f>
        <v>14</v>
      </c>
      <c r="M330" s="35">
        <f>K330/J330</f>
        <v>7</v>
      </c>
      <c r="N330" s="28">
        <f>(A330+M330)</f>
        <v>46052</v>
      </c>
      <c r="O330" s="24">
        <f>+Tabla2[[#This Row],[CODIGO]]</f>
        <v>273</v>
      </c>
      <c r="P330" s="26">
        <f>R330/Q330*1000</f>
        <v>41964.285714285717</v>
      </c>
      <c r="Q330" s="22">
        <f>K330</f>
        <v>1680</v>
      </c>
      <c r="R330" s="31">
        <v>70500</v>
      </c>
      <c r="S330" s="22" t="s">
        <v>831</v>
      </c>
      <c r="T330" s="22" t="s">
        <v>832</v>
      </c>
      <c r="U330">
        <v>0</v>
      </c>
      <c r="V330" s="79">
        <v>70500</v>
      </c>
    </row>
    <row r="331" spans="1:22" s="10" customFormat="1" x14ac:dyDescent="0.25">
      <c r="A331" s="21" cm="1">
        <f t="array" ref="A331">IFERROR(LOOKUP(2,1/([1]maestro!I:I=H331),[1]maestro!B:B),"")</f>
        <v>46036</v>
      </c>
      <c r="B331" s="22" t="str">
        <f>TEXT(A331,"mmmm")</f>
        <v>enero</v>
      </c>
      <c r="C331" s="23">
        <v>285</v>
      </c>
      <c r="D331" s="22" t="s">
        <v>867</v>
      </c>
      <c r="E331" s="24" t="str">
        <f>PROPER(D331)</f>
        <v xml:space="preserve">Vanesa Sanchez </v>
      </c>
      <c r="F331" s="22"/>
      <c r="G331" s="25" t="str">
        <f>CONCATENATE($G$1,H331)</f>
        <v>573112877626</v>
      </c>
      <c r="H331" s="24">
        <v>3112877626</v>
      </c>
      <c r="I331" s="24">
        <v>244</v>
      </c>
      <c r="J331" s="24">
        <v>732</v>
      </c>
      <c r="K331" s="24">
        <f>+Tabla2[[#This Row],[AL DIA]]*7</f>
        <v>5124</v>
      </c>
      <c r="L331" s="24">
        <f>K331/I331</f>
        <v>21</v>
      </c>
      <c r="M331" s="24">
        <f>K331/J331</f>
        <v>7</v>
      </c>
      <c r="N331" s="28">
        <f>(A331+M331)</f>
        <v>46043</v>
      </c>
      <c r="O331" s="24">
        <f>+Tabla2[[#This Row],[CODIGO]]</f>
        <v>285</v>
      </c>
      <c r="P331" s="26">
        <f>R331/Q331*1000</f>
        <v>22500</v>
      </c>
      <c r="Q331" s="22">
        <f>K331</f>
        <v>5124</v>
      </c>
      <c r="R331" s="31">
        <v>115290</v>
      </c>
      <c r="S331" s="22" t="s">
        <v>868</v>
      </c>
      <c r="T331" s="22"/>
      <c r="U331">
        <v>0</v>
      </c>
      <c r="V331" s="79">
        <v>0</v>
      </c>
    </row>
    <row r="332" spans="1:22" s="10" customFormat="1" x14ac:dyDescent="0.25">
      <c r="A332" s="21" cm="1">
        <f t="array" ref="A332">IFERROR(LOOKUP(2,1/([1]maestro!I:I=H332),[1]maestro!B:B),"")</f>
        <v>46038</v>
      </c>
      <c r="B332" s="22" t="str">
        <f>TEXT(A332,"mmmm")</f>
        <v>enero</v>
      </c>
      <c r="C332" s="23">
        <v>275</v>
      </c>
      <c r="D332" s="22" t="s">
        <v>836</v>
      </c>
      <c r="E332" s="24" t="str">
        <f>PROPER(D332)</f>
        <v>Sergio Cañon</v>
      </c>
      <c r="F332" s="22"/>
      <c r="G332" s="25" t="str">
        <f>CONCATENATE($G$1,H332)</f>
        <v>573165294356</v>
      </c>
      <c r="H332" s="24">
        <v>3165294356</v>
      </c>
      <c r="I332" s="24">
        <v>153</v>
      </c>
      <c r="J332" s="24">
        <f>153*3</f>
        <v>459</v>
      </c>
      <c r="K332" s="24">
        <f>45*153</f>
        <v>6885</v>
      </c>
      <c r="L332" s="24">
        <f>K332/I332</f>
        <v>45</v>
      </c>
      <c r="M332" s="24">
        <f>K332/J332</f>
        <v>15</v>
      </c>
      <c r="N332" s="28">
        <f>(A332+M332)</f>
        <v>46053</v>
      </c>
      <c r="O332" s="24">
        <f>+Tabla2[[#This Row],[CODIGO]]</f>
        <v>275</v>
      </c>
      <c r="P332" s="26">
        <f>R332/Q332*1000</f>
        <v>28000</v>
      </c>
      <c r="Q332" s="22">
        <f>K332</f>
        <v>6885</v>
      </c>
      <c r="R332" s="30">
        <v>192780</v>
      </c>
      <c r="S332" s="22" t="s">
        <v>837</v>
      </c>
      <c r="T332" s="22" t="s">
        <v>838</v>
      </c>
      <c r="U332">
        <v>0</v>
      </c>
      <c r="V332" s="79">
        <v>192780</v>
      </c>
    </row>
    <row r="333" spans="1:22" s="10" customFormat="1" x14ac:dyDescent="0.25">
      <c r="A333" s="21" cm="1">
        <f t="array" ref="A333">IFERROR(LOOKUP(2,1/([1]maestro!I:I=H333),[1]maestro!B:B),"")</f>
        <v>46036</v>
      </c>
      <c r="B333" s="22" t="str">
        <f>TEXT(A333,"mmmm")</f>
        <v>enero</v>
      </c>
      <c r="C333" s="23">
        <v>285</v>
      </c>
      <c r="D333" s="22" t="s">
        <v>869</v>
      </c>
      <c r="E333" s="24" t="str">
        <f>PROPER(D333)</f>
        <v>Vanesa Sanchez Alicante De Suba</v>
      </c>
      <c r="F333" s="22"/>
      <c r="G333" s="25" t="str">
        <f>CONCATENATE($G$1,H333)</f>
        <v>573112877626</v>
      </c>
      <c r="H333" s="24">
        <v>3112877626</v>
      </c>
      <c r="I333" s="24">
        <v>250</v>
      </c>
      <c r="J333" s="24">
        <v>250</v>
      </c>
      <c r="K333" s="24">
        <f>J333*40</f>
        <v>10000</v>
      </c>
      <c r="L333" s="34">
        <f>K333/I333</f>
        <v>40</v>
      </c>
      <c r="M333" s="35">
        <f>K333/J333</f>
        <v>40</v>
      </c>
      <c r="N333" s="28">
        <f>(A333+M333)</f>
        <v>46076</v>
      </c>
      <c r="O333" s="24">
        <f>+Tabla2[[#This Row],[CODIGO]]</f>
        <v>285</v>
      </c>
      <c r="P333" s="26">
        <f>R333/Q333*1000</f>
        <v>22500</v>
      </c>
      <c r="Q333" s="22">
        <f>K333</f>
        <v>10000</v>
      </c>
      <c r="R333" s="27">
        <v>225000</v>
      </c>
      <c r="S333" s="22" t="s">
        <v>870</v>
      </c>
      <c r="T333" s="22" t="s">
        <v>871</v>
      </c>
      <c r="U333">
        <v>0</v>
      </c>
      <c r="V333" s="79">
        <v>0</v>
      </c>
    </row>
    <row r="334" spans="1:22" s="10" customFormat="1" x14ac:dyDescent="0.25">
      <c r="A334" s="21" cm="1">
        <f t="array" ref="A334">IFERROR(LOOKUP(2,1/([1]maestro!I:I=H334),[1]maestro!B:B),"")</f>
        <v>46036</v>
      </c>
      <c r="B334" s="22" t="str">
        <f>TEXT(A334,"mmmm")</f>
        <v>enero</v>
      </c>
      <c r="C334" s="23">
        <v>285</v>
      </c>
      <c r="D334" s="22" t="s">
        <v>872</v>
      </c>
      <c r="E334" s="24" t="str">
        <f>PROPER(D334)</f>
        <v>Vanesa Sanchez Santa Margarita</v>
      </c>
      <c r="F334" s="22"/>
      <c r="G334" s="25" t="str">
        <f>CONCATENATE($G$1,H334)</f>
        <v>573112877626</v>
      </c>
      <c r="H334" s="24">
        <v>3112877626</v>
      </c>
      <c r="I334" s="24">
        <v>250</v>
      </c>
      <c r="J334" s="24">
        <v>500</v>
      </c>
      <c r="K334" s="24">
        <f>J334*30</f>
        <v>15000</v>
      </c>
      <c r="L334" s="24">
        <f>K334/I334</f>
        <v>60</v>
      </c>
      <c r="M334" s="24">
        <f>K334/J334</f>
        <v>30</v>
      </c>
      <c r="N334" s="28">
        <f>(A334+M334)</f>
        <v>46066</v>
      </c>
      <c r="O334" s="24">
        <f>+Tabla2[[#This Row],[CODIGO]]</f>
        <v>285</v>
      </c>
      <c r="P334" s="26">
        <f>R334/Q334*1000</f>
        <v>22500</v>
      </c>
      <c r="Q334" s="22">
        <f>K334</f>
        <v>15000</v>
      </c>
      <c r="R334" s="31">
        <v>337500</v>
      </c>
      <c r="S334" s="22" t="s">
        <v>873</v>
      </c>
      <c r="T334" s="22" t="s">
        <v>874</v>
      </c>
      <c r="U334">
        <v>0</v>
      </c>
      <c r="V334" s="79">
        <v>0</v>
      </c>
    </row>
    <row r="335" spans="1:22" s="10" customFormat="1" x14ac:dyDescent="0.25">
      <c r="A335" s="21" cm="1">
        <f t="array" ref="A335">IFERROR(LOOKUP(2,1/([1]maestro!I:I=H335),[1]maestro!B:B),"")</f>
        <v>46043</v>
      </c>
      <c r="B335" s="22" t="str">
        <f>TEXT(A335,"mmmm")</f>
        <v>enero</v>
      </c>
      <c r="C335" s="23">
        <v>278</v>
      </c>
      <c r="D335" s="22" t="s">
        <v>845</v>
      </c>
      <c r="E335" s="24" t="str">
        <f>PROPER(D335)</f>
        <v>Spa Veterinario Smoky Pet O Vet</v>
      </c>
      <c r="F335" s="22"/>
      <c r="G335" s="25" t="str">
        <f>CONCATENATE($G$1,H335)</f>
        <v>573118863583</v>
      </c>
      <c r="H335" s="24">
        <v>3118863583</v>
      </c>
      <c r="I335" s="33">
        <v>150</v>
      </c>
      <c r="J335" s="33">
        <v>300</v>
      </c>
      <c r="K335" s="33">
        <f>7*150</f>
        <v>1050</v>
      </c>
      <c r="L335" s="24">
        <f>K335/I335</f>
        <v>7</v>
      </c>
      <c r="M335" s="24">
        <f>K335/J335</f>
        <v>3.5</v>
      </c>
      <c r="N335" s="28">
        <f>(A335+M335)</f>
        <v>46046.5</v>
      </c>
      <c r="O335" s="24">
        <f>+Tabla2[[#This Row],[CODIGO]]</f>
        <v>278</v>
      </c>
      <c r="P335" s="26">
        <f>R335/Q335*1000</f>
        <v>20952.380952380954</v>
      </c>
      <c r="Q335" s="22">
        <f>K335</f>
        <v>1050</v>
      </c>
      <c r="R335" s="31">
        <v>22000</v>
      </c>
      <c r="S335" s="22" t="s">
        <v>846</v>
      </c>
      <c r="T335" s="22" t="s">
        <v>847</v>
      </c>
      <c r="U335">
        <v>0</v>
      </c>
      <c r="V335" s="79">
        <v>510500</v>
      </c>
    </row>
    <row r="336" spans="1:22" s="10" customFormat="1" ht="45" x14ac:dyDescent="0.25">
      <c r="A336" s="9" cm="1">
        <f t="array" ref="A336">IFERROR(LOOKUP(2,1/([1]maestro!I:I=H336),[1]maestro!B:B),"")</f>
        <v>0</v>
      </c>
      <c r="B336" s="10" t="str">
        <f>TEXT(A336,"mmmm")</f>
        <v>enero</v>
      </c>
      <c r="C336" s="11">
        <v>286</v>
      </c>
      <c r="D336" s="12" t="s">
        <v>875</v>
      </c>
      <c r="E336" s="13" t="str">
        <f>PROPER(D336)</f>
        <v>Variplast</v>
      </c>
      <c r="G336" s="14" t="str">
        <f>CONCATENATE($G$1,H336)</f>
        <v>57</v>
      </c>
      <c r="H336" s="13"/>
      <c r="I336" s="15">
        <v>0</v>
      </c>
      <c r="J336" s="15">
        <v>0</v>
      </c>
      <c r="K336" s="15">
        <f>+J336*7</f>
        <v>0</v>
      </c>
      <c r="L336" s="16" t="e">
        <f>K336/I336</f>
        <v>#DIV/0!</v>
      </c>
      <c r="M336" s="17" t="e">
        <f>K336/J336</f>
        <v>#DIV/0!</v>
      </c>
      <c r="N336" s="18" t="e">
        <f>(A336+M336)</f>
        <v>#DIV/0!</v>
      </c>
      <c r="O336" s="13">
        <f>+Tabla2[[#This Row],[CODIGO]]</f>
        <v>286</v>
      </c>
      <c r="P336" s="19" t="e">
        <f>R336/Q336*1000</f>
        <v>#DIV/0!</v>
      </c>
      <c r="Q336" s="10">
        <f>K336</f>
        <v>0</v>
      </c>
      <c r="R336" s="20">
        <v>0</v>
      </c>
      <c r="U336">
        <v>0</v>
      </c>
      <c r="V336" s="79">
        <v>0</v>
      </c>
    </row>
    <row r="337" spans="1:22" s="10" customFormat="1" ht="45" x14ac:dyDescent="0.25">
      <c r="A337" s="9" t="str" cm="1">
        <f t="array" ref="A337">IFERROR(LOOKUP(2,1/([1]maestro!I:I=H337),[1]maestro!B:B),"")</f>
        <v/>
      </c>
      <c r="B337" s="10" t="str">
        <f>TEXT(A337,"mmmm")</f>
        <v/>
      </c>
      <c r="C337" s="11">
        <v>287</v>
      </c>
      <c r="D337" s="10" t="s">
        <v>876</v>
      </c>
      <c r="E337" s="13" t="str">
        <f>PROPER(D337)</f>
        <v>Veronica Buendia 150</v>
      </c>
      <c r="G337" s="14" t="str">
        <f>CONCATENATE($G$1,H337)</f>
        <v>573114997643</v>
      </c>
      <c r="H337" s="13">
        <v>3114997643</v>
      </c>
      <c r="I337" s="13">
        <v>150</v>
      </c>
      <c r="J337" s="13">
        <v>150</v>
      </c>
      <c r="K337" s="13">
        <f>+J337*5</f>
        <v>750</v>
      </c>
      <c r="L337" s="13">
        <f>K337/I337</f>
        <v>5</v>
      </c>
      <c r="M337" s="13">
        <f>K337/J337</f>
        <v>5</v>
      </c>
      <c r="N337" s="18" t="e">
        <f>(A337+M337)</f>
        <v>#VALUE!</v>
      </c>
      <c r="O337" s="13">
        <f>+Tabla2[[#This Row],[CODIGO]]</f>
        <v>287</v>
      </c>
      <c r="P337" s="19">
        <f>R337/Q337*1000</f>
        <v>50666.666666666664</v>
      </c>
      <c r="Q337" s="10">
        <f>K337</f>
        <v>750</v>
      </c>
      <c r="R337" s="20">
        <v>38000</v>
      </c>
      <c r="S337" s="10" t="s">
        <v>877</v>
      </c>
      <c r="T337" s="10" t="s">
        <v>878</v>
      </c>
      <c r="U337">
        <v>0</v>
      </c>
      <c r="V337" s="79">
        <v>0</v>
      </c>
    </row>
    <row r="338" spans="1:22" s="10" customFormat="1" x14ac:dyDescent="0.25">
      <c r="A338" s="21" cm="1">
        <f t="array" ref="A338">IFERROR(LOOKUP(2,1/([1]maestro!I:I=H338),[1]maestro!B:B),"")</f>
        <v>46037</v>
      </c>
      <c r="B338" s="22" t="str">
        <f>TEXT(A338,"mmmm")</f>
        <v>enero</v>
      </c>
      <c r="C338" s="23">
        <v>289</v>
      </c>
      <c r="D338" s="22" t="s">
        <v>883</v>
      </c>
      <c r="E338" s="24" t="str">
        <f>PROPER(D338)</f>
        <v>Victoria Olano</v>
      </c>
      <c r="F338" s="22"/>
      <c r="G338" s="25" t="str">
        <f>CONCATENATE($G$1,H338)</f>
        <v>573012055862</v>
      </c>
      <c r="H338" s="24">
        <v>3012055862</v>
      </c>
      <c r="I338" s="24">
        <v>190</v>
      </c>
      <c r="J338" s="24">
        <v>380</v>
      </c>
      <c r="K338" s="24">
        <f>30*190</f>
        <v>5700</v>
      </c>
      <c r="L338" s="24">
        <f>K338/I338</f>
        <v>30</v>
      </c>
      <c r="M338" s="24">
        <f>K338/J338</f>
        <v>15</v>
      </c>
      <c r="N338" s="28">
        <f>(A338+M338)</f>
        <v>46052</v>
      </c>
      <c r="O338" s="24">
        <f>+Tabla2[[#This Row],[CODIGO]]</f>
        <v>289</v>
      </c>
      <c r="P338" s="26">
        <f>R338/Q338*1000</f>
        <v>22000</v>
      </c>
      <c r="Q338" s="22">
        <f>K338</f>
        <v>5700</v>
      </c>
      <c r="R338" s="30">
        <v>125400</v>
      </c>
      <c r="S338" s="22" t="s">
        <v>884</v>
      </c>
      <c r="T338" s="22" t="s">
        <v>713</v>
      </c>
      <c r="U338">
        <v>0</v>
      </c>
      <c r="V338" s="79">
        <v>0</v>
      </c>
    </row>
    <row r="339" spans="1:22" s="10" customFormat="1" x14ac:dyDescent="0.25">
      <c r="A339" s="21" cm="1">
        <f t="array" ref="A339">IFERROR(LOOKUP(2,1/([1]maestro!I:I=H339),[1]maestro!B:B),"")</f>
        <v>46054</v>
      </c>
      <c r="B339" s="22" t="str">
        <f>TEXT(A339,"mmmm")</f>
        <v>febrero</v>
      </c>
      <c r="C339" s="23">
        <v>290</v>
      </c>
      <c r="D339" s="22" t="s">
        <v>885</v>
      </c>
      <c r="E339" s="24" t="str">
        <f>PROPER(D339)</f>
        <v>Viviana Solorzano Lia</v>
      </c>
      <c r="F339" s="82"/>
      <c r="G339" s="25" t="str">
        <f>CONCATENATE($G$1,H339)</f>
        <v>573017139465</v>
      </c>
      <c r="H339" s="24">
        <v>3017139465</v>
      </c>
      <c r="I339" s="24">
        <v>130</v>
      </c>
      <c r="J339" s="24">
        <v>260</v>
      </c>
      <c r="K339" s="15">
        <f>+J339*15</f>
        <v>3900</v>
      </c>
      <c r="L339" s="24">
        <f>K339/I339</f>
        <v>30</v>
      </c>
      <c r="M339" s="24">
        <f>K339/J339</f>
        <v>15</v>
      </c>
      <c r="N339" s="28">
        <f>(A339+M339)</f>
        <v>46069</v>
      </c>
      <c r="O339" s="24">
        <f>+Tabla2[[#This Row],[CODIGO]]</f>
        <v>290</v>
      </c>
      <c r="P339" s="26">
        <f>R339/Q339*1000</f>
        <v>29692.307692307695</v>
      </c>
      <c r="Q339" s="22">
        <f>K339</f>
        <v>3900</v>
      </c>
      <c r="R339" s="27">
        <v>115800</v>
      </c>
      <c r="S339" s="22" t="s">
        <v>886</v>
      </c>
      <c r="T339" s="22" t="s">
        <v>555</v>
      </c>
      <c r="U339">
        <v>149000</v>
      </c>
      <c r="V339" s="79">
        <v>0</v>
      </c>
    </row>
    <row r="340" spans="1:22" s="10" customFormat="1" x14ac:dyDescent="0.25">
      <c r="A340" s="21" cm="1">
        <f t="array" ref="A340">IFERROR(LOOKUP(2,1/([1]maestro!I:I=H340),[1]maestro!B:B),"")</f>
        <v>46034</v>
      </c>
      <c r="B340" s="22" t="str">
        <f>TEXT(A340,"mmmm")</f>
        <v>enero</v>
      </c>
      <c r="C340" s="23">
        <v>291</v>
      </c>
      <c r="D340" s="22" t="s">
        <v>887</v>
      </c>
      <c r="E340" s="24" t="str">
        <f>PROPER(D340)</f>
        <v>Wilton Arley Castro Lopez</v>
      </c>
      <c r="F340" s="22"/>
      <c r="G340" s="25" t="str">
        <f>CONCATENATE($G$1,H340)</f>
        <v>573112675200</v>
      </c>
      <c r="H340" s="24">
        <v>3112675200</v>
      </c>
      <c r="I340" s="24">
        <v>200</v>
      </c>
      <c r="J340" s="24">
        <v>600</v>
      </c>
      <c r="K340" s="24">
        <f>25*200</f>
        <v>5000</v>
      </c>
      <c r="L340" s="24">
        <f>K340/I340</f>
        <v>25</v>
      </c>
      <c r="M340" s="24">
        <f>K340/J340</f>
        <v>8.3333333333333339</v>
      </c>
      <c r="N340" s="28">
        <f>(A340+M340)</f>
        <v>46042.333333333336</v>
      </c>
      <c r="O340" s="24">
        <f>+Tabla2[[#This Row],[CODIGO]]</f>
        <v>291</v>
      </c>
      <c r="P340" s="26">
        <f>R340/Q340*1000</f>
        <v>25000</v>
      </c>
      <c r="Q340" s="22">
        <f>K340</f>
        <v>5000</v>
      </c>
      <c r="R340" s="30">
        <v>125000</v>
      </c>
      <c r="S340" s="22" t="s">
        <v>888</v>
      </c>
      <c r="T340" s="22" t="s">
        <v>889</v>
      </c>
      <c r="U340">
        <v>0</v>
      </c>
      <c r="V340" s="79">
        <v>0</v>
      </c>
    </row>
    <row r="341" spans="1:22" s="10" customFormat="1" x14ac:dyDescent="0.25">
      <c r="A341" s="21" cm="1">
        <f t="array" ref="A341">IFERROR(LOOKUP(2,1/([1]maestro!I:I=H341),[1]maestro!B:B),"")</f>
        <v>46040</v>
      </c>
      <c r="B341" s="22" t="str">
        <f>TEXT(A341,"mmmm")</f>
        <v>enero</v>
      </c>
      <c r="C341" s="23">
        <v>292</v>
      </c>
      <c r="D341" s="22" t="s">
        <v>890</v>
      </c>
      <c r="E341" s="24" t="str">
        <f>PROPER(D341)</f>
        <v>Ximena Hernandez Hernandez</v>
      </c>
      <c r="F341" s="22"/>
      <c r="G341" s="25" t="str">
        <f>CONCATENATE($G$1,H341)</f>
        <v>573003480265</v>
      </c>
      <c r="H341" s="24">
        <v>3003480265</v>
      </c>
      <c r="I341" s="24">
        <v>195</v>
      </c>
      <c r="J341" s="24">
        <v>390</v>
      </c>
      <c r="K341" s="24">
        <f>30*195</f>
        <v>5850</v>
      </c>
      <c r="L341" s="24">
        <f>K341/I341</f>
        <v>30</v>
      </c>
      <c r="M341" s="24">
        <f>K341/J341</f>
        <v>15</v>
      </c>
      <c r="N341" s="28">
        <f>(A341+M341)</f>
        <v>46055</v>
      </c>
      <c r="O341" s="24">
        <f>+Tabla2[[#This Row],[CODIGO]]</f>
        <v>292</v>
      </c>
      <c r="P341" s="26">
        <f>R341/Q341*1000</f>
        <v>29000</v>
      </c>
      <c r="Q341" s="22">
        <f>K341</f>
        <v>5850</v>
      </c>
      <c r="R341" s="30">
        <v>169650</v>
      </c>
      <c r="S341" s="22" t="s">
        <v>891</v>
      </c>
      <c r="T341" s="22" t="s">
        <v>892</v>
      </c>
      <c r="U341">
        <v>0</v>
      </c>
      <c r="V341" s="79">
        <v>0</v>
      </c>
    </row>
    <row r="342" spans="1:22" s="22" customFormat="1" x14ac:dyDescent="0.25">
      <c r="A342" s="9" t="str" cm="1">
        <f t="array" ref="A342">IFERROR(LOOKUP(2,1/([1]maestro!I:I=H342),[1]maestro!B:B),"")</f>
        <v/>
      </c>
      <c r="B342" s="10" t="str">
        <f>TEXT(A342,"mmmm")</f>
        <v/>
      </c>
      <c r="C342" s="11">
        <v>293</v>
      </c>
      <c r="D342" s="12" t="s">
        <v>893</v>
      </c>
      <c r="E342" s="13" t="str">
        <f>PROPER(D342)</f>
        <v xml:space="preserve">Yaneth Ceron </v>
      </c>
      <c r="F342" s="10"/>
      <c r="G342" s="14" t="str">
        <f>CONCATENATE($G$1,H342)</f>
        <v>573104882843</v>
      </c>
      <c r="H342" s="13">
        <v>3104882843</v>
      </c>
      <c r="I342" s="15">
        <v>90</v>
      </c>
      <c r="J342" s="15">
        <v>180</v>
      </c>
      <c r="K342" s="15">
        <f>+J342*7</f>
        <v>1260</v>
      </c>
      <c r="L342" s="16">
        <f>K342/I342</f>
        <v>14</v>
      </c>
      <c r="M342" s="17">
        <f>K342/J342</f>
        <v>7</v>
      </c>
      <c r="N342" s="18" t="e">
        <f>(A342+M342)</f>
        <v>#VALUE!</v>
      </c>
      <c r="O342" s="13">
        <f>+Tabla2[[#This Row],[CODIGO]]</f>
        <v>293</v>
      </c>
      <c r="P342" s="19">
        <f>R342/Q342*1000</f>
        <v>101746.03174603175</v>
      </c>
      <c r="Q342" s="10">
        <f>K342</f>
        <v>1260</v>
      </c>
      <c r="R342" s="20">
        <v>128200</v>
      </c>
      <c r="S342" s="36" t="s">
        <v>894</v>
      </c>
      <c r="T342" s="10" t="s">
        <v>895</v>
      </c>
      <c r="U342">
        <v>0</v>
      </c>
      <c r="V342" s="79">
        <v>0</v>
      </c>
    </row>
    <row r="343" spans="1:22" s="22" customFormat="1" x14ac:dyDescent="0.25">
      <c r="A343" s="9" t="str" cm="1">
        <f t="array" ref="A343">IFERROR(LOOKUP(2,1/([1]maestro!I:I=H343),[1]maestro!B:B),"")</f>
        <v/>
      </c>
      <c r="B343" s="10" t="str">
        <f>TEXT(A343,"mmmm")</f>
        <v/>
      </c>
      <c r="C343" s="11">
        <v>295</v>
      </c>
      <c r="D343" s="12" t="s">
        <v>899</v>
      </c>
      <c r="E343" s="13" t="str">
        <f>PROPER(D343)</f>
        <v>Yeimmy Johanna Esteban</v>
      </c>
      <c r="F343" s="10"/>
      <c r="G343" s="14" t="str">
        <f>CONCATENATE($G$1,H343)</f>
        <v>573138501160</v>
      </c>
      <c r="H343" s="13">
        <v>3138501160</v>
      </c>
      <c r="I343" s="15">
        <v>45</v>
      </c>
      <c r="J343" s="15">
        <v>90</v>
      </c>
      <c r="K343" s="15">
        <f>+J343*15</f>
        <v>1350</v>
      </c>
      <c r="L343" s="16">
        <f>K343/I343</f>
        <v>30</v>
      </c>
      <c r="M343" s="17">
        <f>K343/J343</f>
        <v>15</v>
      </c>
      <c r="N343" s="18" t="e">
        <f>(A343+M343)</f>
        <v>#VALUE!</v>
      </c>
      <c r="O343" s="13">
        <f>+Tabla2[[#This Row],[CODIGO]]</f>
        <v>295</v>
      </c>
      <c r="P343" s="19">
        <f>R343/Q343*1000</f>
        <v>55037.037037037036</v>
      </c>
      <c r="Q343" s="10">
        <f>K343</f>
        <v>1350</v>
      </c>
      <c r="R343" s="20">
        <v>74300</v>
      </c>
      <c r="S343" s="10" t="s">
        <v>900</v>
      </c>
      <c r="T343" s="10" t="s">
        <v>901</v>
      </c>
      <c r="U343">
        <v>0</v>
      </c>
      <c r="V343" s="79">
        <v>0</v>
      </c>
    </row>
    <row r="344" spans="1:22" s="10" customFormat="1" x14ac:dyDescent="0.25">
      <c r="A344" s="21" cm="1">
        <f t="array" ref="A344">IFERROR(LOOKUP(2,1/([1]maestro!I:I=H344),[1]maestro!B:B),"")</f>
        <v>46041</v>
      </c>
      <c r="B344" s="22" t="str">
        <f>TEXT(A344,"mmmm")</f>
        <v>enero</v>
      </c>
      <c r="C344" s="23">
        <v>296</v>
      </c>
      <c r="D344" s="32" t="s">
        <v>902</v>
      </c>
      <c r="E344" s="24" t="str">
        <f>PROPER(D344)</f>
        <v xml:space="preserve">Yeimy Cadena </v>
      </c>
      <c r="F344" s="22"/>
      <c r="G344" s="25" t="str">
        <f>CONCATENATE($G$1,H344)</f>
        <v>573115912750</v>
      </c>
      <c r="H344" s="24">
        <v>3115912750</v>
      </c>
      <c r="I344" s="33">
        <v>40</v>
      </c>
      <c r="J344" s="33">
        <v>80</v>
      </c>
      <c r="K344" s="33">
        <f>+J344*15</f>
        <v>1200</v>
      </c>
      <c r="L344" s="34">
        <f>K344/I344</f>
        <v>30</v>
      </c>
      <c r="M344" s="35">
        <f>K344/J344</f>
        <v>15</v>
      </c>
      <c r="N344" s="28">
        <f>(A344+M344)</f>
        <v>46056</v>
      </c>
      <c r="O344" s="24">
        <f>+Tabla2[[#This Row],[CODIGO]]</f>
        <v>296</v>
      </c>
      <c r="P344" s="26">
        <f>R344/Q344*1000</f>
        <v>56250</v>
      </c>
      <c r="Q344" s="22">
        <f>K344</f>
        <v>1200</v>
      </c>
      <c r="R344" s="27">
        <v>67500</v>
      </c>
      <c r="S344" s="22" t="s">
        <v>903</v>
      </c>
      <c r="T344" s="22" t="s">
        <v>904</v>
      </c>
      <c r="U344">
        <v>0</v>
      </c>
      <c r="V344" s="79">
        <v>0</v>
      </c>
    </row>
    <row r="345" spans="1:22" s="10" customFormat="1" x14ac:dyDescent="0.25">
      <c r="A345" s="9" t="str" cm="1">
        <f t="array" ref="A345">IFERROR(LOOKUP(2,1/([1]maestro!I:I=H345),[1]maestro!B:B),"")</f>
        <v/>
      </c>
      <c r="B345" s="10" t="str">
        <f>TEXT(A345,"mmmm")</f>
        <v/>
      </c>
      <c r="C345" s="11">
        <v>297</v>
      </c>
      <c r="D345" s="10" t="s">
        <v>905</v>
      </c>
      <c r="E345" s="13" t="str">
        <f>PROPER(D345)</f>
        <v>Yeiny Pinzon 180</v>
      </c>
      <c r="G345" s="14" t="str">
        <f>CONCATENATE($G$1,H345)</f>
        <v>573012354331</v>
      </c>
      <c r="H345" s="13">
        <v>3012354331</v>
      </c>
      <c r="I345" s="13">
        <v>180</v>
      </c>
      <c r="J345" s="13">
        <f>+I345*3</f>
        <v>540</v>
      </c>
      <c r="K345" s="13">
        <f>540*15</f>
        <v>8100</v>
      </c>
      <c r="L345" s="13">
        <f>K345/I345</f>
        <v>45</v>
      </c>
      <c r="M345" s="13">
        <f>K345/J345</f>
        <v>15</v>
      </c>
      <c r="N345" s="18" t="e">
        <f>(A345+M345)</f>
        <v>#VALUE!</v>
      </c>
      <c r="O345" s="13">
        <f>+Tabla2[[#This Row],[CODIGO]]</f>
        <v>297</v>
      </c>
      <c r="P345" s="19">
        <f>R345/Q345*1000</f>
        <v>20000</v>
      </c>
      <c r="Q345" s="10">
        <f>K345</f>
        <v>8100</v>
      </c>
      <c r="R345" s="20">
        <v>162000</v>
      </c>
      <c r="S345" s="10" t="s">
        <v>906</v>
      </c>
      <c r="T345" s="10" t="s">
        <v>907</v>
      </c>
      <c r="U345">
        <v>0</v>
      </c>
      <c r="V345" s="79">
        <v>0</v>
      </c>
    </row>
    <row r="346" spans="1:22" s="10" customFormat="1" x14ac:dyDescent="0.25">
      <c r="A346" s="9" t="str" cm="1">
        <f t="array" ref="A346">IFERROR(LOOKUP(2,1/([1]maestro!I:I=H346),[1]maestro!B:B),"")</f>
        <v/>
      </c>
      <c r="B346" s="10" t="str">
        <f>TEXT(A346,"mmmm")</f>
        <v/>
      </c>
      <c r="C346" s="11">
        <v>297</v>
      </c>
      <c r="D346" s="10" t="s">
        <v>908</v>
      </c>
      <c r="E346" s="13" t="str">
        <f>PROPER(D346)</f>
        <v>Yeiny Pinzon 50</v>
      </c>
      <c r="G346" s="14" t="str">
        <f>CONCATENATE($G$1,H346)</f>
        <v>573012354331</v>
      </c>
      <c r="H346" s="13">
        <v>3012354331</v>
      </c>
      <c r="I346" s="13">
        <v>50</v>
      </c>
      <c r="J346" s="13">
        <v>150</v>
      </c>
      <c r="K346" s="13">
        <f>+J346*15</f>
        <v>2250</v>
      </c>
      <c r="L346" s="13">
        <f>K346/I346</f>
        <v>45</v>
      </c>
      <c r="M346" s="13">
        <f>K346/J346</f>
        <v>15</v>
      </c>
      <c r="N346" s="18" t="e">
        <f>(A346+M346)</f>
        <v>#VALUE!</v>
      </c>
      <c r="O346" s="13">
        <f>+Tabla2[[#This Row],[CODIGO]]</f>
        <v>297</v>
      </c>
      <c r="P346" s="19">
        <f>R346/Q346*1000</f>
        <v>20000</v>
      </c>
      <c r="Q346" s="10">
        <f>K346</f>
        <v>2250</v>
      </c>
      <c r="R346" s="20">
        <v>45000</v>
      </c>
      <c r="S346" s="10" t="s">
        <v>906</v>
      </c>
      <c r="T346" s="10" t="s">
        <v>907</v>
      </c>
      <c r="U346">
        <v>0</v>
      </c>
      <c r="V346" s="79">
        <v>0</v>
      </c>
    </row>
    <row r="347" spans="1:22" s="10" customFormat="1" x14ac:dyDescent="0.25">
      <c r="A347" s="9" t="str" cm="1">
        <f t="array" ref="A347">IFERROR(LOOKUP(2,1/([1]maestro!I:I=H347),[1]maestro!B:B),"")</f>
        <v/>
      </c>
      <c r="B347" s="10" t="str">
        <f>TEXT(A347,"mmmm")</f>
        <v/>
      </c>
      <c r="C347" s="11">
        <v>298</v>
      </c>
      <c r="D347" s="10" t="s">
        <v>909</v>
      </c>
      <c r="E347" s="13" t="str">
        <f>PROPER(D347)</f>
        <v>Yeison Peñuela</v>
      </c>
      <c r="G347" s="14" t="str">
        <f>CONCATENATE($G$1,H347)</f>
        <v>573118418305</v>
      </c>
      <c r="H347" s="13">
        <v>3118418305</v>
      </c>
      <c r="I347" s="15">
        <v>75</v>
      </c>
      <c r="J347" s="15">
        <v>150</v>
      </c>
      <c r="K347" s="15">
        <f>+J347*10</f>
        <v>1500</v>
      </c>
      <c r="L347" s="16">
        <f>K347/I347</f>
        <v>20</v>
      </c>
      <c r="M347" s="17">
        <f>K347/J347</f>
        <v>10</v>
      </c>
      <c r="N347" s="18" t="e">
        <f>(A347+M347)</f>
        <v>#VALUE!</v>
      </c>
      <c r="O347" s="13">
        <f>+Tabla2[[#This Row],[CODIGO]]</f>
        <v>298</v>
      </c>
      <c r="P347" s="19">
        <f>R347/Q347*1000</f>
        <v>55900</v>
      </c>
      <c r="Q347" s="10">
        <f>K347</f>
        <v>1500</v>
      </c>
      <c r="R347" s="20">
        <v>83850</v>
      </c>
      <c r="S347" s="36" t="s">
        <v>910</v>
      </c>
      <c r="U347">
        <v>0</v>
      </c>
      <c r="V347" s="79">
        <v>0</v>
      </c>
    </row>
    <row r="348" spans="1:22" s="10" customFormat="1" ht="15" customHeight="1" x14ac:dyDescent="0.25">
      <c r="A348" s="21" cm="1">
        <f t="array" ref="A348">IFERROR(LOOKUP(2,1/([1]maestro!I:I=H348),[1]maestro!B:B),"")</f>
        <v>46043</v>
      </c>
      <c r="B348" s="22" t="str">
        <f>TEXT(A348,"mmmm")</f>
        <v>enero</v>
      </c>
      <c r="C348" s="23">
        <v>300</v>
      </c>
      <c r="D348" s="32" t="s">
        <v>913</v>
      </c>
      <c r="E348" s="24" t="str">
        <f>PROPER(D348)</f>
        <v>Yolanda Fernández</v>
      </c>
      <c r="F348" s="22"/>
      <c r="G348" s="25" t="str">
        <f>CONCATENATE($G$1,H348)</f>
        <v>573162393410</v>
      </c>
      <c r="H348" s="24">
        <v>3162393410</v>
      </c>
      <c r="I348" s="33">
        <v>50</v>
      </c>
      <c r="J348" s="33">
        <v>150</v>
      </c>
      <c r="K348" s="33">
        <f>+J348*15</f>
        <v>2250</v>
      </c>
      <c r="L348" s="34">
        <f>K348/I348</f>
        <v>45</v>
      </c>
      <c r="M348" s="35">
        <f>K348/J348</f>
        <v>15</v>
      </c>
      <c r="N348" s="28">
        <f>(A348+M348)</f>
        <v>46058</v>
      </c>
      <c r="O348" s="24">
        <f>+Tabla2[[#This Row],[CODIGO]]</f>
        <v>300</v>
      </c>
      <c r="P348" s="26">
        <f>R348/Q348*1000</f>
        <v>36866.666666666664</v>
      </c>
      <c r="Q348" s="22">
        <f>K348</f>
        <v>2250</v>
      </c>
      <c r="R348" s="27">
        <v>82950</v>
      </c>
      <c r="S348" s="22" t="s">
        <v>914</v>
      </c>
      <c r="T348" s="22" t="s">
        <v>915</v>
      </c>
      <c r="U348">
        <v>0</v>
      </c>
      <c r="V348" s="79">
        <v>0</v>
      </c>
    </row>
    <row r="349" spans="1:22" s="10" customFormat="1" x14ac:dyDescent="0.25">
      <c r="A349" s="9" cm="1">
        <f t="array" ref="A349">IFERROR(LOOKUP(2,1/([1]maestro!I:I=H349),[1]maestro!B:B),"")</f>
        <v>46052</v>
      </c>
      <c r="B349" s="10" t="str">
        <f>TEXT(A349,"mmmm")</f>
        <v>enero</v>
      </c>
      <c r="C349" s="11">
        <v>301</v>
      </c>
      <c r="D349" s="12" t="s">
        <v>916</v>
      </c>
      <c r="E349" s="13" t="str">
        <f>PROPER(D349)</f>
        <v>Yolanda Matiz Vasquez</v>
      </c>
      <c r="G349" s="14" t="str">
        <f>CONCATENATE('[1]Clientes Inactivos'!$G$1,H349)</f>
        <v>573176485204</v>
      </c>
      <c r="H349" s="13">
        <v>3176485204</v>
      </c>
      <c r="I349" s="15">
        <v>230</v>
      </c>
      <c r="J349" s="15">
        <v>460</v>
      </c>
      <c r="K349" s="15">
        <f>+J349*10</f>
        <v>4600</v>
      </c>
      <c r="L349" s="16">
        <f>K349/I349</f>
        <v>20</v>
      </c>
      <c r="M349" s="17">
        <f>K349/J349</f>
        <v>10</v>
      </c>
      <c r="N349" s="18">
        <f>(A349+M349)</f>
        <v>46062</v>
      </c>
      <c r="O349" s="13">
        <f>+Tabla2[[#This Row],[CODIGO]]</f>
        <v>301</v>
      </c>
      <c r="P349" s="19">
        <f>R349/Q349*1000</f>
        <v>42173.913043478256</v>
      </c>
      <c r="Q349" s="10">
        <f>K349</f>
        <v>4600</v>
      </c>
      <c r="R349" s="20">
        <v>194000</v>
      </c>
      <c r="S349" s="10" t="s">
        <v>917</v>
      </c>
      <c r="T349" s="10" t="s">
        <v>918</v>
      </c>
      <c r="U349">
        <v>0</v>
      </c>
      <c r="V349" s="79">
        <v>0</v>
      </c>
    </row>
    <row r="350" spans="1:22" s="22" customFormat="1" x14ac:dyDescent="0.25">
      <c r="A350" s="21" cm="1">
        <f t="array" ref="A350">IFERROR(LOOKUP(2,1/([1]maestro!I:I=H350),[1]maestro!B:B),"")</f>
        <v>46044</v>
      </c>
      <c r="B350" s="22" t="str">
        <f>TEXT(A350,"mmmm")</f>
        <v>enero</v>
      </c>
      <c r="C350" s="23">
        <v>288</v>
      </c>
      <c r="D350" s="22" t="s">
        <v>879</v>
      </c>
      <c r="E350" s="24" t="str">
        <f>PROPER(D350)</f>
        <v>Veronica Ruiz 250</v>
      </c>
      <c r="G350" s="25" t="str">
        <f>CONCATENATE($G$1,H350)</f>
        <v>57305 8888999</v>
      </c>
      <c r="H350" s="24" t="s">
        <v>880</v>
      </c>
      <c r="I350" s="24">
        <v>250</v>
      </c>
      <c r="J350" s="24">
        <v>250</v>
      </c>
      <c r="K350" s="24">
        <f>250*15</f>
        <v>3750</v>
      </c>
      <c r="L350" s="24">
        <f>K350/I350</f>
        <v>15</v>
      </c>
      <c r="M350" s="24">
        <f>K350/J350</f>
        <v>15</v>
      </c>
      <c r="N350" s="28">
        <f>(A350+M350)</f>
        <v>46059</v>
      </c>
      <c r="O350" s="24">
        <f>+Tabla2[[#This Row],[CODIGO]]</f>
        <v>288</v>
      </c>
      <c r="P350" s="26">
        <f>R350/Q350*1000</f>
        <v>24000</v>
      </c>
      <c r="Q350" s="22">
        <f>K350</f>
        <v>3750</v>
      </c>
      <c r="R350" s="27">
        <v>90000</v>
      </c>
      <c r="S350" s="22" t="s">
        <v>881</v>
      </c>
      <c r="T350" s="22" t="s">
        <v>882</v>
      </c>
      <c r="U350">
        <v>0</v>
      </c>
      <c r="V350" s="79">
        <v>90000</v>
      </c>
    </row>
    <row r="351" spans="1:22" s="10" customFormat="1" x14ac:dyDescent="0.25">
      <c r="A351" s="21" cm="1">
        <f t="array" ref="A351">IFERROR(LOOKUP(2,1/([1]maestro!I:I=H351),[1]maestro!B:B),"")</f>
        <v>46036</v>
      </c>
      <c r="B351" s="22" t="str">
        <f>TEXT(A351,"mmmm")</f>
        <v>enero</v>
      </c>
      <c r="C351" s="23">
        <v>302</v>
      </c>
      <c r="D351" s="22" t="s">
        <v>919</v>
      </c>
      <c r="E351" s="24" t="str">
        <f>PROPER(D351)</f>
        <v>Yury Mora</v>
      </c>
      <c r="F351" s="22"/>
      <c r="G351" s="25" t="str">
        <f>CONCATENATE($G$1,H351)</f>
        <v>573214527779</v>
      </c>
      <c r="H351" s="24">
        <v>3214527779</v>
      </c>
      <c r="I351" s="24">
        <v>250</v>
      </c>
      <c r="J351" s="24">
        <v>250</v>
      </c>
      <c r="K351" s="24">
        <v>7500</v>
      </c>
      <c r="L351" s="24">
        <f>K351/I351</f>
        <v>30</v>
      </c>
      <c r="M351" s="24">
        <f>K351/J351</f>
        <v>30</v>
      </c>
      <c r="N351" s="28">
        <f>(A351+M351)</f>
        <v>46066</v>
      </c>
      <c r="O351" s="24">
        <f>+Tabla2[[#This Row],[CODIGO]]</f>
        <v>302</v>
      </c>
      <c r="P351" s="26">
        <f>R351/Q351*1000</f>
        <v>27600</v>
      </c>
      <c r="Q351" s="22">
        <f>K351</f>
        <v>7500</v>
      </c>
      <c r="R351" s="30">
        <v>207000</v>
      </c>
      <c r="S351" s="22" t="s">
        <v>920</v>
      </c>
      <c r="T351" s="22" t="s">
        <v>732</v>
      </c>
      <c r="U351">
        <v>0</v>
      </c>
      <c r="V351" s="79">
        <v>0</v>
      </c>
    </row>
    <row r="352" spans="1:22" s="10" customFormat="1" x14ac:dyDescent="0.25">
      <c r="A352" s="9" t="str" cm="1">
        <f t="array" ref="A352">IFERROR(LOOKUP(2,1/([1]maestro!I:I=H352),[1]maestro!B:B),"")</f>
        <v/>
      </c>
      <c r="B352" s="10" t="str">
        <f>TEXT(A352,"mmmm")</f>
        <v/>
      </c>
      <c r="C352" s="11">
        <v>303</v>
      </c>
      <c r="D352" s="10" t="s">
        <v>921</v>
      </c>
      <c r="E352" s="13" t="str">
        <f>PROPER(D352)</f>
        <v>Zharith Meliza Velandia Hernández</v>
      </c>
      <c r="F352" s="83"/>
      <c r="G352" s="14" t="str">
        <f>CONCATENATE('[1]Clientes Inactivos'!$G$1,H352)</f>
        <v>573017419790</v>
      </c>
      <c r="H352" s="13">
        <v>3017419790</v>
      </c>
      <c r="I352" s="13">
        <v>120</v>
      </c>
      <c r="J352" s="13">
        <v>240</v>
      </c>
      <c r="K352" s="13">
        <f>+J352*15</f>
        <v>3600</v>
      </c>
      <c r="L352" s="13">
        <f>K352/I352</f>
        <v>30</v>
      </c>
      <c r="M352" s="13">
        <f>K352/J352</f>
        <v>15</v>
      </c>
      <c r="N352" s="18" t="e">
        <f>(A352+M352)</f>
        <v>#VALUE!</v>
      </c>
      <c r="O352" s="13">
        <f>+Tabla2[[#This Row],[CODIGO]]</f>
        <v>303</v>
      </c>
      <c r="P352" s="19">
        <f>R352/Q352*1000</f>
        <v>37500</v>
      </c>
      <c r="Q352" s="10">
        <f>K352</f>
        <v>3600</v>
      </c>
      <c r="R352" s="20">
        <v>135000</v>
      </c>
      <c r="S352" s="10" t="s">
        <v>922</v>
      </c>
      <c r="T352" s="10" t="s">
        <v>923</v>
      </c>
      <c r="U352">
        <v>0</v>
      </c>
      <c r="V352" s="79">
        <v>0</v>
      </c>
    </row>
    <row r="353" spans="1:22" s="10" customFormat="1" x14ac:dyDescent="0.25">
      <c r="A353" s="9" cm="1">
        <f t="array" ref="A353">IFERROR(LOOKUP(2,1/([1]maestro!I:I=H353),[1]maestro!B:B),"")</f>
        <v>0</v>
      </c>
      <c r="B353" s="10" t="str">
        <f>TEXT(A353,"mmmm")</f>
        <v>enero</v>
      </c>
      <c r="C353" s="11">
        <v>304</v>
      </c>
      <c r="D353" s="12" t="s">
        <v>924</v>
      </c>
      <c r="E353" s="13" t="str">
        <f>PROPER(D353)</f>
        <v>Zippol</v>
      </c>
      <c r="G353" s="14" t="str">
        <f>CONCATENATE($G$1,H353)</f>
        <v>57</v>
      </c>
      <c r="H353" s="13"/>
      <c r="I353" s="15">
        <v>0</v>
      </c>
      <c r="J353" s="15">
        <v>0</v>
      </c>
      <c r="K353" s="15">
        <f>+J353*7</f>
        <v>0</v>
      </c>
      <c r="L353" s="16">
        <v>0</v>
      </c>
      <c r="M353" s="17">
        <v>0</v>
      </c>
      <c r="N353" s="18">
        <v>0</v>
      </c>
      <c r="O353" s="13">
        <f>+Tabla2[[#This Row],[CODIGO]]</f>
        <v>304</v>
      </c>
      <c r="P353" s="19">
        <v>0</v>
      </c>
      <c r="Q353" s="10">
        <f>K353</f>
        <v>0</v>
      </c>
      <c r="R353" s="20"/>
      <c r="T353" s="10" t="s">
        <v>925</v>
      </c>
      <c r="U353">
        <v>0</v>
      </c>
      <c r="V353" s="79">
        <v>0</v>
      </c>
    </row>
    <row r="354" spans="1:22" s="10" customFormat="1" x14ac:dyDescent="0.25">
      <c r="A354" s="9" t="str" cm="1">
        <f t="array" ref="A354">IFERROR(LOOKUP(2,1/([1]maestro!I:I=H354),[1]maestro!B:B),"")</f>
        <v/>
      </c>
      <c r="B354" s="10" t="str">
        <f>TEXT(A354,"mmmm")</f>
        <v/>
      </c>
      <c r="C354" s="11">
        <v>306</v>
      </c>
      <c r="D354" s="12" t="s">
        <v>929</v>
      </c>
      <c r="E354" s="13" t="str">
        <f>PROPER(D354)</f>
        <v>Gonzalo Tellez Oviedo</v>
      </c>
      <c r="G354" s="14" t="str">
        <f>CONCATENATE($G$1,H354)</f>
        <v>573502492255</v>
      </c>
      <c r="H354" s="13">
        <v>3502492255</v>
      </c>
      <c r="I354" s="15">
        <v>50</v>
      </c>
      <c r="J354" s="15">
        <f>50*3</f>
        <v>150</v>
      </c>
      <c r="K354" s="15">
        <f>+J354*15</f>
        <v>2250</v>
      </c>
      <c r="L354" s="16">
        <f>K354/I354</f>
        <v>45</v>
      </c>
      <c r="M354" s="17">
        <f>K354/J354</f>
        <v>15</v>
      </c>
      <c r="N354" s="18" t="e">
        <f>(A354+M354)</f>
        <v>#VALUE!</v>
      </c>
      <c r="O354" s="13">
        <f>+Tabla2[[#This Row],[CODIGO]]</f>
        <v>306</v>
      </c>
      <c r="P354" s="19">
        <f>R354/Q354*1000</f>
        <v>18133.333333333332</v>
      </c>
      <c r="Q354" s="10">
        <f>K354</f>
        <v>2250</v>
      </c>
      <c r="R354" s="20">
        <v>40800</v>
      </c>
      <c r="S354" s="10" t="s">
        <v>930</v>
      </c>
      <c r="U354">
        <v>0</v>
      </c>
      <c r="V354" s="79">
        <v>0</v>
      </c>
    </row>
    <row r="355" spans="1:22" s="10" customFormat="1" x14ac:dyDescent="0.25">
      <c r="A355" s="65" cm="1">
        <f t="array" ref="A355">IFERROR(LOOKUP(2,1/([1]maestro!I:I=H355),[1]maestro!B:B),"")</f>
        <v>0</v>
      </c>
      <c r="B355" t="str">
        <f>TEXT(A355,"mmmm")</f>
        <v>enero</v>
      </c>
      <c r="C355" s="66">
        <v>307</v>
      </c>
      <c r="D355" s="67" t="s">
        <v>931</v>
      </c>
      <c r="E355" s="68" t="str">
        <f>PROPER(D355)</f>
        <v>Saldo Abandonado</v>
      </c>
      <c r="F355"/>
      <c r="G355" s="69" t="str">
        <f>CONCATENATE($G$1,H355)</f>
        <v>57</v>
      </c>
      <c r="H355" s="68"/>
      <c r="I355" s="70"/>
      <c r="J355" s="70"/>
      <c r="K355" s="70">
        <f>+J355*7</f>
        <v>0</v>
      </c>
      <c r="L355" s="71" t="e">
        <f>K355/I355</f>
        <v>#DIV/0!</v>
      </c>
      <c r="M355" s="72" t="e">
        <f>K355/J355</f>
        <v>#DIV/0!</v>
      </c>
      <c r="N355" s="73" t="e">
        <f>(A355+M355)</f>
        <v>#DIV/0!</v>
      </c>
      <c r="O355" s="68">
        <f>+Tabla2[[#This Row],[CODIGO]]</f>
        <v>307</v>
      </c>
      <c r="P355" s="74" t="e">
        <f>R355/Q355*1000</f>
        <v>#DIV/0!</v>
      </c>
      <c r="Q355">
        <f>K355</f>
        <v>0</v>
      </c>
      <c r="R355" s="75"/>
      <c r="S355"/>
      <c r="T355"/>
      <c r="U355">
        <v>0</v>
      </c>
      <c r="V355" s="79">
        <v>0</v>
      </c>
    </row>
    <row r="356" spans="1:22" s="10" customFormat="1" x14ac:dyDescent="0.25">
      <c r="A356" s="65" cm="1">
        <f t="array" ref="A356">IFERROR(LOOKUP(2,1/([1]maestro!I:I=H356),[1]maestro!B:B),"")</f>
        <v>0</v>
      </c>
      <c r="B356" t="str">
        <f>TEXT(A356,"mmmm")</f>
        <v>enero</v>
      </c>
      <c r="C356" s="66">
        <v>308</v>
      </c>
      <c r="D356" s="67" t="s">
        <v>932</v>
      </c>
      <c r="E356" s="68" t="str">
        <f>PROPER(D356)</f>
        <v>Intereses</v>
      </c>
      <c r="F356"/>
      <c r="G356" s="69" t="str">
        <f>CONCATENATE($G$1,H356)</f>
        <v>57</v>
      </c>
      <c r="H356" s="68"/>
      <c r="I356" s="70"/>
      <c r="J356" s="70"/>
      <c r="K356" s="70">
        <f>+J356*7</f>
        <v>0</v>
      </c>
      <c r="L356" s="71" t="e">
        <f>K356/I356</f>
        <v>#DIV/0!</v>
      </c>
      <c r="M356" s="72" t="e">
        <f>K356/J356</f>
        <v>#DIV/0!</v>
      </c>
      <c r="N356" s="73" t="e">
        <f>(A356+M356)</f>
        <v>#DIV/0!</v>
      </c>
      <c r="O356" s="68">
        <f>+Tabla2[[#This Row],[CODIGO]]</f>
        <v>308</v>
      </c>
      <c r="P356" s="74" t="e">
        <f>R356/Q356*1000</f>
        <v>#DIV/0!</v>
      </c>
      <c r="Q356">
        <f>K356</f>
        <v>0</v>
      </c>
      <c r="R356" s="75"/>
      <c r="S356"/>
      <c r="T356"/>
      <c r="U356">
        <v>0</v>
      </c>
      <c r="V356" s="79">
        <v>0</v>
      </c>
    </row>
    <row r="357" spans="1:22" s="10" customFormat="1" x14ac:dyDescent="0.25">
      <c r="A357" s="65" cm="1">
        <f t="array" ref="A357">IFERROR(LOOKUP(2,1/([1]maestro!I:I=H357),[1]maestro!B:B),"")</f>
        <v>46042</v>
      </c>
      <c r="B357" t="str">
        <f>TEXT(A357,"mmmm")</f>
        <v>enero</v>
      </c>
      <c r="C357" s="66">
        <v>309</v>
      </c>
      <c r="D357" s="67" t="s">
        <v>933</v>
      </c>
      <c r="E357" s="68" t="str">
        <f>PROPER(D357)</f>
        <v>Andrea Fuquene</v>
      </c>
      <c r="F357"/>
      <c r="G357" s="69" t="str">
        <f>CONCATENATE($G$1,H357)</f>
        <v>573236121767</v>
      </c>
      <c r="H357" s="68">
        <v>3236121767</v>
      </c>
      <c r="I357" s="70">
        <v>50</v>
      </c>
      <c r="J357" s="70">
        <v>150</v>
      </c>
      <c r="K357" s="70">
        <f>+J357*15</f>
        <v>2250</v>
      </c>
      <c r="L357" s="71">
        <f>K357/I357</f>
        <v>45</v>
      </c>
      <c r="M357" s="72">
        <f>K357/J357</f>
        <v>15</v>
      </c>
      <c r="N357" s="73">
        <f>(A357+M357)</f>
        <v>46057</v>
      </c>
      <c r="O357" s="68">
        <f>+Tabla2[[#This Row],[CODIGO]]</f>
        <v>309</v>
      </c>
      <c r="P357" s="74">
        <f>R357/Q357*1000</f>
        <v>38666.666666666664</v>
      </c>
      <c r="Q357">
        <f>K357</f>
        <v>2250</v>
      </c>
      <c r="R357" s="75">
        <v>87000</v>
      </c>
      <c r="S357" t="s">
        <v>934</v>
      </c>
      <c r="T357"/>
      <c r="U357">
        <v>0</v>
      </c>
      <c r="V357" s="79">
        <v>0</v>
      </c>
    </row>
    <row r="358" spans="1:22" s="10" customFormat="1" x14ac:dyDescent="0.25">
      <c r="A358" s="65" cm="1">
        <f t="array" ref="A358">IFERROR(LOOKUP(2,1/([1]maestro!I:I=H358),[1]maestro!B:B),"")</f>
        <v>46043</v>
      </c>
      <c r="B358" t="str">
        <f>TEXT(A358,"mmmm")</f>
        <v>enero</v>
      </c>
      <c r="C358" s="11">
        <v>30</v>
      </c>
      <c r="D358" s="12" t="s">
        <v>937</v>
      </c>
      <c r="E358" s="68" t="str">
        <f>PROPER(D358)</f>
        <v>Anizoara Morales Diaz 160</v>
      </c>
      <c r="F358"/>
      <c r="G358" s="69" t="str">
        <f>CONCATENATE($G$1,H358)</f>
        <v>573004306563</v>
      </c>
      <c r="H358" s="13">
        <v>3004306563</v>
      </c>
      <c r="I358" s="70">
        <v>160</v>
      </c>
      <c r="J358" s="70">
        <v>480</v>
      </c>
      <c r="K358" s="70">
        <f>+J358*15</f>
        <v>7200</v>
      </c>
      <c r="L358" s="71">
        <f>K358/I358</f>
        <v>45</v>
      </c>
      <c r="M358" s="72">
        <f>K358/J358</f>
        <v>15</v>
      </c>
      <c r="N358" s="73">
        <f>(A358+M358)</f>
        <v>46058</v>
      </c>
      <c r="O358" s="68">
        <f>+Tabla2[[#This Row],[CODIGO]]</f>
        <v>30</v>
      </c>
      <c r="P358" s="74">
        <f>R358/Q358*1000</f>
        <v>36416.666666666664</v>
      </c>
      <c r="Q358">
        <f>K358</f>
        <v>7200</v>
      </c>
      <c r="R358" s="75">
        <v>262200</v>
      </c>
      <c r="S358" s="10" t="s">
        <v>112</v>
      </c>
      <c r="T358"/>
      <c r="U358">
        <v>0</v>
      </c>
      <c r="V358" s="79">
        <v>0</v>
      </c>
    </row>
    <row r="359" spans="1:22" s="10" customFormat="1" x14ac:dyDescent="0.25">
      <c r="A359" s="65" cm="1">
        <f t="array" ref="A359">IFERROR(LOOKUP(2,1/([1]maestro!I:I=H359),[1]maestro!B:B),"")</f>
        <v>46044</v>
      </c>
      <c r="B359" t="str">
        <f>TEXT(A359,"mmmm")</f>
        <v>enero</v>
      </c>
      <c r="C359" s="66">
        <v>312</v>
      </c>
      <c r="D359" s="67" t="s">
        <v>938</v>
      </c>
      <c r="E359" s="68" t="str">
        <f>PROPER(D359)</f>
        <v>Diana Homez</v>
      </c>
      <c r="F359"/>
      <c r="G359" s="69" t="str">
        <f>CONCATENATE($G$1,H359)</f>
        <v>573214355705</v>
      </c>
      <c r="H359" s="68">
        <v>3214355705</v>
      </c>
      <c r="I359" s="70">
        <v>60</v>
      </c>
      <c r="J359" s="70">
        <v>120</v>
      </c>
      <c r="K359" s="70">
        <f>+J359*15</f>
        <v>1800</v>
      </c>
      <c r="L359" s="71">
        <f>K359/I359</f>
        <v>30</v>
      </c>
      <c r="M359" s="72">
        <f>K359/J359</f>
        <v>15</v>
      </c>
      <c r="N359" s="73">
        <f>(A359+M359)</f>
        <v>46059</v>
      </c>
      <c r="O359" s="68">
        <f>+Tabla2[[#This Row],[CODIGO]]</f>
        <v>312</v>
      </c>
      <c r="P359" s="74">
        <f>R359/Q359*1000</f>
        <v>5555.5555555555557</v>
      </c>
      <c r="Q359">
        <f>K359</f>
        <v>1800</v>
      </c>
      <c r="R359" s="75">
        <v>10000</v>
      </c>
      <c r="S359" t="s">
        <v>939</v>
      </c>
      <c r="T359"/>
      <c r="U359">
        <v>0</v>
      </c>
      <c r="V359" s="79">
        <v>0</v>
      </c>
    </row>
    <row r="360" spans="1:22" s="10" customFormat="1" x14ac:dyDescent="0.25">
      <c r="A360" s="65">
        <v>46044</v>
      </c>
      <c r="B360" t="str">
        <f>TEXT(A360,"mmmm")</f>
        <v>enero</v>
      </c>
      <c r="C360" s="66">
        <v>313</v>
      </c>
      <c r="D360" s="67" t="s">
        <v>940</v>
      </c>
      <c r="E360" s="68" t="str">
        <f>PROPER(D360)</f>
        <v xml:space="preserve">Liseth Daniela Jimenez </v>
      </c>
      <c r="F360"/>
      <c r="G360" s="69" t="str">
        <f>CONCATENATE($G$1,H360)</f>
        <v>573124955069</v>
      </c>
      <c r="H360" s="68">
        <v>3124955069</v>
      </c>
      <c r="I360" s="70">
        <v>39</v>
      </c>
      <c r="J360" s="70">
        <f>39*2</f>
        <v>78</v>
      </c>
      <c r="K360" s="70">
        <f>+J360*7</f>
        <v>546</v>
      </c>
      <c r="L360" s="71">
        <f>K360/I360</f>
        <v>14</v>
      </c>
      <c r="M360" s="72">
        <f>K360/J360</f>
        <v>7</v>
      </c>
      <c r="N360" s="73">
        <f>(A360+M360)</f>
        <v>46051</v>
      </c>
      <c r="O360" s="68">
        <f>+Tabla2[[#This Row],[CODIGO]]</f>
        <v>313</v>
      </c>
      <c r="P360" s="74">
        <f>R360/Q360*1000</f>
        <v>36630.03663003663</v>
      </c>
      <c r="Q360">
        <f>K360</f>
        <v>546</v>
      </c>
      <c r="R360" s="75">
        <v>20000</v>
      </c>
      <c r="S360" t="s">
        <v>941</v>
      </c>
      <c r="T360" t="s">
        <v>942</v>
      </c>
      <c r="U360">
        <v>0</v>
      </c>
      <c r="V360" s="79">
        <v>0</v>
      </c>
    </row>
    <row r="361" spans="1:22" s="10" customFormat="1" ht="16.5" customHeight="1" x14ac:dyDescent="0.25">
      <c r="A361" s="65" cm="1">
        <f t="array" ref="A361">IFERROR(LOOKUP(2,1/([1]maestro!I:I=H361),[1]maestro!B:B),"")</f>
        <v>46048</v>
      </c>
      <c r="B361" t="str">
        <f>TEXT(A361,"mmmm")</f>
        <v>enero</v>
      </c>
      <c r="C361" s="66"/>
      <c r="D361" s="67" t="s">
        <v>945</v>
      </c>
      <c r="E361" s="68" t="str">
        <f>PROPER(D361)</f>
        <v>Kristell Escobar</v>
      </c>
      <c r="F361"/>
      <c r="G361" s="69" t="str">
        <f>CONCATENATE($G$1,H361)</f>
        <v>573150888802</v>
      </c>
      <c r="H361" s="68">
        <v>3150888802</v>
      </c>
      <c r="I361" s="70">
        <v>48</v>
      </c>
      <c r="J361" s="70">
        <v>145</v>
      </c>
      <c r="K361" s="70">
        <f>+J361*7</f>
        <v>1015</v>
      </c>
      <c r="L361" s="71">
        <f>K361/I361</f>
        <v>21.145833333333332</v>
      </c>
      <c r="M361" s="72">
        <f>K361/J361</f>
        <v>7</v>
      </c>
      <c r="N361" s="73">
        <f>(A361+M361)</f>
        <v>46055</v>
      </c>
      <c r="O361" s="68">
        <f>+Tabla2[[#This Row],[CODIGO]]</f>
        <v>0</v>
      </c>
      <c r="P361" s="74">
        <f>R361/Q361*1000</f>
        <v>9852.2167487684728</v>
      </c>
      <c r="Q361">
        <f>K361</f>
        <v>1015</v>
      </c>
      <c r="R361" s="75">
        <v>10000</v>
      </c>
      <c r="S361" t="s">
        <v>946</v>
      </c>
      <c r="T361"/>
      <c r="U361">
        <v>0</v>
      </c>
      <c r="V361" s="79">
        <v>0</v>
      </c>
    </row>
    <row r="362" spans="1:22" s="10" customFormat="1" x14ac:dyDescent="0.25">
      <c r="A362" s="65" cm="1">
        <f t="array" ref="A362">IFERROR(LOOKUP(2,1/([1]maestro!I:I=H362),[1]maestro!B:B),"")</f>
        <v>0</v>
      </c>
      <c r="B362" t="str">
        <f>TEXT(A362,"mmmm")</f>
        <v>enero</v>
      </c>
      <c r="C362" s="66"/>
      <c r="D362" s="67"/>
      <c r="E362" s="68" t="str">
        <f>PROPER(D362)</f>
        <v/>
      </c>
      <c r="F362"/>
      <c r="G362" s="69" t="str">
        <f>CONCATENATE($G$1,H362)</f>
        <v>57</v>
      </c>
      <c r="H362" s="68"/>
      <c r="I362" s="70"/>
      <c r="J362" s="70"/>
      <c r="K362" s="70">
        <f>+J362*7</f>
        <v>0</v>
      </c>
      <c r="L362" s="71" t="e">
        <f>K362/I362</f>
        <v>#DIV/0!</v>
      </c>
      <c r="M362" s="72" t="e">
        <f>K362/J362</f>
        <v>#DIV/0!</v>
      </c>
      <c r="N362" s="73" t="e">
        <f>(A362+M362)</f>
        <v>#DIV/0!</v>
      </c>
      <c r="O362" s="68">
        <f>+Tabla2[[#This Row],[CODIGO]]</f>
        <v>0</v>
      </c>
      <c r="P362" s="74" t="e">
        <f>R362/Q362*1000</f>
        <v>#DIV/0!</v>
      </c>
      <c r="Q362">
        <f>K362</f>
        <v>0</v>
      </c>
      <c r="R362" s="75"/>
      <c r="S362"/>
      <c r="T362"/>
      <c r="U362">
        <v>0</v>
      </c>
      <c r="V362" s="79">
        <v>0</v>
      </c>
    </row>
    <row r="363" spans="1:22" s="10" customFormat="1" x14ac:dyDescent="0.25">
      <c r="A363" s="65" cm="1">
        <f t="array" ref="A363">IFERROR(LOOKUP(2,1/([1]maestro!I:I=H363),[1]maestro!B:B),"")</f>
        <v>46042</v>
      </c>
      <c r="B363" t="str">
        <f>TEXT(A363,"mmmm")</f>
        <v>enero</v>
      </c>
      <c r="C363" s="66">
        <v>310</v>
      </c>
      <c r="D363" s="67" t="s">
        <v>935</v>
      </c>
      <c r="E363" s="68" t="str">
        <f>PROPER(D363)</f>
        <v>Ivonne Ávila</v>
      </c>
      <c r="F363"/>
      <c r="G363" s="69" t="str">
        <f>CONCATENATE($G$1,H363)</f>
        <v>573163365535</v>
      </c>
      <c r="H363" s="68">
        <v>3163365535</v>
      </c>
      <c r="I363" s="70">
        <v>100</v>
      </c>
      <c r="J363" s="70">
        <v>300</v>
      </c>
      <c r="K363" s="70">
        <f>+J363*7</f>
        <v>2100</v>
      </c>
      <c r="L363" s="71">
        <f>K363/I363</f>
        <v>21</v>
      </c>
      <c r="M363" s="72">
        <f>K363/J363</f>
        <v>7</v>
      </c>
      <c r="N363" s="73">
        <f>(A363+M363)</f>
        <v>46049</v>
      </c>
      <c r="O363" s="68">
        <f>+Tabla2[[#This Row],[CODIGO]]</f>
        <v>310</v>
      </c>
      <c r="P363" s="74">
        <f>R363/Q363*1000</f>
        <v>4761.9047619047615</v>
      </c>
      <c r="Q363">
        <f>K363</f>
        <v>2100</v>
      </c>
      <c r="R363" s="75">
        <v>10000</v>
      </c>
      <c r="S363" t="s">
        <v>936</v>
      </c>
      <c r="T363"/>
      <c r="U363">
        <v>0</v>
      </c>
      <c r="V363" s="79">
        <v>10000</v>
      </c>
    </row>
    <row r="364" spans="1:22" s="10" customFormat="1" x14ac:dyDescent="0.25">
      <c r="A364" s="65" cm="1">
        <f t="array" ref="A364">IFERROR(LOOKUP(2,1/([1]maestro!I:I=H364),[1]maestro!B:B),"")</f>
        <v>46045</v>
      </c>
      <c r="B364" t="str">
        <f>TEXT(A364,"mmmm")</f>
        <v>enero</v>
      </c>
      <c r="C364" s="66">
        <v>314</v>
      </c>
      <c r="D364" s="67" t="s">
        <v>943</v>
      </c>
      <c r="E364" s="68" t="str">
        <f>PROPER(D364)</f>
        <v>Dennis Escobar</v>
      </c>
      <c r="F364"/>
      <c r="G364" s="69" t="str">
        <f>CONCATENATE($G$1,H364)</f>
        <v>573203811083</v>
      </c>
      <c r="H364" s="68">
        <v>3203811083</v>
      </c>
      <c r="I364" s="70">
        <v>50</v>
      </c>
      <c r="J364" s="70">
        <v>150</v>
      </c>
      <c r="K364" s="70">
        <f>+J364*7</f>
        <v>1050</v>
      </c>
      <c r="L364" s="71">
        <f>K364/I364</f>
        <v>21</v>
      </c>
      <c r="M364" s="72">
        <f>K364/J364</f>
        <v>7</v>
      </c>
      <c r="N364" s="73">
        <f>(A364+M364)</f>
        <v>46052</v>
      </c>
      <c r="O364" s="68">
        <f>+Tabla2[[#This Row],[CODIGO]]</f>
        <v>314</v>
      </c>
      <c r="P364" s="74">
        <f>R364/Q364*1000</f>
        <v>9523.8095238095229</v>
      </c>
      <c r="Q364">
        <f>K364</f>
        <v>1050</v>
      </c>
      <c r="R364" s="75">
        <v>10000</v>
      </c>
      <c r="S364" t="s">
        <v>944</v>
      </c>
      <c r="T364"/>
      <c r="U364">
        <v>0</v>
      </c>
      <c r="V364" s="79">
        <v>10000</v>
      </c>
    </row>
    <row r="365" spans="1:22" s="10" customFormat="1" x14ac:dyDescent="0.25">
      <c r="A365" s="21" cm="1">
        <f t="array" ref="A365">IFERROR(LOOKUP(2,1/([1]maestro!I:I=H365),[1]maestro!B:B),"")</f>
        <v>46045</v>
      </c>
      <c r="B365" s="22" t="str">
        <f>TEXT(A365,"mmmm")</f>
        <v>enero</v>
      </c>
      <c r="C365" s="23">
        <v>210</v>
      </c>
      <c r="D365" s="22" t="s">
        <v>649</v>
      </c>
      <c r="E365" s="24" t="str">
        <f>PROPER(D365)</f>
        <v>Maria Alejandra Reina 145</v>
      </c>
      <c r="F365" s="22"/>
      <c r="G365" s="25" t="str">
        <f>CONCATENATE($G$1,H365)</f>
        <v>573174191530</v>
      </c>
      <c r="H365" s="24">
        <v>3174191530</v>
      </c>
      <c r="I365" s="33">
        <v>145</v>
      </c>
      <c r="J365" s="33">
        <v>145</v>
      </c>
      <c r="K365" s="33">
        <f>145*7</f>
        <v>1015</v>
      </c>
      <c r="L365" s="24">
        <f>K365/I365</f>
        <v>7</v>
      </c>
      <c r="M365" s="24">
        <f>K365/J365</f>
        <v>7</v>
      </c>
      <c r="N365" s="28">
        <f>(A365+M365)</f>
        <v>46052</v>
      </c>
      <c r="O365" s="24">
        <f>+Tabla2[[#This Row],[CODIGO]]</f>
        <v>210</v>
      </c>
      <c r="P365" s="26">
        <f>R365/Q365*1000</f>
        <v>40000</v>
      </c>
      <c r="Q365" s="22">
        <f>K365</f>
        <v>1015</v>
      </c>
      <c r="R365" s="30">
        <v>40600</v>
      </c>
      <c r="S365" s="22" t="s">
        <v>650</v>
      </c>
      <c r="T365" s="22" t="s">
        <v>651</v>
      </c>
      <c r="U365">
        <v>0</v>
      </c>
      <c r="V365" s="79">
        <v>0</v>
      </c>
    </row>
    <row r="366" spans="1:22" s="10" customFormat="1" x14ac:dyDescent="0.25">
      <c r="A366" s="21" cm="1">
        <f t="array" ref="A366">IFERROR(LOOKUP(2,1/([1]maestro!I:I=H366),[1]maestro!B:B),"")</f>
        <v>46045</v>
      </c>
      <c r="B366" s="22" t="str">
        <f>TEXT(A366,"mmmm")</f>
        <v>enero</v>
      </c>
      <c r="C366" s="23">
        <v>210</v>
      </c>
      <c r="D366" s="22" t="s">
        <v>652</v>
      </c>
      <c r="E366" s="24" t="str">
        <f>PROPER(D366)</f>
        <v>Maria Alejandra Reina 170</v>
      </c>
      <c r="F366" s="22"/>
      <c r="G366" s="25" t="str">
        <f>CONCATENATE($G$1,H366)</f>
        <v>573174191530</v>
      </c>
      <c r="H366" s="24">
        <v>3174191530</v>
      </c>
      <c r="I366" s="33">
        <v>170</v>
      </c>
      <c r="J366" s="33">
        <v>170</v>
      </c>
      <c r="K366" s="33">
        <f>7*170</f>
        <v>1190</v>
      </c>
      <c r="L366" s="24">
        <f>K366/I366</f>
        <v>7</v>
      </c>
      <c r="M366" s="24">
        <f>K366/J366</f>
        <v>7</v>
      </c>
      <c r="N366" s="28">
        <f>(A366+M366)</f>
        <v>46052</v>
      </c>
      <c r="O366" s="24">
        <f>+Tabla2[[#This Row],[CODIGO]]</f>
        <v>210</v>
      </c>
      <c r="P366" s="26">
        <f>R366/Q366*1000</f>
        <v>40000</v>
      </c>
      <c r="Q366" s="22">
        <f>K366</f>
        <v>1190</v>
      </c>
      <c r="R366" s="30">
        <v>47600</v>
      </c>
      <c r="S366" s="22" t="s">
        <v>650</v>
      </c>
      <c r="T366" s="22" t="s">
        <v>651</v>
      </c>
      <c r="U366">
        <v>0</v>
      </c>
      <c r="V366" s="79">
        <v>47600</v>
      </c>
    </row>
    <row r="367" spans="1:22" s="10" customFormat="1" x14ac:dyDescent="0.25">
      <c r="A367" s="21" cm="1">
        <f t="array" ref="A367">IFERROR(LOOKUP(2,1/([1]maestro!I:I=H367),[1]maestro!B:B),"")</f>
        <v>46045</v>
      </c>
      <c r="B367" s="22" t="str">
        <f>TEXT(A367,"mmmm")</f>
        <v>enero</v>
      </c>
      <c r="C367" s="23">
        <v>135</v>
      </c>
      <c r="D367" s="22" t="s">
        <v>426</v>
      </c>
      <c r="E367" s="24" t="str">
        <f>PROPER(D367)</f>
        <v>Jerson David Ortiz Puentes Auri</v>
      </c>
      <c r="F367" s="22"/>
      <c r="G367" s="22" t="str">
        <f>CONCATENATE($G$1,H367)</f>
        <v>573203909420</v>
      </c>
      <c r="H367" s="24">
        <v>3203909420</v>
      </c>
      <c r="I367" s="33">
        <v>50</v>
      </c>
      <c r="J367" s="33">
        <v>150</v>
      </c>
      <c r="K367" s="24">
        <f>Tabla2[[#This Row],[AL DIA]]*15</f>
        <v>2250</v>
      </c>
      <c r="L367" s="24">
        <f>K367/I367</f>
        <v>45</v>
      </c>
      <c r="M367" s="24">
        <f>K367/J367</f>
        <v>15</v>
      </c>
      <c r="N367" s="28">
        <f>(A367+M367)</f>
        <v>46060</v>
      </c>
      <c r="O367" s="24">
        <f>+Tabla2[[#This Row],[CODIGO]]</f>
        <v>135</v>
      </c>
      <c r="P367" s="26">
        <f>R367/Q367*1000</f>
        <v>15000</v>
      </c>
      <c r="Q367" s="22">
        <f>K367</f>
        <v>2250</v>
      </c>
      <c r="R367" s="26">
        <v>33750</v>
      </c>
      <c r="S367" s="22" t="s">
        <v>427</v>
      </c>
      <c r="T367" s="22" t="s">
        <v>364</v>
      </c>
      <c r="U367">
        <v>0</v>
      </c>
      <c r="V367" s="79">
        <v>65250</v>
      </c>
    </row>
    <row r="368" spans="1:22" s="10" customFormat="1" x14ac:dyDescent="0.25">
      <c r="A368" s="9" t="str" cm="1">
        <f t="array" ref="A368">IFERROR(LOOKUP(2,1/([1]maestro!I:I=H368),[1]maestro!B:B),"")</f>
        <v/>
      </c>
      <c r="B368" s="10" t="str">
        <f>TEXT(A368,"mmmm")</f>
        <v/>
      </c>
      <c r="C368" s="11">
        <v>305</v>
      </c>
      <c r="D368" s="12" t="s">
        <v>926</v>
      </c>
      <c r="E368" s="13" t="str">
        <f>PROPER(D368)</f>
        <v>Dog Sano Katerin Liz 200</v>
      </c>
      <c r="G368" s="14" t="str">
        <f>CONCATENATE($G$1,H368)</f>
        <v>573238165614</v>
      </c>
      <c r="H368" s="13">
        <v>3238165614</v>
      </c>
      <c r="I368" s="15">
        <v>200</v>
      </c>
      <c r="J368" s="15">
        <v>400</v>
      </c>
      <c r="K368" s="15">
        <f>+J368*15</f>
        <v>6000</v>
      </c>
      <c r="L368" s="16">
        <f>K368/I368</f>
        <v>30</v>
      </c>
      <c r="M368" s="17">
        <f>K368/J368</f>
        <v>15</v>
      </c>
      <c r="N368" s="18" t="e">
        <f>(A368+M368)</f>
        <v>#VALUE!</v>
      </c>
      <c r="O368" s="13">
        <f>+Tabla2[[#This Row],[CODIGO]]</f>
        <v>305</v>
      </c>
      <c r="P368" s="19">
        <f>R368/Q368*1000</f>
        <v>0</v>
      </c>
      <c r="Q368" s="10">
        <f>K368</f>
        <v>6000</v>
      </c>
      <c r="R368" s="20"/>
      <c r="S368" s="10" t="s">
        <v>927</v>
      </c>
      <c r="T368" s="10" t="s">
        <v>928</v>
      </c>
      <c r="U368">
        <v>0</v>
      </c>
      <c r="V368" s="79">
        <v>59650</v>
      </c>
    </row>
    <row r="369" spans="1:22" s="10" customFormat="1" x14ac:dyDescent="0.25">
      <c r="A369" s="21" cm="1">
        <f t="array" ref="A369">IFERROR(LOOKUP(2,1/([1]maestro!I:I=H369),[1]maestro!B:B),"")</f>
        <v>46045</v>
      </c>
      <c r="B369" s="22" t="str">
        <f>TEXT(A369,"mmmm")</f>
        <v>enero</v>
      </c>
      <c r="C369" s="23">
        <v>135</v>
      </c>
      <c r="D369" s="22" t="s">
        <v>428</v>
      </c>
      <c r="E369" s="24" t="str">
        <f>PROPER(D369)</f>
        <v>Jerson David Ortiz Puentes Dulce</v>
      </c>
      <c r="F369" s="22"/>
      <c r="G369" s="22" t="str">
        <f>CONCATENATE($G$1,H369)</f>
        <v>573203909420</v>
      </c>
      <c r="H369" s="24">
        <v>3203909420</v>
      </c>
      <c r="I369" s="33">
        <v>80</v>
      </c>
      <c r="J369" s="33">
        <v>160</v>
      </c>
      <c r="K369" s="24">
        <f>160*15</f>
        <v>2400</v>
      </c>
      <c r="L369" s="24">
        <f>K369/I369</f>
        <v>30</v>
      </c>
      <c r="M369" s="24">
        <f>K369/J369</f>
        <v>15</v>
      </c>
      <c r="N369" s="28">
        <f>(A369+M369)</f>
        <v>46060</v>
      </c>
      <c r="O369" s="24">
        <f>+Tabla2[[#This Row],[CODIGO]]</f>
        <v>135</v>
      </c>
      <c r="P369" s="26">
        <f>R369/Q369*1000</f>
        <v>15000</v>
      </c>
      <c r="Q369" s="22">
        <f>K369</f>
        <v>2400</v>
      </c>
      <c r="R369" s="26">
        <v>36000</v>
      </c>
      <c r="S369" s="22" t="s">
        <v>427</v>
      </c>
      <c r="T369" s="22" t="s">
        <v>364</v>
      </c>
      <c r="U369">
        <v>0</v>
      </c>
      <c r="V369" s="79">
        <v>0</v>
      </c>
    </row>
    <row r="370" spans="1:22" x14ac:dyDescent="0.25">
      <c r="A370" s="21" cm="1">
        <f t="array" ref="A370">IFERROR(LOOKUP(2,1/([1]maestro!I:I=H370),[1]maestro!B:B),"")</f>
        <v>46042</v>
      </c>
      <c r="B370" s="22" t="str">
        <f>TEXT(A370,"mmmm")</f>
        <v>enero</v>
      </c>
      <c r="C370" s="23">
        <v>162</v>
      </c>
      <c r="D370" s="22" t="s">
        <v>500</v>
      </c>
      <c r="E370" s="24" t="str">
        <f>PROPER(D370)</f>
        <v>Juan Andres Restrepo</v>
      </c>
      <c r="F370" s="22"/>
      <c r="G370" s="25" t="str">
        <f>CONCATENATE($G$1,H370)</f>
        <v>573155947421</v>
      </c>
      <c r="H370" s="24">
        <v>3155947421</v>
      </c>
      <c r="I370" s="24">
        <v>250</v>
      </c>
      <c r="J370" s="24">
        <v>250</v>
      </c>
      <c r="K370" s="24">
        <f>15*250</f>
        <v>3750</v>
      </c>
      <c r="L370" s="24">
        <f>K370/I370</f>
        <v>15</v>
      </c>
      <c r="M370" s="24">
        <f>K370/J370</f>
        <v>15</v>
      </c>
      <c r="N370" s="28">
        <f>(A370+M370)</f>
        <v>46057</v>
      </c>
      <c r="O370" s="24">
        <f>+Tabla2[[#This Row],[CODIGO]]</f>
        <v>162</v>
      </c>
      <c r="P370" s="26">
        <f>R370/Q370*1000</f>
        <v>34000</v>
      </c>
      <c r="Q370" s="22">
        <f>K370</f>
        <v>3750</v>
      </c>
      <c r="R370" s="27">
        <v>127500</v>
      </c>
      <c r="S370" s="22" t="s">
        <v>501</v>
      </c>
      <c r="T370" s="22" t="s">
        <v>502</v>
      </c>
      <c r="U370">
        <v>0</v>
      </c>
      <c r="V370" s="79">
        <v>127500</v>
      </c>
    </row>
    <row r="371" spans="1:22" x14ac:dyDescent="0.25">
      <c r="A371" s="21" cm="1">
        <f t="array" ref="A371">IFERROR(LOOKUP(2,1/([1]maestro!I:I=H371),[1]maestro!B:B),"")</f>
        <v>46038</v>
      </c>
      <c r="B371" s="22" t="str">
        <f>TEXT(A371,"mmmm")</f>
        <v>enero</v>
      </c>
      <c r="C371" s="23">
        <v>217</v>
      </c>
      <c r="D371" s="22" t="s">
        <v>671</v>
      </c>
      <c r="E371" s="24" t="str">
        <f>PROPER(D371)</f>
        <v>Maria Rosa Gallego</v>
      </c>
      <c r="F371" s="22"/>
      <c r="G371" s="25" t="str">
        <f>CONCATENATE($G$1,H371)</f>
        <v>573175162267</v>
      </c>
      <c r="H371" s="24">
        <v>3175162267</v>
      </c>
      <c r="I371" s="24">
        <v>300</v>
      </c>
      <c r="J371" s="24">
        <v>300</v>
      </c>
      <c r="K371" s="24">
        <f>17*300</f>
        <v>5100</v>
      </c>
      <c r="L371" s="24">
        <f>K371/I371</f>
        <v>17</v>
      </c>
      <c r="M371" s="24">
        <f>K371/J371</f>
        <v>17</v>
      </c>
      <c r="N371" s="28">
        <f>(A371+M371)</f>
        <v>46055</v>
      </c>
      <c r="O371" s="24">
        <f>+Tabla2[[#This Row],[CODIGO]]</f>
        <v>217</v>
      </c>
      <c r="P371" s="26">
        <f>R371/Q371*1000</f>
        <v>25000</v>
      </c>
      <c r="Q371" s="22">
        <f>K371</f>
        <v>5100</v>
      </c>
      <c r="R371" s="30">
        <v>127500</v>
      </c>
      <c r="S371" s="22" t="s">
        <v>672</v>
      </c>
      <c r="T371" s="22" t="s">
        <v>673</v>
      </c>
      <c r="U371">
        <v>0</v>
      </c>
      <c r="V371" s="79">
        <v>127500</v>
      </c>
    </row>
    <row r="372" spans="1:22" x14ac:dyDescent="0.25">
      <c r="A372" s="21" cm="1">
        <f t="array" ref="A372">IFERROR(LOOKUP(2,1/([1]maestro!I:I=H372),[1]maestro!B:B),"")</f>
        <v>46048</v>
      </c>
      <c r="B372" s="22" t="str">
        <f>TEXT(A372,"mmmm")</f>
        <v>enero</v>
      </c>
      <c r="C372" s="23">
        <v>169</v>
      </c>
      <c r="D372" s="22" t="s">
        <v>522</v>
      </c>
      <c r="E372" s="24" t="str">
        <f>PROPER(D372)</f>
        <v>Juanita Valencia</v>
      </c>
      <c r="F372" s="22"/>
      <c r="G372" s="25" t="str">
        <f>CONCATENATE($G$1,H372)</f>
        <v>573502149870</v>
      </c>
      <c r="H372" s="24">
        <v>3502149870</v>
      </c>
      <c r="I372" s="24">
        <v>300</v>
      </c>
      <c r="J372" s="24">
        <v>600</v>
      </c>
      <c r="K372" s="24">
        <f>20*300</f>
        <v>6000</v>
      </c>
      <c r="L372" s="24">
        <f>K372/I372</f>
        <v>20</v>
      </c>
      <c r="M372" s="24">
        <f>K372/J372</f>
        <v>10</v>
      </c>
      <c r="N372" s="28">
        <f>(A372+M372)</f>
        <v>46058</v>
      </c>
      <c r="O372" s="24">
        <f>+Tabla2[[#This Row],[CODIGO]]</f>
        <v>169</v>
      </c>
      <c r="P372" s="26">
        <f>R372/Q372*1000</f>
        <v>25000</v>
      </c>
      <c r="Q372" s="22">
        <f>K372</f>
        <v>6000</v>
      </c>
      <c r="R372" s="30">
        <v>150000</v>
      </c>
      <c r="S372" s="22" t="s">
        <v>523</v>
      </c>
      <c r="T372" s="22" t="s">
        <v>524</v>
      </c>
      <c r="U372">
        <v>0</v>
      </c>
      <c r="V372" s="79">
        <v>150000</v>
      </c>
    </row>
    <row r="373" spans="1:22" x14ac:dyDescent="0.25">
      <c r="A373" s="21" cm="1">
        <f t="array" ref="A373">IFERROR(LOOKUP(2,1/([1]maestro!I:I=H373),[1]maestro!B:B),"")</f>
        <v>46045</v>
      </c>
      <c r="B373" s="22" t="str">
        <f>TEXT(A373,"mmmm")</f>
        <v>enero</v>
      </c>
      <c r="C373" s="23">
        <v>299</v>
      </c>
      <c r="D373" s="22" t="s">
        <v>911</v>
      </c>
      <c r="E373" s="24" t="str">
        <f>PROPER(D373)</f>
        <v>Yilmary Hernandez</v>
      </c>
      <c r="F373" s="22"/>
      <c r="G373" s="22" t="str">
        <f>CONCATENATE($G$1,H373)</f>
        <v>573156008463</v>
      </c>
      <c r="H373" s="24">
        <v>3156008463</v>
      </c>
      <c r="I373" s="24">
        <v>200</v>
      </c>
      <c r="J373" s="24">
        <v>400</v>
      </c>
      <c r="K373" s="24">
        <v>6000</v>
      </c>
      <c r="L373" s="24">
        <f>K373/I373</f>
        <v>30</v>
      </c>
      <c r="M373" s="24">
        <f>K373/J373</f>
        <v>15</v>
      </c>
      <c r="N373" s="28">
        <f>(A373+M373)</f>
        <v>46060</v>
      </c>
      <c r="O373" s="24">
        <f>+Tabla2[[#This Row],[CODIGO]]</f>
        <v>299</v>
      </c>
      <c r="P373" s="22">
        <f>R373/Q373*1000</f>
        <v>25000</v>
      </c>
      <c r="Q373" s="22">
        <f>K373</f>
        <v>6000</v>
      </c>
      <c r="R373" s="30">
        <v>150000</v>
      </c>
      <c r="S373" s="22" t="s">
        <v>912</v>
      </c>
      <c r="T373" s="22"/>
      <c r="U373">
        <v>0</v>
      </c>
      <c r="V373" s="79">
        <v>150000</v>
      </c>
    </row>
    <row r="374" spans="1:22" x14ac:dyDescent="0.25">
      <c r="A374" s="21" cm="1">
        <f t="array" ref="A374">IFERROR(LOOKUP(2,1/([1]maestro!I:I=H374),[1]maestro!B:B),"")</f>
        <v>46043</v>
      </c>
      <c r="B374" s="22" t="str">
        <f>TEXT(A374,"mmmm")</f>
        <v>enero</v>
      </c>
      <c r="C374" s="23">
        <v>15</v>
      </c>
      <c r="D374" s="22" t="s">
        <v>60</v>
      </c>
      <c r="E374" s="24" t="str">
        <f>PROPER(D374)</f>
        <v>Alison Muñoz Vanegas</v>
      </c>
      <c r="F374" s="22"/>
      <c r="G374" s="25" t="str">
        <f>CONCATENATE($G$1,H374)</f>
        <v>573002759952</v>
      </c>
      <c r="H374" s="24">
        <v>3002759952</v>
      </c>
      <c r="I374" s="24">
        <v>185</v>
      </c>
      <c r="J374" s="24">
        <v>370</v>
      </c>
      <c r="K374" s="24">
        <f>30*185</f>
        <v>5550</v>
      </c>
      <c r="L374" s="24">
        <f>K374/I374</f>
        <v>30</v>
      </c>
      <c r="M374" s="24">
        <f>K374/J374</f>
        <v>15</v>
      </c>
      <c r="N374" s="28">
        <f>(A374+M374)</f>
        <v>46058</v>
      </c>
      <c r="O374" s="24">
        <f>+Tabla2[[#This Row],[CODIGO]]</f>
        <v>15</v>
      </c>
      <c r="P374" s="26">
        <f>R374/Q374*1000</f>
        <v>27405.405405405407</v>
      </c>
      <c r="Q374" s="22">
        <f>K374</f>
        <v>5550</v>
      </c>
      <c r="R374" s="27">
        <v>152100</v>
      </c>
      <c r="S374" s="22" t="s">
        <v>61</v>
      </c>
      <c r="T374" s="22" t="s">
        <v>62</v>
      </c>
      <c r="U374">
        <v>0</v>
      </c>
      <c r="V374" s="79">
        <v>152100</v>
      </c>
    </row>
    <row r="375" spans="1:22" x14ac:dyDescent="0.25">
      <c r="A375" s="21" cm="1">
        <f t="array" ref="A375">IFERROR(LOOKUP(2,1/([1]maestro!I:I=H375),[1]maestro!B:B),"")</f>
        <v>46044</v>
      </c>
      <c r="B375" s="22" t="str">
        <f>TEXT(A375,"mmmm")</f>
        <v>enero</v>
      </c>
      <c r="C375" s="23">
        <v>294</v>
      </c>
      <c r="D375" s="22" t="s">
        <v>896</v>
      </c>
      <c r="E375" s="24" t="str">
        <f>PROPER(D375)</f>
        <v>Yarissa Perea Motato</v>
      </c>
      <c r="F375" s="22"/>
      <c r="G375" s="25" t="str">
        <f>CONCATENATE($G$1,H375)</f>
        <v>573195742640</v>
      </c>
      <c r="H375" s="24">
        <v>3195742640</v>
      </c>
      <c r="I375" s="33">
        <v>130</v>
      </c>
      <c r="J375" s="33">
        <v>260</v>
      </c>
      <c r="K375" s="33">
        <f>60*130</f>
        <v>7800</v>
      </c>
      <c r="L375" s="24">
        <f>K375/I375</f>
        <v>60</v>
      </c>
      <c r="M375" s="24">
        <f>K375/J375</f>
        <v>30</v>
      </c>
      <c r="N375" s="28">
        <f>(A375+M375)</f>
        <v>46074</v>
      </c>
      <c r="O375" s="24">
        <f>+Tabla2[[#This Row],[CODIGO]]</f>
        <v>294</v>
      </c>
      <c r="P375" s="26">
        <f>R375/Q375*1000</f>
        <v>39000</v>
      </c>
      <c r="Q375" s="22">
        <f>K375</f>
        <v>7800</v>
      </c>
      <c r="R375" s="31">
        <f>152100*2</f>
        <v>304200</v>
      </c>
      <c r="S375" s="22" t="s">
        <v>897</v>
      </c>
      <c r="T375" s="22" t="s">
        <v>898</v>
      </c>
      <c r="U375">
        <v>0</v>
      </c>
      <c r="V375" s="79">
        <v>152100</v>
      </c>
    </row>
    <row r="376" spans="1:22" x14ac:dyDescent="0.25">
      <c r="A376" s="9" cm="1">
        <f t="array" ref="A376">IFERROR(LOOKUP(2,1/([1]maestro!I:I=H376),[1]maestro!B:B),"")</f>
        <v>46035</v>
      </c>
      <c r="B376" s="10" t="str">
        <f>TEXT(A376,"mmmm")</f>
        <v>enero</v>
      </c>
      <c r="C376" s="11">
        <v>279</v>
      </c>
      <c r="D376" s="10" t="s">
        <v>848</v>
      </c>
      <c r="E376" s="13" t="str">
        <f>PROPER(D376)</f>
        <v>Sthephany Ortiz</v>
      </c>
      <c r="F376" s="10" t="s">
        <v>207</v>
      </c>
      <c r="G376" s="14" t="str">
        <f>CONCATENATE($G$1,H376)</f>
        <v>573017910738</v>
      </c>
      <c r="H376" s="13">
        <v>3017910738</v>
      </c>
      <c r="I376" s="13">
        <v>190</v>
      </c>
      <c r="J376" s="13">
        <v>190</v>
      </c>
      <c r="K376" s="13">
        <f>15*190</f>
        <v>2850</v>
      </c>
      <c r="L376" s="13">
        <f>K376/I376</f>
        <v>15</v>
      </c>
      <c r="M376" s="13">
        <f>K376/J376</f>
        <v>15</v>
      </c>
      <c r="N376" s="18">
        <f>(A376+M376)</f>
        <v>46050</v>
      </c>
      <c r="O376" s="13">
        <f>+Tabla2[[#This Row],[CODIGO]]</f>
        <v>279</v>
      </c>
      <c r="P376" s="19">
        <f>R376/Q376*1000</f>
        <v>35789.473684210527</v>
      </c>
      <c r="Q376" s="10">
        <f>K376</f>
        <v>2850</v>
      </c>
      <c r="R376" s="20">
        <v>102000</v>
      </c>
      <c r="S376" s="36" t="s">
        <v>849</v>
      </c>
      <c r="T376" s="10" t="s">
        <v>850</v>
      </c>
      <c r="U376">
        <v>0</v>
      </c>
      <c r="V376" s="79">
        <v>0</v>
      </c>
    </row>
    <row r="377" spans="1:22" x14ac:dyDescent="0.25">
      <c r="A377" s="9" cm="1">
        <f t="array" ref="A377">IFERROR(LOOKUP(2,1/([1]maestro!I:I=H377),[1]maestro!B:B),"")</f>
        <v>46035</v>
      </c>
      <c r="B377" s="10" t="str">
        <f>TEXT(A377,"mmmm")</f>
        <v>enero</v>
      </c>
      <c r="C377" s="11">
        <v>279</v>
      </c>
      <c r="D377" s="10" t="s">
        <v>851</v>
      </c>
      <c r="E377" s="13" t="str">
        <f>PROPER(D377)</f>
        <v>Sthephany Ortiz 90</v>
      </c>
      <c r="F377" s="10" t="s">
        <v>207</v>
      </c>
      <c r="G377" s="14" t="str">
        <f>CONCATENATE($G$1,H377)</f>
        <v>573017910738</v>
      </c>
      <c r="H377" s="13">
        <v>3017910738</v>
      </c>
      <c r="I377" s="15">
        <v>90</v>
      </c>
      <c r="J377" s="15">
        <v>90</v>
      </c>
      <c r="K377" s="15">
        <f>+J377*15</f>
        <v>1350</v>
      </c>
      <c r="L377" s="16">
        <f>K377/I377</f>
        <v>15</v>
      </c>
      <c r="M377" s="17">
        <f>K377/J377</f>
        <v>15</v>
      </c>
      <c r="N377" s="18">
        <f>(A377+M377)</f>
        <v>46050</v>
      </c>
      <c r="O377" s="13">
        <f>+Tabla2[[#This Row],[CODIGO]]</f>
        <v>279</v>
      </c>
      <c r="P377" s="19">
        <f>R377/Q377*1000</f>
        <v>56740.740740740737</v>
      </c>
      <c r="Q377" s="10">
        <f>K377</f>
        <v>1350</v>
      </c>
      <c r="R377" s="20">
        <v>76600</v>
      </c>
      <c r="S377" s="36" t="s">
        <v>849</v>
      </c>
      <c r="T377" s="10" t="s">
        <v>850</v>
      </c>
      <c r="U377">
        <v>0</v>
      </c>
      <c r="V377" s="79">
        <v>178600</v>
      </c>
    </row>
    <row r="378" spans="1:22" x14ac:dyDescent="0.25">
      <c r="A378" s="9" cm="1">
        <f t="array" ref="A378">IFERROR(LOOKUP(2,1/([1]maestro!I:I=H378),[1]maestro!B:B),"")</f>
        <v>46038</v>
      </c>
      <c r="B378" s="10" t="str">
        <f>TEXT(A378,"mmmm")</f>
        <v>enero</v>
      </c>
      <c r="C378" s="11">
        <v>250</v>
      </c>
      <c r="D378" s="10" t="s">
        <v>762</v>
      </c>
      <c r="E378" s="13" t="str">
        <f>PROPER(D378)</f>
        <v>Paola Franco 100</v>
      </c>
      <c r="F378" s="10"/>
      <c r="G378" s="14" t="str">
        <f>CONCATENATE($G$1,H378)</f>
        <v>573167173907</v>
      </c>
      <c r="H378" s="13">
        <v>3167173907</v>
      </c>
      <c r="I378" s="15">
        <v>100</v>
      </c>
      <c r="J378" s="15">
        <v>200</v>
      </c>
      <c r="K378" s="15">
        <v>2000</v>
      </c>
      <c r="L378" s="13">
        <f>K378/I378</f>
        <v>20</v>
      </c>
      <c r="M378" s="13">
        <f>K378/J378</f>
        <v>10</v>
      </c>
      <c r="N378" s="18">
        <f>(A378+M378)</f>
        <v>46048</v>
      </c>
      <c r="O378" s="13">
        <f>+Tabla2[[#This Row],[CODIGO]]</f>
        <v>250</v>
      </c>
      <c r="P378" s="19">
        <f>R378/Q378*1000</f>
        <v>34000</v>
      </c>
      <c r="Q378" s="10">
        <f>K378</f>
        <v>2000</v>
      </c>
      <c r="R378" s="20">
        <v>68000</v>
      </c>
      <c r="S378" s="10" t="s">
        <v>763</v>
      </c>
      <c r="T378" s="10" t="s">
        <v>764</v>
      </c>
      <c r="U378">
        <v>0</v>
      </c>
      <c r="V378" s="79">
        <v>0</v>
      </c>
    </row>
    <row r="379" spans="1:22" x14ac:dyDescent="0.25">
      <c r="A379" s="9" cm="1">
        <f t="array" ref="A379">IFERROR(LOOKUP(2,1/([1]maestro!I:I=H379),[1]maestro!B:B),"")</f>
        <v>46038</v>
      </c>
      <c r="B379" s="10" t="str">
        <f>TEXT(A379,"mmmm")</f>
        <v>enero</v>
      </c>
      <c r="C379" s="11">
        <v>250</v>
      </c>
      <c r="D379" s="10" t="s">
        <v>765</v>
      </c>
      <c r="E379" s="13" t="str">
        <f>PROPER(D379)</f>
        <v>Paola Franco 350</v>
      </c>
      <c r="F379" s="10"/>
      <c r="G379" s="14" t="str">
        <f>CONCATENATE($G$1,H379)</f>
        <v>573167173907</v>
      </c>
      <c r="H379" s="13">
        <v>3167173907</v>
      </c>
      <c r="I379" s="15">
        <v>350</v>
      </c>
      <c r="J379" s="15">
        <v>700</v>
      </c>
      <c r="K379" s="15">
        <f>20*350</f>
        <v>7000</v>
      </c>
      <c r="L379" s="13">
        <f>K379/I379</f>
        <v>20</v>
      </c>
      <c r="M379" s="13">
        <f>K379/J379</f>
        <v>10</v>
      </c>
      <c r="N379" s="18">
        <f>(A379+M379)</f>
        <v>46048</v>
      </c>
      <c r="O379" s="13">
        <f>+Tabla2[[#This Row],[CODIGO]]</f>
        <v>250</v>
      </c>
      <c r="P379" s="19">
        <f>R379/Q379*1000</f>
        <v>24000</v>
      </c>
      <c r="Q379" s="10">
        <f>K379</f>
        <v>7000</v>
      </c>
      <c r="R379" s="20">
        <v>168000</v>
      </c>
      <c r="S379" s="10" t="s">
        <v>766</v>
      </c>
      <c r="T379" s="10" t="s">
        <v>571</v>
      </c>
      <c r="U379">
        <v>0</v>
      </c>
      <c r="V379" s="79">
        <v>236000</v>
      </c>
    </row>
    <row r="380" spans="1:22" x14ac:dyDescent="0.25">
      <c r="D380"/>
      <c r="E380" s="68"/>
      <c r="G380" s="69"/>
      <c r="M380" s="71"/>
      <c r="N380" s="73"/>
      <c r="O380" s="68"/>
      <c r="R380" s="76"/>
      <c r="U380">
        <f>SUBTOTAL(109,Tabla2[SALDO])</f>
        <v>1295331</v>
      </c>
      <c r="V380" s="81">
        <f>SUBTOTAL(109,Tabla2[DEUDA])</f>
        <v>13629263</v>
      </c>
    </row>
    <row r="1047841" spans="4:4" x14ac:dyDescent="0.25">
      <c r="D1047841" s="77"/>
    </row>
  </sheetData>
  <conditionalFormatting sqref="S288">
    <cfRule type="duplicateValues" dxfId="75" priority="37"/>
  </conditionalFormatting>
  <conditionalFormatting sqref="S289">
    <cfRule type="duplicateValues" dxfId="74" priority="36"/>
  </conditionalFormatting>
  <conditionalFormatting sqref="S291">
    <cfRule type="duplicateValues" dxfId="73" priority="35"/>
  </conditionalFormatting>
  <conditionalFormatting sqref="S298">
    <cfRule type="duplicateValues" dxfId="72" priority="34"/>
  </conditionalFormatting>
  <conditionalFormatting sqref="S300:S301">
    <cfRule type="duplicateValues" dxfId="71" priority="33"/>
  </conditionalFormatting>
  <conditionalFormatting sqref="S303">
    <cfRule type="duplicateValues" dxfId="70" priority="32"/>
  </conditionalFormatting>
  <conditionalFormatting sqref="S304:S306">
    <cfRule type="duplicateValues" dxfId="69" priority="31"/>
  </conditionalFormatting>
  <conditionalFormatting sqref="S307">
    <cfRule type="duplicateValues" dxfId="68" priority="30"/>
  </conditionalFormatting>
  <conditionalFormatting sqref="S308">
    <cfRule type="duplicateValues" dxfId="67" priority="29"/>
  </conditionalFormatting>
  <conditionalFormatting sqref="S313">
    <cfRule type="duplicateValues" dxfId="66" priority="28"/>
  </conditionalFormatting>
  <conditionalFormatting sqref="S314">
    <cfRule type="duplicateValues" dxfId="65" priority="27"/>
  </conditionalFormatting>
  <conditionalFormatting sqref="S318">
    <cfRule type="duplicateValues" dxfId="64" priority="26"/>
  </conditionalFormatting>
  <conditionalFormatting sqref="S319">
    <cfRule type="duplicateValues" dxfId="63" priority="25"/>
  </conditionalFormatting>
  <conditionalFormatting sqref="S320">
    <cfRule type="duplicateValues" dxfId="62" priority="24"/>
  </conditionalFormatting>
  <conditionalFormatting sqref="S321">
    <cfRule type="duplicateValues" dxfId="61" priority="23"/>
  </conditionalFormatting>
  <conditionalFormatting sqref="S327">
    <cfRule type="duplicateValues" dxfId="60" priority="22"/>
  </conditionalFormatting>
  <conditionalFormatting sqref="S329">
    <cfRule type="duplicateValues" dxfId="59" priority="21"/>
  </conditionalFormatting>
  <conditionalFormatting sqref="S331">
    <cfRule type="duplicateValues" dxfId="58" priority="20"/>
  </conditionalFormatting>
  <conditionalFormatting sqref="S332">
    <cfRule type="duplicateValues" dxfId="57" priority="19"/>
  </conditionalFormatting>
  <conditionalFormatting sqref="S333">
    <cfRule type="duplicateValues" dxfId="56" priority="18"/>
  </conditionalFormatting>
  <conditionalFormatting sqref="S339:S340">
    <cfRule type="duplicateValues" dxfId="55" priority="17"/>
  </conditionalFormatting>
  <conditionalFormatting sqref="S342:S343">
    <cfRule type="duplicateValues" dxfId="54" priority="16"/>
  </conditionalFormatting>
  <conditionalFormatting sqref="S344">
    <cfRule type="duplicateValues" dxfId="53" priority="39"/>
  </conditionalFormatting>
  <conditionalFormatting sqref="S346">
    <cfRule type="duplicateValues" dxfId="52" priority="15"/>
  </conditionalFormatting>
  <conditionalFormatting sqref="S347">
    <cfRule type="duplicateValues" dxfId="51" priority="14"/>
  </conditionalFormatting>
  <conditionalFormatting sqref="S348">
    <cfRule type="duplicateValues" dxfId="50" priority="13"/>
  </conditionalFormatting>
  <conditionalFormatting sqref="S349">
    <cfRule type="duplicateValues" dxfId="49" priority="12"/>
  </conditionalFormatting>
  <conditionalFormatting sqref="S350">
    <cfRule type="duplicateValues" dxfId="48" priority="11"/>
  </conditionalFormatting>
  <conditionalFormatting sqref="S352:S353">
    <cfRule type="duplicateValues" dxfId="47" priority="10"/>
  </conditionalFormatting>
  <conditionalFormatting sqref="S354">
    <cfRule type="duplicateValues" dxfId="46" priority="8"/>
  </conditionalFormatting>
  <conditionalFormatting sqref="S355">
    <cfRule type="duplicateValues" dxfId="45" priority="9"/>
  </conditionalFormatting>
  <conditionalFormatting sqref="S357:S359">
    <cfRule type="duplicateValues" dxfId="44" priority="7"/>
  </conditionalFormatting>
  <conditionalFormatting sqref="S361">
    <cfRule type="duplicateValues" dxfId="43" priority="6"/>
  </conditionalFormatting>
  <conditionalFormatting sqref="S365">
    <cfRule type="duplicateValues" dxfId="42" priority="5"/>
  </conditionalFormatting>
  <conditionalFormatting sqref="S368 S370:S373 S375:S378">
    <cfRule type="duplicateValues" dxfId="41" priority="4"/>
  </conditionalFormatting>
  <conditionalFormatting sqref="S369">
    <cfRule type="duplicateValues" dxfId="40" priority="3"/>
  </conditionalFormatting>
  <conditionalFormatting sqref="S374">
    <cfRule type="duplicateValues" dxfId="39" priority="2"/>
  </conditionalFormatting>
  <conditionalFormatting sqref="S380:S1048576 S356 S345 S290 S264:S287 S236:S262 S189:S192 S195:S199 S203:S234 S292:S297 S299 S302 S309:S312 S315:S317 S322:S326 S328 S330 S334:S338 S341 S351 S360 S362:S363 S367 S1:S187">
    <cfRule type="duplicateValues" dxfId="38" priority="38"/>
  </conditionalFormatting>
  <conditionalFormatting sqref="V1:V1048576">
    <cfRule type="duplicateValues" dxfId="37" priority="1"/>
  </conditionalFormatting>
  <dataValidations count="1">
    <dataValidation type="list" allowBlank="1" showInputMessage="1" showErrorMessage="1" sqref="D13:D15 D367" xr:uid="{28DA3DEB-5F11-4009-9343-522FD7724585}">
      <formula1>$E:$E</formula1>
    </dataValidation>
  </dataValidations>
  <hyperlinks>
    <hyperlink ref="H205" r:id="rId1" display="tel:3148131801" xr:uid="{A5899EF2-E038-4AC9-BF65-11B8E9CFFA89}"/>
  </hyperlinks>
  <pageMargins left="0.7" right="0.7" top="0.75" bottom="0.75" header="0.3" footer="0.3"/>
  <pageSetup scale="17" fitToHeight="0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 activos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CHEFIBIO SAS</cp:lastModifiedBy>
  <dcterms:created xsi:type="dcterms:W3CDTF">2026-01-23T17:53:04Z</dcterms:created>
  <dcterms:modified xsi:type="dcterms:W3CDTF">2026-01-23T18:18:37Z</dcterms:modified>
</cp:coreProperties>
</file>