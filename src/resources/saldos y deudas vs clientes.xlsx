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efibio\Desktop\apps\cliente-tracker\src\resources\"/>
    </mc:Choice>
  </mc:AlternateContent>
  <xr:revisionPtr revIDLastSave="0" documentId="13_ncr:1_{7F20E507-6534-4CED-ACB6-0A27397477B1}" xr6:coauthVersionLast="47" xr6:coauthVersionMax="47" xr10:uidLastSave="{00000000-0000-0000-0000-000000000000}"/>
  <bookViews>
    <workbookView xWindow="-120" yWindow="-120" windowWidth="29040" windowHeight="15840" xr2:uid="{187986D2-13F6-4831-AFAB-091494DAB0E9}"/>
  </bookViews>
  <sheets>
    <sheet name="Clientes activos" sheetId="1" r:id="rId1"/>
  </sheets>
  <externalReferences>
    <externalReference r:id="rId2"/>
  </externalReferences>
  <definedNames>
    <definedName name="DatosExternos_1" localSheetId="0" hidden="1">'Clientes activos'!$A$1:$T$353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47" i="1"/>
  <c r="V20" i="1"/>
  <c r="V57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70" i="1"/>
  <c r="V40" i="1"/>
  <c r="V41" i="1"/>
  <c r="V42" i="1"/>
  <c r="V43" i="1"/>
  <c r="V44" i="1"/>
  <c r="V45" i="1"/>
  <c r="V46" i="1"/>
  <c r="V71" i="1"/>
  <c r="V48" i="1"/>
  <c r="V49" i="1"/>
  <c r="V50" i="1"/>
  <c r="V51" i="1"/>
  <c r="V52" i="1"/>
  <c r="V53" i="1"/>
  <c r="V54" i="1"/>
  <c r="V55" i="1"/>
  <c r="V56" i="1"/>
  <c r="V76" i="1"/>
  <c r="V58" i="1"/>
  <c r="V59" i="1"/>
  <c r="V79" i="1"/>
  <c r="V61" i="1"/>
  <c r="V62" i="1"/>
  <c r="V63" i="1"/>
  <c r="V64" i="1"/>
  <c r="V65" i="1"/>
  <c r="V66" i="1"/>
  <c r="V67" i="1"/>
  <c r="V68" i="1"/>
  <c r="V69" i="1"/>
  <c r="V110" i="1"/>
  <c r="V114" i="1"/>
  <c r="V72" i="1"/>
  <c r="V73" i="1"/>
  <c r="V74" i="1"/>
  <c r="V75" i="1"/>
  <c r="V128" i="1"/>
  <c r="V77" i="1"/>
  <c r="V78" i="1"/>
  <c r="V134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50" i="1"/>
  <c r="V111" i="1"/>
  <c r="V112" i="1"/>
  <c r="V113" i="1"/>
  <c r="V153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76" i="1"/>
  <c r="V129" i="1"/>
  <c r="V130" i="1"/>
  <c r="V131" i="1"/>
  <c r="V132" i="1"/>
  <c r="V133" i="1"/>
  <c r="V181" i="1"/>
  <c r="V135" i="1"/>
  <c r="V136" i="1"/>
  <c r="V137" i="1"/>
  <c r="V138" i="1"/>
  <c r="V139" i="1"/>
  <c r="V140" i="1"/>
  <c r="V141" i="1"/>
  <c r="V142" i="1"/>
  <c r="V143" i="1"/>
  <c r="V144" i="1"/>
  <c r="V190" i="1"/>
  <c r="V146" i="1"/>
  <c r="V147" i="1"/>
  <c r="V148" i="1"/>
  <c r="V191" i="1"/>
  <c r="V197" i="1"/>
  <c r="V151" i="1"/>
  <c r="V152" i="1"/>
  <c r="V212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232" i="1"/>
  <c r="V177" i="1"/>
  <c r="V178" i="1"/>
  <c r="V179" i="1"/>
  <c r="V180" i="1"/>
  <c r="V236" i="1"/>
  <c r="V182" i="1"/>
  <c r="V183" i="1"/>
  <c r="V184" i="1"/>
  <c r="V185" i="1"/>
  <c r="V186" i="1"/>
  <c r="V187" i="1"/>
  <c r="V188" i="1"/>
  <c r="V189" i="1"/>
  <c r="V237" i="1"/>
  <c r="V239" i="1"/>
  <c r="V192" i="1"/>
  <c r="V193" i="1"/>
  <c r="V194" i="1"/>
  <c r="V195" i="1"/>
  <c r="V196" i="1"/>
  <c r="V243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56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67" i="1"/>
  <c r="V233" i="1"/>
  <c r="V234" i="1"/>
  <c r="V235" i="1"/>
  <c r="V269" i="1"/>
  <c r="V273" i="1"/>
  <c r="V238" i="1"/>
  <c r="V274" i="1"/>
  <c r="V240" i="1"/>
  <c r="V241" i="1"/>
  <c r="V242" i="1"/>
  <c r="V283" i="1"/>
  <c r="V244" i="1"/>
  <c r="V245" i="1"/>
  <c r="V246" i="1"/>
  <c r="V247" i="1"/>
  <c r="V248" i="1"/>
  <c r="V249" i="1"/>
  <c r="V250" i="1"/>
  <c r="V251" i="1"/>
  <c r="V252" i="1"/>
  <c r="V291" i="1"/>
  <c r="V254" i="1"/>
  <c r="V255" i="1"/>
  <c r="V300" i="1"/>
  <c r="V257" i="1"/>
  <c r="V324" i="1"/>
  <c r="V259" i="1"/>
  <c r="V260" i="1"/>
  <c r="V261" i="1"/>
  <c r="V262" i="1"/>
  <c r="V263" i="1"/>
  <c r="V264" i="1"/>
  <c r="V265" i="1"/>
  <c r="V266" i="1"/>
  <c r="V336" i="1"/>
  <c r="V268" i="1"/>
  <c r="V337" i="1"/>
  <c r="V270" i="1"/>
  <c r="V271" i="1"/>
  <c r="V272" i="1"/>
  <c r="V338" i="1"/>
  <c r="V340" i="1"/>
  <c r="V275" i="1"/>
  <c r="V276" i="1"/>
  <c r="V277" i="1"/>
  <c r="V278" i="1"/>
  <c r="V279" i="1"/>
  <c r="V280" i="1"/>
  <c r="V281" i="1"/>
  <c r="V282" i="1"/>
  <c r="V353" i="1"/>
  <c r="V284" i="1"/>
  <c r="V285" i="1"/>
  <c r="V286" i="1"/>
  <c r="V287" i="1"/>
  <c r="V288" i="1"/>
  <c r="V289" i="1"/>
  <c r="V290" i="1"/>
  <c r="V145" i="1"/>
  <c r="V292" i="1"/>
  <c r="V293" i="1"/>
  <c r="V294" i="1"/>
  <c r="V295" i="1"/>
  <c r="V296" i="1"/>
  <c r="V297" i="1"/>
  <c r="V298" i="1"/>
  <c r="V299" i="1"/>
  <c r="V258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149" i="1"/>
  <c r="V325" i="1"/>
  <c r="V326" i="1"/>
  <c r="V327" i="1"/>
  <c r="V328" i="1"/>
  <c r="V329" i="1"/>
  <c r="V330" i="1"/>
  <c r="V331" i="1"/>
  <c r="V332" i="1"/>
  <c r="V333" i="1"/>
  <c r="V334" i="1"/>
  <c r="V335" i="1"/>
  <c r="V253" i="1"/>
  <c r="V60" i="1"/>
  <c r="V19" i="1"/>
  <c r="V339" i="1"/>
  <c r="V39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21" i="1"/>
  <c r="V2" i="1"/>
  <c r="U2" i="1"/>
  <c r="U3" i="1"/>
  <c r="U4" i="1"/>
  <c r="U5" i="1"/>
  <c r="U7" i="1"/>
  <c r="U8" i="1"/>
  <c r="U9" i="1"/>
  <c r="U10" i="1"/>
  <c r="U11" i="1"/>
  <c r="U12" i="1"/>
  <c r="U13" i="1"/>
  <c r="U14" i="1"/>
  <c r="U15" i="1"/>
  <c r="U16" i="1"/>
  <c r="U17" i="1"/>
  <c r="U18" i="1"/>
  <c r="U47" i="1"/>
  <c r="U20" i="1"/>
  <c r="U57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70" i="1"/>
  <c r="U40" i="1"/>
  <c r="U41" i="1"/>
  <c r="U42" i="1"/>
  <c r="U43" i="1"/>
  <c r="U44" i="1"/>
  <c r="U45" i="1"/>
  <c r="U46" i="1"/>
  <c r="U71" i="1"/>
  <c r="U48" i="1"/>
  <c r="U49" i="1"/>
  <c r="U50" i="1"/>
  <c r="U51" i="1"/>
  <c r="U52" i="1"/>
  <c r="U53" i="1"/>
  <c r="U54" i="1"/>
  <c r="U55" i="1"/>
  <c r="U56" i="1"/>
  <c r="U76" i="1"/>
  <c r="U58" i="1"/>
  <c r="U59" i="1"/>
  <c r="U79" i="1"/>
  <c r="U61" i="1"/>
  <c r="U62" i="1"/>
  <c r="U63" i="1"/>
  <c r="U64" i="1"/>
  <c r="U65" i="1"/>
  <c r="U66" i="1"/>
  <c r="U67" i="1"/>
  <c r="U68" i="1"/>
  <c r="U69" i="1"/>
  <c r="U110" i="1"/>
  <c r="U114" i="1"/>
  <c r="U72" i="1"/>
  <c r="U73" i="1"/>
  <c r="U74" i="1"/>
  <c r="U75" i="1"/>
  <c r="U128" i="1"/>
  <c r="U77" i="1"/>
  <c r="U78" i="1"/>
  <c r="U134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50" i="1"/>
  <c r="U111" i="1"/>
  <c r="U112" i="1"/>
  <c r="U113" i="1"/>
  <c r="U153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76" i="1"/>
  <c r="U129" i="1"/>
  <c r="U130" i="1"/>
  <c r="U131" i="1"/>
  <c r="U132" i="1"/>
  <c r="U133" i="1"/>
  <c r="U181" i="1"/>
  <c r="U135" i="1"/>
  <c r="U136" i="1"/>
  <c r="U137" i="1"/>
  <c r="U138" i="1"/>
  <c r="U139" i="1"/>
  <c r="U140" i="1"/>
  <c r="U141" i="1"/>
  <c r="U142" i="1"/>
  <c r="U143" i="1"/>
  <c r="U144" i="1"/>
  <c r="U190" i="1"/>
  <c r="U146" i="1"/>
  <c r="U147" i="1"/>
  <c r="U148" i="1"/>
  <c r="U191" i="1"/>
  <c r="U197" i="1"/>
  <c r="U151" i="1"/>
  <c r="U152" i="1"/>
  <c r="U212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232" i="1"/>
  <c r="U177" i="1"/>
  <c r="U178" i="1"/>
  <c r="U179" i="1"/>
  <c r="U180" i="1"/>
  <c r="U236" i="1"/>
  <c r="U182" i="1"/>
  <c r="U183" i="1"/>
  <c r="U184" i="1"/>
  <c r="U185" i="1"/>
  <c r="U186" i="1"/>
  <c r="U187" i="1"/>
  <c r="U188" i="1"/>
  <c r="U189" i="1"/>
  <c r="U237" i="1"/>
  <c r="U239" i="1"/>
  <c r="U192" i="1"/>
  <c r="U193" i="1"/>
  <c r="U194" i="1"/>
  <c r="U195" i="1"/>
  <c r="U196" i="1"/>
  <c r="U243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56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67" i="1"/>
  <c r="U233" i="1"/>
  <c r="U234" i="1"/>
  <c r="U235" i="1"/>
  <c r="U269" i="1"/>
  <c r="U273" i="1"/>
  <c r="U238" i="1"/>
  <c r="U274" i="1"/>
  <c r="U240" i="1"/>
  <c r="U241" i="1"/>
  <c r="U242" i="1"/>
  <c r="U283" i="1"/>
  <c r="U244" i="1"/>
  <c r="U245" i="1"/>
  <c r="U246" i="1"/>
  <c r="U247" i="1"/>
  <c r="U248" i="1"/>
  <c r="U249" i="1"/>
  <c r="U250" i="1"/>
  <c r="U251" i="1"/>
  <c r="U252" i="1"/>
  <c r="U291" i="1"/>
  <c r="U254" i="1"/>
  <c r="U255" i="1"/>
  <c r="U300" i="1"/>
  <c r="U257" i="1"/>
  <c r="U324" i="1"/>
  <c r="U259" i="1"/>
  <c r="U260" i="1"/>
  <c r="U261" i="1"/>
  <c r="U262" i="1"/>
  <c r="U263" i="1"/>
  <c r="U264" i="1"/>
  <c r="U265" i="1"/>
  <c r="U266" i="1"/>
  <c r="U336" i="1"/>
  <c r="U268" i="1"/>
  <c r="U337" i="1"/>
  <c r="U270" i="1"/>
  <c r="U271" i="1"/>
  <c r="U272" i="1"/>
  <c r="U338" i="1"/>
  <c r="U340" i="1"/>
  <c r="U275" i="1"/>
  <c r="U276" i="1"/>
  <c r="U277" i="1"/>
  <c r="U278" i="1"/>
  <c r="U279" i="1"/>
  <c r="U280" i="1"/>
  <c r="U281" i="1"/>
  <c r="U282" i="1"/>
  <c r="U353" i="1"/>
  <c r="U284" i="1"/>
  <c r="U285" i="1"/>
  <c r="U286" i="1"/>
  <c r="U287" i="1"/>
  <c r="U288" i="1"/>
  <c r="U289" i="1"/>
  <c r="U290" i="1"/>
  <c r="U145" i="1"/>
  <c r="U292" i="1"/>
  <c r="U293" i="1"/>
  <c r="U294" i="1"/>
  <c r="U295" i="1"/>
  <c r="U296" i="1"/>
  <c r="U297" i="1"/>
  <c r="U298" i="1"/>
  <c r="U299" i="1"/>
  <c r="U258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149" i="1"/>
  <c r="U325" i="1"/>
  <c r="U326" i="1"/>
  <c r="U327" i="1"/>
  <c r="U328" i="1"/>
  <c r="U329" i="1"/>
  <c r="U330" i="1"/>
  <c r="U331" i="1"/>
  <c r="U332" i="1"/>
  <c r="U333" i="1"/>
  <c r="U334" i="1"/>
  <c r="U335" i="1"/>
  <c r="U253" i="1"/>
  <c r="U60" i="1"/>
  <c r="U19" i="1"/>
  <c r="U339" i="1"/>
  <c r="U39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21" i="1"/>
  <c r="U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DB54D5-B270-4E7A-895C-E3558B0DAA9B}" keepAlive="1" name="Consulta - Clientes activos" description="Conexión a la consulta 'Clientes activos' en el libro." type="5" refreshedVersion="8" background="1" saveData="1">
    <dbPr connection="Provider=Microsoft.Mashup.OleDb.1;Data Source=$Workbook$;Location=&quot;Clientes activos&quot;;Extended Properties=&quot;&quot;" command="SELECT * FROM [Clientes activos]"/>
  </connection>
  <connection id="2" xr16:uid="{9183E796-F345-46CD-BCF7-274ADE5845F0}" keepAlive="1" name="Consulta - Inactivos" description="Conexión a la consulta 'Inactivos' en el libro." type="5" refreshedVersion="0" background="1">
    <dbPr connection="Provider=Microsoft.Mashup.OleDb.1;Data Source=$Workbook$;Location=Inactivos;Extended Properties=&quot;&quot;" command="SELECT * FROM [Inactivos]"/>
  </connection>
</connections>
</file>

<file path=xl/sharedStrings.xml><?xml version="1.0" encoding="utf-8"?>
<sst xmlns="http://schemas.openxmlformats.org/spreadsheetml/2006/main" count="2034" uniqueCount="1402">
  <si>
    <t>FECHA INICIAL</t>
  </si>
  <si>
    <t>MES</t>
  </si>
  <si>
    <t>CODIGO</t>
  </si>
  <si>
    <t>NOMBRE</t>
  </si>
  <si>
    <t>NOMBRE2</t>
  </si>
  <si>
    <t>Activo</t>
  </si>
  <si>
    <t>57</t>
  </si>
  <si>
    <t>NUMERO</t>
  </si>
  <si>
    <t>POR COMIDA</t>
  </si>
  <si>
    <t>AL DIA</t>
  </si>
  <si>
    <t>POR PEDIDO</t>
  </si>
  <si>
    <t>TOTAL PORCIONES</t>
  </si>
  <si>
    <t>DURACION DEL PEDIDO</t>
  </si>
  <si>
    <t>PROXIMA  ENTREGA</t>
  </si>
  <si>
    <t>30</t>
  </si>
  <si>
    <t>VALOR KG</t>
  </si>
  <si>
    <t>gramos por pedido</t>
  </si>
  <si>
    <t>valor pedido</t>
  </si>
  <si>
    <t>Direccion</t>
  </si>
  <si>
    <t>Cordenadas</t>
  </si>
  <si>
    <t>enero</t>
  </si>
  <si>
    <t>abastos</t>
  </si>
  <si>
    <t>Abastos</t>
  </si>
  <si>
    <t>4.62998632005301, -74.15657084812713</t>
  </si>
  <si>
    <t>Acicalarte Peluquería Especializada Canina Y Felina</t>
  </si>
  <si>
    <t>No</t>
  </si>
  <si>
    <t>573222340142</t>
  </si>
  <si>
    <t>Cl. 8a Bis #79c-25, Bogotá</t>
  </si>
  <si>
    <t/>
  </si>
  <si>
    <t xml:space="preserve">Adolfo Cuéllar </t>
  </si>
  <si>
    <t>573202199058</t>
  </si>
  <si>
    <t>Calle14a#15-49</t>
  </si>
  <si>
    <t>febrero</t>
  </si>
  <si>
    <t>Adriana Baron</t>
  </si>
  <si>
    <t>573115063260</t>
  </si>
  <si>
    <t>calle 108 # 45-20 Edificio paralelo 108</t>
  </si>
  <si>
    <t>4.695977452205739, -74.05682435357036</t>
  </si>
  <si>
    <t>Adriana Esperanza Morales Sierra</t>
  </si>
  <si>
    <t>573025162129</t>
  </si>
  <si>
    <t>Avenida chilacos 01-74 torres de Santa Ana - TorreA  Apto 204</t>
  </si>
  <si>
    <t>4.866371978696169, -74.04588065541797</t>
  </si>
  <si>
    <t>Adriana Melo</t>
  </si>
  <si>
    <t>573047592006</t>
  </si>
  <si>
    <t>cra 5#1-72  Casa 11 Chía</t>
  </si>
  <si>
    <t>Adriana Rubiano</t>
  </si>
  <si>
    <t>573007948969</t>
  </si>
  <si>
    <t>Kra 72q # 41c-71 sur bloque c3 apto 301</t>
  </si>
  <si>
    <t>4.612505952134297, -74.15197111878172</t>
  </si>
  <si>
    <t>Adriana Sanchez Torres</t>
  </si>
  <si>
    <t>573504424814</t>
  </si>
  <si>
    <t>Calle 25 C # 37-15 apto 101 Barrio el recuerdo</t>
  </si>
  <si>
    <t>4.631892258902334, -74.08604273244006</t>
  </si>
  <si>
    <t>alejandra vargas</t>
  </si>
  <si>
    <t>Alejandra Vargas</t>
  </si>
  <si>
    <t>573508196809</t>
  </si>
  <si>
    <t>cra 87c #22-15 apto 402  edificio cabrera</t>
  </si>
  <si>
    <t>4.667683360401374, -74.13146130360366</t>
  </si>
  <si>
    <t>Alejandro González</t>
  </si>
  <si>
    <t>573118935628</t>
  </si>
  <si>
    <t>carrera 58b # 130 - 61  torre 3 apto 208</t>
  </si>
  <si>
    <t>4.72069752144112, -74.06901756162243</t>
  </si>
  <si>
    <t>Alejandro Monsalve</t>
  </si>
  <si>
    <t>573223747738</t>
  </si>
  <si>
    <t>calle 56a sur # 33-88</t>
  </si>
  <si>
    <t>4.582007970015482, -74.14271219045742</t>
  </si>
  <si>
    <t>Alejandro Morales</t>
  </si>
  <si>
    <t>573103237451</t>
  </si>
  <si>
    <t>diagonal 75bis # 20-68</t>
  </si>
  <si>
    <t>4.66360988513184, -74.06191221459417</t>
  </si>
  <si>
    <t>Alexander Sanabria</t>
  </si>
  <si>
    <t>573138121836</t>
  </si>
  <si>
    <t>Cl 66A Sur No 66-81 Apto 420</t>
  </si>
  <si>
    <t>4.587646479142535, -74.15614310627866</t>
  </si>
  <si>
    <t>Alison Muñoz Vanegas</t>
  </si>
  <si>
    <t>573002759952</t>
  </si>
  <si>
    <t>cra 69 12 a 95 torre 1 apto 1401 conjunto la almeria</t>
  </si>
  <si>
    <t>4.631623295350846, -74.19052020395281</t>
  </si>
  <si>
    <t>Alisson Nicole Sarmiento</t>
  </si>
  <si>
    <t>573145768568</t>
  </si>
  <si>
    <t>CL 95 #71 - 87 torre 2 Apartamento 1312 - Conjunto Miradores de Pontevedra</t>
  </si>
  <si>
    <t>4.69627614467526, -74.08395152640621</t>
  </si>
  <si>
    <t>Amparo Gallo</t>
  </si>
  <si>
    <t>573162702464</t>
  </si>
  <si>
    <t>Cl. 163 #54-15 Conjunto Residencial Prados De Sotavento 1 casa 37</t>
  </si>
  <si>
    <t>4.745861976025535, -74.05446081894829</t>
  </si>
  <si>
    <t>Ana Martinez</t>
  </si>
  <si>
    <t>573204743810</t>
  </si>
  <si>
    <t>Calle 2 sur No 2 _ 100 conjunto  el molino cajica Torre 13 Apto 207</t>
  </si>
  <si>
    <t>4.913115574843137, -74.0253814213841</t>
  </si>
  <si>
    <t>Andrea Quintero 54</t>
  </si>
  <si>
    <t>573206393433</t>
  </si>
  <si>
    <t>Cll 22D sur #1-32 este, san Cristóbal, granada sur</t>
  </si>
  <si>
    <t>Andrea Rodríguez</t>
  </si>
  <si>
    <t>573504520899</t>
  </si>
  <si>
    <t>Calle 10 # 3 -94. Conjunto colmena II bloque 4 101 ENTRADA PRINCIPAL por la autopista SOACHA</t>
  </si>
  <si>
    <t>4.577715068820262, -74.22047303883579</t>
  </si>
  <si>
    <t>Andreina Molinares Acosta 200</t>
  </si>
  <si>
    <t>573154842369</t>
  </si>
  <si>
    <t>Cra 9na via Chía -Cajicá, Conjunto Residencial Fique, Casa 109</t>
  </si>
  <si>
    <t>4.876696205080426, -74.0501751904573</t>
  </si>
  <si>
    <t>Andres Felipe Aguilar Cadena</t>
  </si>
  <si>
    <t>573016592951</t>
  </si>
  <si>
    <t>CALLE 52 SUR # 95 A 30 conjunto Terranova, TORRE 11 APTO 243.</t>
  </si>
  <si>
    <t>4.639126428675347, -74.186106882362</t>
  </si>
  <si>
    <t>Andres Sanchez</t>
  </si>
  <si>
    <t>573134550773</t>
  </si>
  <si>
    <t>peluqueria o CRA 65-58-20 sur piso 401</t>
  </si>
  <si>
    <t>angela andrea castañeda</t>
  </si>
  <si>
    <t>Angela Andrea Castañeda</t>
  </si>
  <si>
    <t>573176798013</t>
  </si>
  <si>
    <t>Calle 12A # 71B-61 Torre 4 Apto 103 Mirador de Castilla 2</t>
  </si>
  <si>
    <t>Angela Barreto</t>
  </si>
  <si>
    <t>573133420908</t>
  </si>
  <si>
    <t>calle 65B # 88-27 int.13 apto 401 Torrecampo 1</t>
  </si>
  <si>
    <t>4.6902647747600055, -74.11171200627811</t>
  </si>
  <si>
    <t>Angela Carvajal</t>
  </si>
  <si>
    <t>573044699658</t>
  </si>
  <si>
    <t>Dg 49 c sur # 11b-66 Torre 2 apto 709 Conjunto terrazas de molinos</t>
  </si>
  <si>
    <t>4.561590898946261, -74.12013355774785</t>
  </si>
  <si>
    <t>Angie Caterine Rodriguez Sanchez</t>
  </si>
  <si>
    <t>573212497133</t>
  </si>
  <si>
    <t>CR 55 18 23 sur barrio Milenta casa primer piso</t>
  </si>
  <si>
    <t>4.613004853342377, -74.1249706899264</t>
  </si>
  <si>
    <t>Angie Paola Rincon Alvarez</t>
  </si>
  <si>
    <t>573187528202</t>
  </si>
  <si>
    <t>Calle 53AN #7C1-50 Barrio altos de menga cali valle del cauca</t>
  </si>
  <si>
    <t>4.654742451267124, -74.11454706162246</t>
  </si>
  <si>
    <t xml:space="preserve">Anizoara Morales Diaz </t>
  </si>
  <si>
    <t>573004306563</t>
  </si>
  <si>
    <t xml:space="preserve">Calle 66a sur #73-05 Perdomo </t>
  </si>
  <si>
    <t>Argelio Gasca</t>
  </si>
  <si>
    <t>573138503358</t>
  </si>
  <si>
    <t>Carrera 40b #2d 37</t>
  </si>
  <si>
    <t>4.611555659787453, -74.11217414612213</t>
  </si>
  <si>
    <t>Arnulfo Bocanegra</t>
  </si>
  <si>
    <t>573041103894</t>
  </si>
  <si>
    <t>Cra 81j#57-19 sur barrio Vegas de santa ana, Kennedy Drogas rebaratas</t>
  </si>
  <si>
    <t>4.617731745661825, -74.1809003036039</t>
  </si>
  <si>
    <t>Aymara Mendoza</t>
  </si>
  <si>
    <t>573107986133</t>
  </si>
  <si>
    <t>Calle 3#1-25</t>
  </si>
  <si>
    <t>4.587900379057081, -74.0743031751179</t>
  </si>
  <si>
    <t>Bernardo Alfonso Hidalgo Franco</t>
  </si>
  <si>
    <t>573112199430</t>
  </si>
  <si>
    <t>Calle 19a # 68D-65, Mistral de 4 vientos, Apartamento 906 torre 1</t>
  </si>
  <si>
    <t>4.647440477632912, -74.11749546965223</t>
  </si>
  <si>
    <t>Billy Dog</t>
  </si>
  <si>
    <t>573225394262</t>
  </si>
  <si>
    <t>Calle 62d sur #66 b - 20, madelena</t>
  </si>
  <si>
    <t>4.5895822376055975, -74.15708090367336</t>
  </si>
  <si>
    <t>Bolsa de vacio</t>
  </si>
  <si>
    <t>Bolsa De Vacio</t>
  </si>
  <si>
    <t>Cra 67 # 3 _14</t>
  </si>
  <si>
    <t>4.624152323222417, -74.12366948987753</t>
  </si>
  <si>
    <t>Bolsa para cafe</t>
  </si>
  <si>
    <t>Bolsa Para Cafe</t>
  </si>
  <si>
    <t>4.624956303311876, -74.1226240084341</t>
  </si>
  <si>
    <t>Burbujas de Chanel</t>
  </si>
  <si>
    <t>Burbujas De Chanel</t>
  </si>
  <si>
    <t>573123419084</t>
  </si>
  <si>
    <t>Calle 16b sur # 24b-31 Barrio Restrepo</t>
  </si>
  <si>
    <t>4.5883366622782935, -74.1026044612766</t>
  </si>
  <si>
    <t>Cami Garcia 150 yako</t>
  </si>
  <si>
    <t>Cami Garcia 150 Yako</t>
  </si>
  <si>
    <t>Si</t>
  </si>
  <si>
    <t>573013922571</t>
  </si>
  <si>
    <t>Cra 6 # 11 - 265 conjunto residencial Rivera del Valle Torre 25 apto 501</t>
  </si>
  <si>
    <t>4.739203093660988, -74.06301691767194</t>
  </si>
  <si>
    <t>Camila Vásquez Ramón Manchas 100</t>
  </si>
  <si>
    <t>573208063914</t>
  </si>
  <si>
    <t>Calle 19 sur # 40 b 58 MAPA4.603598, -74.119283</t>
  </si>
  <si>
    <t>4.603661474413004, -74.11930454127115</t>
  </si>
  <si>
    <t>Carlos Alberto Rodriguez Sandoval</t>
  </si>
  <si>
    <t>573166198371</t>
  </si>
  <si>
    <t>Kra 54b #119-10 Apto 101</t>
  </si>
  <si>
    <t>4.703958620082202, -74.06460400395274</t>
  </si>
  <si>
    <t>Carlos makauslan</t>
  </si>
  <si>
    <t>Carlos Makauslan</t>
  </si>
  <si>
    <t>573107629406</t>
  </si>
  <si>
    <t>Calle 67 #57-48</t>
  </si>
  <si>
    <t xml:space="preserve">Carolina Álvarez </t>
  </si>
  <si>
    <t>573185164316</t>
  </si>
  <si>
    <t>Calle 59 sur #64-51</t>
  </si>
  <si>
    <t>Carolina Bueno</t>
  </si>
  <si>
    <t>573134233956</t>
  </si>
  <si>
    <t>Carrera 96f No 22K -40 interior 6 apartamento 504</t>
  </si>
  <si>
    <t>4.674728817149605, -74.13507540379283</t>
  </si>
  <si>
    <t>Carolina Cabrera</t>
  </si>
  <si>
    <t>573115975083</t>
  </si>
  <si>
    <t>Calle 161 # 54-87 Corinto Torre 3 apto 504</t>
  </si>
  <si>
    <t>4.742942381913108, -74.05643696127584</t>
  </si>
  <si>
    <t>Carolina Castro Kiara Bosa</t>
  </si>
  <si>
    <t>573212442419</t>
  </si>
  <si>
    <t>Calle 71b bis a sur # 87 L 11 4.621553,-74.199161</t>
  </si>
  <si>
    <t>4.621499774285737, -74.19912321516243</t>
  </si>
  <si>
    <t>Carolina Gutiérrez</t>
  </si>
  <si>
    <t>573214596773</t>
  </si>
  <si>
    <t xml:space="preserve">CRA 74 # 152 B -70 Int 2 Apto 1806 Conjunto Residencial Natura Living </t>
  </si>
  <si>
    <t>Cesar Monsalve 110</t>
  </si>
  <si>
    <t>573012984178</t>
  </si>
  <si>
    <t>calle 59 sur n 64 21</t>
  </si>
  <si>
    <t>chefibio donaciones</t>
  </si>
  <si>
    <t>Chefibio Donaciones</t>
  </si>
  <si>
    <t>573242651750</t>
  </si>
  <si>
    <t>Christian Camilo Torres Cabezas</t>
  </si>
  <si>
    <t>573103174172</t>
  </si>
  <si>
    <t>Carrera 68B #96-70 Torre 5 Apto 604</t>
  </si>
  <si>
    <t>4.688875337883929, -74.07516069093464</t>
  </si>
  <si>
    <t>Christian Gerena</t>
  </si>
  <si>
    <t>573004955102</t>
  </si>
  <si>
    <t xml:space="preserve">Cra 72b 5b 93 edificio mandalay 504 </t>
  </si>
  <si>
    <t>4.629970531665668, -74.1393939003318</t>
  </si>
  <si>
    <t>Claudia Mahecha AM</t>
  </si>
  <si>
    <t>Claudia Mahecha Am</t>
  </si>
  <si>
    <t>573203424920</t>
  </si>
  <si>
    <t>Claudia Patricia Alaguna</t>
  </si>
  <si>
    <t>573123705496</t>
  </si>
  <si>
    <t>casa Calle 158 n 7 b 68 apartamento 402</t>
  </si>
  <si>
    <t>4.733350544346832, -74.02503043167215</t>
  </si>
  <si>
    <t>Claudia Patricia Torres</t>
  </si>
  <si>
    <t>573214076073</t>
  </si>
  <si>
    <t>Av calle 12 # 79A - 61 bodega 13</t>
  </si>
  <si>
    <t>4.648657334970687, -74.13762089905774</t>
  </si>
  <si>
    <t xml:space="preserve">Claudia yazmin Giraldo Castañeda </t>
  </si>
  <si>
    <t xml:space="preserve">Claudia Yazmin Giraldo Castañeda </t>
  </si>
  <si>
    <t>573213239770</t>
  </si>
  <si>
    <t>Calle 53A 71C 19 Apto 201A  Normandía</t>
  </si>
  <si>
    <t>4.67131748078517, -74.10597633208882</t>
  </si>
  <si>
    <t>Daniel Emilio Quijano</t>
  </si>
  <si>
    <t>573143193333</t>
  </si>
  <si>
    <t>TV 17 45 d 60</t>
  </si>
  <si>
    <t>4.634779778486796, -74.0711493438239</t>
  </si>
  <si>
    <t>Daniel Latorre</t>
  </si>
  <si>
    <t>573124002720</t>
  </si>
  <si>
    <t>calle 69 # 6-02 edificio versalles apto 301</t>
  </si>
  <si>
    <t>4.651742245771939, -74.05627470379291</t>
  </si>
  <si>
    <t>Daniel Martinez 185</t>
  </si>
  <si>
    <t>573138791829</t>
  </si>
  <si>
    <t>Daniel Orlando García Celeita MOCCA</t>
  </si>
  <si>
    <t>Daniel Orlando García Celeita Mocca</t>
  </si>
  <si>
    <t xml:space="preserve">Si </t>
  </si>
  <si>
    <t>573143069108</t>
  </si>
  <si>
    <t>Cra 96f 22k 40 Hayuelos reservado 2 Torre 13 apto 503</t>
  </si>
  <si>
    <t>4.674650651419689, -74.13472633666177</t>
  </si>
  <si>
    <t>Daniel Valencia</t>
  </si>
  <si>
    <t>573057888483</t>
  </si>
  <si>
    <t>Calle 3#1-25 Lourdes centro</t>
  </si>
  <si>
    <t>4.587778702707617, -74.07442593630475</t>
  </si>
  <si>
    <t>Daniela Gomez Neira 105</t>
  </si>
  <si>
    <t>573195630612</t>
  </si>
  <si>
    <t>Carrera 38 # 25 a - 37 El recuerdo- teusaquillo casa Mapa 4.631717, -74.087740</t>
  </si>
  <si>
    <t>4.631460344120077, -74.08770781709494</t>
  </si>
  <si>
    <t>Daniela Ortiz</t>
  </si>
  <si>
    <t>573013849900</t>
  </si>
  <si>
    <t>calle 173 #7-95 torre 2 apto 1706</t>
  </si>
  <si>
    <t>4.7512330112948495, -74.02469599288764</t>
  </si>
  <si>
    <t>Darly Duarte</t>
  </si>
  <si>
    <t>573142070103</t>
  </si>
  <si>
    <t>Conjunto Residencial Altos de Ipanema calle 26 sur #93D-60 kennedy</t>
  </si>
  <si>
    <t>4.610606795766916, -74.17025903396352</t>
  </si>
  <si>
    <t>David Bermudez</t>
  </si>
  <si>
    <t>573132651016</t>
  </si>
  <si>
    <t>Cll 87# 102-60 int 22 apt 302</t>
  </si>
  <si>
    <t>4.719624844432396, -74.10695100360338</t>
  </si>
  <si>
    <t>David Max</t>
  </si>
  <si>
    <t>573022387448</t>
  </si>
  <si>
    <t>Edificio caracas central  carrera 14#34-34 sur</t>
  </si>
  <si>
    <t>4.576380622254042, -74.11569066405299</t>
  </si>
  <si>
    <t>diana ardila</t>
  </si>
  <si>
    <t>Diana Ardila</t>
  </si>
  <si>
    <t>573176451476</t>
  </si>
  <si>
    <t>av.calle100#21-46</t>
  </si>
  <si>
    <t xml:space="preserve"> apto 103 Ed las fuentes  barrio chico navarra</t>
  </si>
  <si>
    <t>Diana constanza Ruiz</t>
  </si>
  <si>
    <t>Diana Constanza Ruiz</t>
  </si>
  <si>
    <t>573002104747</t>
  </si>
  <si>
    <t>cra59a # 134-15 torre 1 apto 304</t>
  </si>
  <si>
    <t>4.726421551624025, -74.06924266146363</t>
  </si>
  <si>
    <t>Diana Guzmán ruiz</t>
  </si>
  <si>
    <t>Diana Guzmán Ruiz</t>
  </si>
  <si>
    <t>573043471739</t>
  </si>
  <si>
    <t>Calle 14b#119a-20 Solsticio etapa 3 torre 6 apartamento 301</t>
  </si>
  <si>
    <t>4.680142028603279, -74.16543437904419</t>
  </si>
  <si>
    <t>Diana Maria Guzman Becerra</t>
  </si>
  <si>
    <t>573104955288</t>
  </si>
  <si>
    <t>Diagonal 6 b 79 b 80</t>
  </si>
  <si>
    <t>4.632547569384527, -74.14768720731172</t>
  </si>
  <si>
    <t>Diana tejedor</t>
  </si>
  <si>
    <t>Diana Tejedor</t>
  </si>
  <si>
    <t>573138291625</t>
  </si>
  <si>
    <t>Cr 78 16d 48 izola zentral torre 2 apto 1111</t>
  </si>
  <si>
    <t>4.6519423847272074, -74.13077727511782</t>
  </si>
  <si>
    <t>Diana Zambrano 180</t>
  </si>
  <si>
    <t>573218280844</t>
  </si>
  <si>
    <t>Km 2,5 vía Cajica tabio Conjunto campestre verde vivo Interior 15 casa 2</t>
  </si>
  <si>
    <t>4.925037301104707, -74.04688899618674</t>
  </si>
  <si>
    <t>Dilan Felipe Asencio Perez 58</t>
  </si>
  <si>
    <t>573148128511</t>
  </si>
  <si>
    <t>Calle 77b #120a-40, Torre 2 apto 310</t>
  </si>
  <si>
    <t>4.723739150762986, -74.13277440436983</t>
  </si>
  <si>
    <t>Dog sano Adriana del Pilar Romero Cortés</t>
  </si>
  <si>
    <t>Dog Sano Adriana Del Pilar Romero Cortés</t>
  </si>
  <si>
    <t>573118438157</t>
  </si>
  <si>
    <t>Cra 86 17-96 torre 10 apto 205</t>
  </si>
  <si>
    <t>Dog Sano Carolina Ayala</t>
  </si>
  <si>
    <t>573043765289</t>
  </si>
  <si>
    <t>Calle 72a sur #87j- 72</t>
  </si>
  <si>
    <t>4.6215283266250955, -74.19889364457022</t>
  </si>
  <si>
    <t>Dog Sano Daniela mora</t>
  </si>
  <si>
    <t>Dog Sano Daniela Mora</t>
  </si>
  <si>
    <t>573114654968</t>
  </si>
  <si>
    <t>Calle 6a #18-33 torre 1 16-06 aruma MAPA 4.600148, -74.087898</t>
  </si>
  <si>
    <t>4.6003618808373, -74.08785508825885</t>
  </si>
  <si>
    <t>Dog Sano Gisela Ortiz</t>
  </si>
  <si>
    <t>573123350951</t>
  </si>
  <si>
    <t>TV 71B # 9D - 90  Torre 5 apartamento 301 conjunto Bosques del Ferrol</t>
  </si>
  <si>
    <t>Dog Sano Janeth Eslava Garcia 170</t>
  </si>
  <si>
    <t>573187091632</t>
  </si>
  <si>
    <t>Calle 49dbis sur #5×-09 molinos primer sector. Casa o Cl. 55 Sur #24-44, Bogotá torre 6 apto 201</t>
  </si>
  <si>
    <t>Dog Sano Jeferson Pardo Ospina</t>
  </si>
  <si>
    <t>573115644071</t>
  </si>
  <si>
    <t>Cra 50b # 36-39 sur</t>
  </si>
  <si>
    <t>4.599181723104157, -74.12597219699857</t>
  </si>
  <si>
    <t>Dog Sano Johan Mora</t>
  </si>
  <si>
    <t>573007205916</t>
  </si>
  <si>
    <t>CR 66 # 19 72 Torre 3 Apto 1905</t>
  </si>
  <si>
    <t>4.642677907662424, -74.11089412736996</t>
  </si>
  <si>
    <t>Dog Sano Karol Nerieth Leon Blue 205</t>
  </si>
  <si>
    <t>573153084029</t>
  </si>
  <si>
    <t>Calle 44b 55-89 Barrio La Esmeralda</t>
  </si>
  <si>
    <t>4.647099566734777, -74.09178360028368</t>
  </si>
  <si>
    <t>Dog Sano Paola Acosta</t>
  </si>
  <si>
    <t>573223793529</t>
  </si>
  <si>
    <t>Calle 51 sur #79-40 portería 3.</t>
  </si>
  <si>
    <t>4.615152394560068, -74.16965974727977</t>
  </si>
  <si>
    <t>Dog Sano Paola Forero</t>
  </si>
  <si>
    <t>573118238285</t>
  </si>
  <si>
    <t>Diagonal 62 G sur # 71 C 15 Perdomo (valvanera)-</t>
  </si>
  <si>
    <t>4.589039373134773, -74.16549094593142</t>
  </si>
  <si>
    <t>Dog Sano pet o vet</t>
  </si>
  <si>
    <t>Dog Sano Pet O Vet</t>
  </si>
  <si>
    <t>573017866042</t>
  </si>
  <si>
    <t>calle 2 b 52c 064.613453, -74.116477</t>
  </si>
  <si>
    <t>4.613995375560051, -74.11654317680546</t>
  </si>
  <si>
    <t>Dog sano Sharon Gissel Ramírez Silva</t>
  </si>
  <si>
    <t>Dog Sano Sharon Gissel Ramírez Silva</t>
  </si>
  <si>
    <t>573222505832</t>
  </si>
  <si>
    <t>Calle 24 sur # 8-37 Apto 202</t>
  </si>
  <si>
    <t>4.572723550166102, -74.09547511704011</t>
  </si>
  <si>
    <t>Dog Sano Suanny Cando coky</t>
  </si>
  <si>
    <t>Dog Sano Suanny Cando Coky</t>
  </si>
  <si>
    <t>573157943245</t>
  </si>
  <si>
    <t>Carrera 19D# 28A16 sur-4°34'49.6"N 74°06'33.4"W</t>
  </si>
  <si>
    <t>4.5804309954018665, -74.10880020638328</t>
  </si>
  <si>
    <t>Dog sano Yina Rios Akamaru</t>
  </si>
  <si>
    <t>Dog Sano Yina Rios Akamaru</t>
  </si>
  <si>
    <t>573016627101</t>
  </si>
  <si>
    <t>CARRERA 28 BIS 12 09 RICAURTE</t>
  </si>
  <si>
    <t>4.611342514774538, -74.09212130631697</t>
  </si>
  <si>
    <t>Doggy Lunch Camila Roma</t>
  </si>
  <si>
    <t>573006968740</t>
  </si>
  <si>
    <t>Calle 22 sur #29b - 35. Av 1 de mayo</t>
  </si>
  <si>
    <t>4.592904377526779, -74.11162946820983</t>
  </si>
  <si>
    <t>Doggy Lunch Dora Gomez</t>
  </si>
  <si>
    <t>573103228444</t>
  </si>
  <si>
    <t>Cra 72 N Bis A 40 F 89 sur int 10 apto 110 Agrupacion de Vivienda Timiza L2</t>
  </si>
  <si>
    <t>4.610025696304934, -74.15155908776686</t>
  </si>
  <si>
    <t>Doggy Lunch Fabián Restrepo</t>
  </si>
  <si>
    <t>573015850114</t>
  </si>
  <si>
    <t>Calle 65 No. 5 - 23 AP 203</t>
  </si>
  <si>
    <t>4.648558591948758, -74.05815306646903</t>
  </si>
  <si>
    <t>Doggy Lunch Orlando Lancheros</t>
  </si>
  <si>
    <t>573134339849</t>
  </si>
  <si>
    <t>calle 45asur 52 A 45 Venecia</t>
  </si>
  <si>
    <t>Doggy Lunch Ricardo</t>
  </si>
  <si>
    <t>573123935050</t>
  </si>
  <si>
    <t xml:space="preserve">CRA 71a # 49 a -19 </t>
  </si>
  <si>
    <t>4.667602760433639, -74.1084210902991</t>
  </si>
  <si>
    <t xml:space="preserve">Doris Cortés Urrea </t>
  </si>
  <si>
    <t>573123570114</t>
  </si>
  <si>
    <t>Calle 65 # 5-23 apto 203</t>
  </si>
  <si>
    <t>4.648468572715817, -74.05819934021515</t>
  </si>
  <si>
    <t>Eddinson Rodríguez Bonilla</t>
  </si>
  <si>
    <t>573103140694</t>
  </si>
  <si>
    <t>CRA.13 #93-40 OFC 411 (dejar el paquete a nombre de Cesar Moreno)</t>
  </si>
  <si>
    <t>4.676180818111013, -74.04932688906102</t>
  </si>
  <si>
    <t>Eduardo Arias Garcia</t>
  </si>
  <si>
    <t>573003004703</t>
  </si>
  <si>
    <t>Madelena conjunto urbano 2 Torre 2 apto 2103</t>
  </si>
  <si>
    <t>4.593444477299046, -74.15859931709521</t>
  </si>
  <si>
    <t>Edwin Romero</t>
  </si>
  <si>
    <t>573194667470</t>
  </si>
  <si>
    <t>cra 80 #8c-85 torre 3 apto 412</t>
  </si>
  <si>
    <t>4.643162912064931, -74.14388720947512</t>
  </si>
  <si>
    <t>Eleonora Mutis</t>
  </si>
  <si>
    <t>573016189999</t>
  </si>
  <si>
    <t>cr19 # 37-73 apto 401</t>
  </si>
  <si>
    <t>4.627109, -74.073053</t>
  </si>
  <si>
    <t>Eliana Turrini</t>
  </si>
  <si>
    <t>573138013032</t>
  </si>
  <si>
    <t>Vereda La Moya Camellón de las flores Finca Villa Mulata Cota Cundinamarca</t>
  </si>
  <si>
    <t>4.8209137196074066, -74.10416672815097</t>
  </si>
  <si>
    <t>Enith Tarazona Ardila</t>
  </si>
  <si>
    <t>573134974621</t>
  </si>
  <si>
    <t xml:space="preserve">calle 46a sur # 23c -10 casa piso 2 tunal </t>
  </si>
  <si>
    <t>4.5785353902572306, -74.1277340036041</t>
  </si>
  <si>
    <t>Ericka Núñez</t>
  </si>
  <si>
    <t>573052896347</t>
  </si>
  <si>
    <t>CRA 79 número 10 D 95, Parque de Castilla etapa 4 apatamento 2-502</t>
  </si>
  <si>
    <t>4.645646792759222, -74.13996086891275</t>
  </si>
  <si>
    <t>Erika Villamizar bruno</t>
  </si>
  <si>
    <t>Erika Villamizar Bruno</t>
  </si>
  <si>
    <t>573209927180</t>
  </si>
  <si>
    <t>Kra 80 No 8b-37 apto 202 etapa 1 bosques de bavaria</t>
  </si>
  <si>
    <t>4.6429977679291365, -74.14437876127617</t>
  </si>
  <si>
    <t>Esperanza Calderon</t>
  </si>
  <si>
    <t>573232840240</t>
  </si>
  <si>
    <t>Kra 79G número 13A 64. Barrio Visión Colombia Casa Tercer piso.</t>
  </si>
  <si>
    <t>4.651484728052012, -74.13569018815174</t>
  </si>
  <si>
    <t>Evelin Herrera</t>
  </si>
  <si>
    <t>573150525254</t>
  </si>
  <si>
    <t>Cra 3 bis 127b 45</t>
  </si>
  <si>
    <t>Fabiola Delgado Montalbo</t>
  </si>
  <si>
    <t>573103126656</t>
  </si>
  <si>
    <t>calle 58 sur #66a-79 apartamento 504</t>
  </si>
  <si>
    <t>4.5947627599408145, -74.1577771899266</t>
  </si>
  <si>
    <t>Fanny Duque Guinard</t>
  </si>
  <si>
    <t>573005281323</t>
  </si>
  <si>
    <t>Calle 10 #6-08 en Chia</t>
  </si>
  <si>
    <t>Fernando Monroy</t>
  </si>
  <si>
    <t>573208795345</t>
  </si>
  <si>
    <t>Condominio Residencial Quintas del Bosque casa 5 4.883240, -74.043068</t>
  </si>
  <si>
    <t>4.88327499297058, -74.04370694592993</t>
  </si>
  <si>
    <t>gabriela ramirez caro</t>
  </si>
  <si>
    <t>Gabriela Ramirez Caro</t>
  </si>
  <si>
    <t>573108508105</t>
  </si>
  <si>
    <t>calle 150a #45-55 apto 511</t>
  </si>
  <si>
    <t>4.73279125652287, -74.0505135616888</t>
  </si>
  <si>
    <t>Geraldin Bustamante</t>
  </si>
  <si>
    <t>573138086463</t>
  </si>
  <si>
    <t>4.594354612932832, -74.15685287443354</t>
  </si>
  <si>
    <t>Giovanny Andrés Gómez</t>
  </si>
  <si>
    <t>573150570538</t>
  </si>
  <si>
    <t xml:space="preserve"> CR68C #77-43 EDIFICIO MPH APTO 1010</t>
  </si>
  <si>
    <t>4.683986787634647, -74.08283800360363</t>
  </si>
  <si>
    <t>Gladis Baquero</t>
  </si>
  <si>
    <t>573132088593</t>
  </si>
  <si>
    <t>RIOJA TORRE 3-APT-03-2110 CRA 7 A # 172 A 30 BOGOTA DC</t>
  </si>
  <si>
    <t>4.750929372200678, -74.02545606480406</t>
  </si>
  <si>
    <t>Gloria Muriel Botero</t>
  </si>
  <si>
    <t>573108753186</t>
  </si>
  <si>
    <t>Calle 175 # 76- 50casa 3  conjunto Rodamontes</t>
  </si>
  <si>
    <t>4.766272507907867, -74.06505028491672</t>
  </si>
  <si>
    <t>Gloria Patricia Peña 100</t>
  </si>
  <si>
    <t>61493608991</t>
  </si>
  <si>
    <t>carrera1 # 15 -90 El bejucal cajicá. casa 19</t>
  </si>
  <si>
    <t>Guillermo Gonzalez</t>
  </si>
  <si>
    <t>573212166664</t>
  </si>
  <si>
    <t>Carrera 100C#129C-18 ,primer piso barrio lagos de Suba maps, 4.729876, -74.097900</t>
  </si>
  <si>
    <t>4.730116225796329, -74.0979339216216</t>
  </si>
  <si>
    <t>Gustavo Ferro</t>
  </si>
  <si>
    <t>573124300773</t>
  </si>
  <si>
    <t>Conjunto Residencial Mazuren 1, Cra. 55 #152b 68  torre  5 apto 205</t>
  </si>
  <si>
    <t>4.738810556051121, -74.05683121929226</t>
  </si>
  <si>
    <t>Gustavo Toro</t>
  </si>
  <si>
    <t>573504265525</t>
  </si>
  <si>
    <t>carrera 49d #87-13</t>
  </si>
  <si>
    <t>4.678582461768557, -74.06532282883626</t>
  </si>
  <si>
    <t>Hair Muñoz 250</t>
  </si>
  <si>
    <t>573008676283</t>
  </si>
  <si>
    <t>Calle 108B 6-24 Apt 101</t>
  </si>
  <si>
    <t>4.687062186013176, -74.03435239334473</t>
  </si>
  <si>
    <t>Happy Pets Paradise</t>
  </si>
  <si>
    <t>573226140150</t>
  </si>
  <si>
    <t>Cra 55c # 159-10 int 13 piso 1</t>
  </si>
  <si>
    <t>4.741744116405488, -74.05803109045735</t>
  </si>
  <si>
    <t>harinas</t>
  </si>
  <si>
    <t>Harinas</t>
  </si>
  <si>
    <t>4.6258357299643835, -74.15924837835799</t>
  </si>
  <si>
    <t>Harley Irene Monsalve</t>
  </si>
  <si>
    <t>573219967349</t>
  </si>
  <si>
    <t>Carrera 66# 60a 50 sur Papeleria vacesan</t>
  </si>
  <si>
    <t>Hector Lizarazo</t>
  </si>
  <si>
    <t>573208941892</t>
  </si>
  <si>
    <t>Hacienda Fontanar km 2.5 via Chia-Cajica. Conj. Ficus casa 5.</t>
  </si>
  <si>
    <t>Helena Mojica</t>
  </si>
  <si>
    <t>573153597347</t>
  </si>
  <si>
    <t>Carrera 7 A 145-41 edif torrealba apto 601 torre 1</t>
  </si>
  <si>
    <t>4.721054927159062, -74.02755301803784</t>
  </si>
  <si>
    <t>Ingrid Natalia Beltrán Ramírez</t>
  </si>
  <si>
    <t>573046420936</t>
  </si>
  <si>
    <t xml:space="preserve">Cr 71 58 a 60 sur Int 28 apto 202 </t>
  </si>
  <si>
    <t>4.593907765896521, -74.16337814007746</t>
  </si>
  <si>
    <t>Ivonne Aguirre</t>
  </si>
  <si>
    <t>573103019618</t>
  </si>
  <si>
    <t>Cra 79 #19-88 t2 apto1301</t>
  </si>
  <si>
    <t>4.6571368504368635, -74.12890961691315</t>
  </si>
  <si>
    <t>Jaime Rolando Ayala Garcia</t>
  </si>
  <si>
    <t>573123775027</t>
  </si>
  <si>
    <t>Calle 159 n. 54 69 torre 4 apto 1005 Portus Alejandría</t>
  </si>
  <si>
    <t>4.740989740976053, -74.05634276417832</t>
  </si>
  <si>
    <t>Jairo Rosas Hernandez</t>
  </si>
  <si>
    <t>573053122534</t>
  </si>
  <si>
    <t>carrera 71 B Bis #12A-40 Torre 1 Apto 402</t>
  </si>
  <si>
    <t>4.640225789141522, -74.12661062537795</t>
  </si>
  <si>
    <t>Javier Diaz</t>
  </si>
  <si>
    <t>573205179480</t>
  </si>
  <si>
    <t>Cra 78 # 16D - 71 conjunto residencial Zajarí zentral. Torre 3 apto 826</t>
  </si>
  <si>
    <t>4.650551363017958, -74.13142174326917</t>
  </si>
  <si>
    <t xml:space="preserve">Jeimmy pinzon </t>
  </si>
  <si>
    <t xml:space="preserve">Jeimmy Pinzon </t>
  </si>
  <si>
    <t>573133669967</t>
  </si>
  <si>
    <t>Carrera 30 # 48-30 Apto 702 edificio portal de Belalcazar Bogotá</t>
  </si>
  <si>
    <t>4.638731644019474, -74.07890854612201</t>
  </si>
  <si>
    <t>Jerson David Ortiz Puentes AURI</t>
  </si>
  <si>
    <t>Jerson David Ortiz Puentes Auri</t>
  </si>
  <si>
    <t>573203909420</t>
  </si>
  <si>
    <t xml:space="preserve">Pinar de novalena </t>
  </si>
  <si>
    <t>Jessica Cabrera</t>
  </si>
  <si>
    <t>573012828335</t>
  </si>
  <si>
    <t>carrera 73 a # 167-91 casa 27 conjunto portales del norte 1 manzana 4</t>
  </si>
  <si>
    <t>4.752905548881764, -74.06569836084948</t>
  </si>
  <si>
    <t>Jessica Moreno 48</t>
  </si>
  <si>
    <t>573505658503</t>
  </si>
  <si>
    <t>Calle 79 #10 d 95 parques de castilla 4 trr 2 apto 504</t>
  </si>
  <si>
    <t>4.645752167091152, -74.13871486786599</t>
  </si>
  <si>
    <t>Jessica Ortega</t>
  </si>
  <si>
    <t>573227137325</t>
  </si>
  <si>
    <t>Cra 97 B bis # 38-53 sur</t>
  </si>
  <si>
    <t>4.647953411511247, -74.17355170343387</t>
  </si>
  <si>
    <t>Jhilmar jhobany sierra mahecha</t>
  </si>
  <si>
    <t>Jhilmar Jhobany Sierra Mahecha</t>
  </si>
  <si>
    <t>573144472686</t>
  </si>
  <si>
    <t>oficina zipaquira</t>
  </si>
  <si>
    <t>Jhoan Camilo Sanchez Valderrama</t>
  </si>
  <si>
    <t>573123577008</t>
  </si>
  <si>
    <t>Conjunto Residencial PRIMAVERA 639, etapa 1,  Torre 6 apto 2105</t>
  </si>
  <si>
    <t>4.613576536678958, -74.1076351348817</t>
  </si>
  <si>
    <t>Jhon Bocanegra</t>
  </si>
  <si>
    <t>573142244660</t>
  </si>
  <si>
    <t>calle 56 # 38-23 apt 501 edificio Flamingo. Barrio Nicolás de Federman</t>
  </si>
  <si>
    <t>4.646226941285722, -74.08315565961584</t>
  </si>
  <si>
    <t>Jhon Fredy Meneses Leal</t>
  </si>
  <si>
    <t>573193174586</t>
  </si>
  <si>
    <t>Calle 72F #114 A - 40 Torre 9 apto 502</t>
  </si>
  <si>
    <t>4.716550522906735, -74.12923650360332</t>
  </si>
  <si>
    <t>Jimmy Puentes 230</t>
  </si>
  <si>
    <t>573106892868</t>
  </si>
  <si>
    <t>calle 63 sur # 64-90 conjunto el jardin interior 10 apto 552</t>
  </si>
  <si>
    <t>4.584726085541368, -74.1572640919668</t>
  </si>
  <si>
    <t>Jineth veronica florez gonzalez</t>
  </si>
  <si>
    <t>Jineth Veronica Florez Gonzalez</t>
  </si>
  <si>
    <t>573209504332</t>
  </si>
  <si>
    <t>Calle34abis#88c-4</t>
  </si>
  <si>
    <t>Johan Ochoa Gaviria</t>
  </si>
  <si>
    <t>573011360508</t>
  </si>
  <si>
    <t>Calle 13 SUR 2-82 finca El Triunfo, Cajicá, Cundinamarca ,(Por Camino Buena Suerte, en Maps buscar Alkisofia)</t>
  </si>
  <si>
    <t>Johanna Echeverri Nuggets</t>
  </si>
  <si>
    <t>573142555974</t>
  </si>
  <si>
    <t>Transversal 78i Bis &amp; Calle 41b Sur</t>
  </si>
  <si>
    <t>4.61453716457459, -74.15660020037102</t>
  </si>
  <si>
    <t>John Barbosa hernandez</t>
  </si>
  <si>
    <t>John Barbosa Hernandez</t>
  </si>
  <si>
    <t>573015619872</t>
  </si>
  <si>
    <t>Cra 27 # 1 a 21</t>
  </si>
  <si>
    <t>4.617954163516737, -74.15791058870259</t>
  </si>
  <si>
    <t>John Beltrán</t>
  </si>
  <si>
    <t>573132549221</t>
  </si>
  <si>
    <t xml:space="preserve"> Kr 8d 160 94 casa puerta dorada</t>
  </si>
  <si>
    <t>John Bernal Castañeda VS</t>
  </si>
  <si>
    <t>John Bernal Castañeda Vs</t>
  </si>
  <si>
    <t>57318 8972079</t>
  </si>
  <si>
    <t>318 8972079</t>
  </si>
  <si>
    <t>Calle 97 # 70 c 95, Portal de Pontevedra 5, Torre 4 apto 602</t>
  </si>
  <si>
    <t>4.694953400917142, -74.08017647266468</t>
  </si>
  <si>
    <t>John Fernando Rivera Rincón</t>
  </si>
  <si>
    <t>573002431647</t>
  </si>
  <si>
    <t>Carrera 2b #25c -54 barrio Porvenir Soacha. Tercer piso MAPS 4.582859155301195, -74.20853815434148</t>
  </si>
  <si>
    <t>4.583084186034461, -74.20855403244018</t>
  </si>
  <si>
    <t>John Hernandez</t>
  </si>
  <si>
    <t>4.617953875836762, -74.15793037349941</t>
  </si>
  <si>
    <t>John Miranda</t>
  </si>
  <si>
    <t>573158647677</t>
  </si>
  <si>
    <t>Kr 97# 24 32 Int 7 Apto 201</t>
  </si>
  <si>
    <t>4.680020121967063, -74.13183899011234</t>
  </si>
  <si>
    <t>Jonathan Lopez Puerta</t>
  </si>
  <si>
    <t>573182279041</t>
  </si>
  <si>
    <t>cra 74a #168a-50 int 2 apto 708 conjunto residencial takali del monte</t>
  </si>
  <si>
    <t>4.753394316208846, -74.06694386429551</t>
  </si>
  <si>
    <t>Jorge Patarroyo 140</t>
  </si>
  <si>
    <t>573160496529</t>
  </si>
  <si>
    <t>cr 96g #16i 18 casa tercer piso</t>
  </si>
  <si>
    <t>4.67586985789617, -74.1347842747673</t>
  </si>
  <si>
    <t>Jorge Quispe</t>
  </si>
  <si>
    <t>573223299809</t>
  </si>
  <si>
    <t>Carrera 80c#13a-32 barrio adalucia conjunto residencial gerona del vergel torre 4 apto 201</t>
  </si>
  <si>
    <t>4.652748900035442, -74.13636127145675</t>
  </si>
  <si>
    <t>jose alfonso garzon cedeño</t>
  </si>
  <si>
    <t>Jose Alfonso Garzon Cedeño</t>
  </si>
  <si>
    <t>573022930654</t>
  </si>
  <si>
    <t>Terminal, direccion Calle 54 # 94-24, T1 Apto 8,1 cali</t>
  </si>
  <si>
    <t>Jose Jaime López Velandia</t>
  </si>
  <si>
    <t>573132848302</t>
  </si>
  <si>
    <t>terminal salitre: Calle 66#39B10 barrio las colinas Manizales Caldas</t>
  </si>
  <si>
    <t>Jose Luis Barrios 115</t>
  </si>
  <si>
    <t>573154918270</t>
  </si>
  <si>
    <t>calle 58N #4B-45 Apto 904 B unidad residencial divento barrio la flora</t>
  </si>
  <si>
    <t>José María Robayo 30</t>
  </si>
  <si>
    <t>573102397760</t>
  </si>
  <si>
    <t>Calle 145 13A-96 Apartamento 204 Edificio Parque del Cedro.</t>
  </si>
  <si>
    <t>José odair Suárez</t>
  </si>
  <si>
    <t>José Odair Suárez</t>
  </si>
  <si>
    <t>573158943240</t>
  </si>
  <si>
    <t>Calle 22a 83 61 Mallorca 4 casa 3</t>
  </si>
  <si>
    <t>4.6662458995654035, -74.12910456127624</t>
  </si>
  <si>
    <t>Juan Andres Restrepo</t>
  </si>
  <si>
    <t>573155947421</t>
  </si>
  <si>
    <t>Calle 65 #22-13 edificio arko I apto 302</t>
  </si>
  <si>
    <t>4.655924333960473, -74.07024587751926</t>
  </si>
  <si>
    <t>Juan Carlos Arango Castano 150</t>
  </si>
  <si>
    <t>573142352415</t>
  </si>
  <si>
    <t>Cr 69B # 96 -18. Barrio Julio Flórez</t>
  </si>
  <si>
    <t>4.69079956042075, -74.07749960395277</t>
  </si>
  <si>
    <t>Juan Carlos Ospina Arango</t>
  </si>
  <si>
    <t>573232204888</t>
  </si>
  <si>
    <t>Tv 42a # 5a 82 piso 1</t>
  </si>
  <si>
    <t>4.61868895731389, -74.10774600627855</t>
  </si>
  <si>
    <t>Juan esteban ramirez</t>
  </si>
  <si>
    <t>Juan Esteban Ramirez</t>
  </si>
  <si>
    <t>573054066396</t>
  </si>
  <si>
    <t>Kra 78a #48 sur 22</t>
  </si>
  <si>
    <t>4.611792199567547, -74.16528084607128</t>
  </si>
  <si>
    <t>JUAN OLAEZ CARDONA</t>
  </si>
  <si>
    <t>Juan Olaez Cardona</t>
  </si>
  <si>
    <t>573014259952</t>
  </si>
  <si>
    <t>DIRECCIÓN: CALLE 137  #  91-40.  INTERIOR 1.  APARTAMENTO 204.  CONJUNTO RESIDENCIAL "SAUCES DE SUBA".</t>
  </si>
  <si>
    <t>Juan sebastian prieto pinzón</t>
  </si>
  <si>
    <t>Juan Sebastian Prieto Pinzón</t>
  </si>
  <si>
    <t>573124784496</t>
  </si>
  <si>
    <t>Calle 23abis#83-25 Apto 612 Modelia 88</t>
  </si>
  <si>
    <t>4.667719300480578, -74.12609091111949</t>
  </si>
  <si>
    <t>Juan Sebastian Tintinago</t>
  </si>
  <si>
    <t>573125933078</t>
  </si>
  <si>
    <t>Calle 160 #58-75 torre 6 apto 404 conjunto residencial Dalí . Barrio Gilmar</t>
  </si>
  <si>
    <t>4.742819869302704, -74.0612282556726</t>
  </si>
  <si>
    <t xml:space="preserve">Julia Cubides Cardeña </t>
  </si>
  <si>
    <t>573004999882</t>
  </si>
  <si>
    <t>Calle 138 D #153 C-14 Bogotá, Suba, barrio Santa Rita</t>
  </si>
  <si>
    <t>Juliana Sofia Torres Osorio</t>
  </si>
  <si>
    <t>573197167416</t>
  </si>
  <si>
    <t>Calle 37#29-18 soledad (casa)</t>
  </si>
  <si>
    <t>4.626149354965175, -74.07948722528062</t>
  </si>
  <si>
    <t>Julieth Gutierrez</t>
  </si>
  <si>
    <t>573118065313</t>
  </si>
  <si>
    <t>Carrera 7h no 151-53 apt 102</t>
  </si>
  <si>
    <t>Karen dayana castro poveda</t>
  </si>
  <si>
    <t>Karen Dayana Castro Poveda</t>
  </si>
  <si>
    <t>573204999066</t>
  </si>
  <si>
    <t>carrera 95J # 91A - 73</t>
  </si>
  <si>
    <t>Karen Forero</t>
  </si>
  <si>
    <t>573175270866</t>
  </si>
  <si>
    <t>Calle 42g # 87c 11 casa</t>
  </si>
  <si>
    <t>4.632403129468985, -74.17221232199272</t>
  </si>
  <si>
    <t>Karen Sofía bolívar Triviño</t>
  </si>
  <si>
    <t>Karen Sofía Bolívar Triviño</t>
  </si>
  <si>
    <t>573223632200</t>
  </si>
  <si>
    <t>3223632200</t>
  </si>
  <si>
    <t xml:space="preserve">Calle 77 sur # 81H - 20 Bosa San José conjunto residencial parque tuparro torre 14 apto 301 </t>
  </si>
  <si>
    <t>4.614739893020716, -74.20230600185388</t>
  </si>
  <si>
    <t>Katherine Padilla Mosquera</t>
  </si>
  <si>
    <t>573118404563</t>
  </si>
  <si>
    <t>Calle 22c #29a-47 Int 16 apto 16-41</t>
  </si>
  <si>
    <t>4.62203128639481, -74.08436503244015</t>
  </si>
  <si>
    <t xml:space="preserve">Kevin Leonardo Quevedo Ardila </t>
  </si>
  <si>
    <t>573213564596</t>
  </si>
  <si>
    <t>Carrera 81B #6B 85 casa 156</t>
  </si>
  <si>
    <t>4.639582572339472, -74.15160373225525</t>
  </si>
  <si>
    <t>La Tienda De Mechas Y Sus Amigos</t>
  </si>
  <si>
    <t>573214792026</t>
  </si>
  <si>
    <t>Cl. 33 Sur #40-10 Local 1, Puente Aranda, Bogotá</t>
  </si>
  <si>
    <t>4.5980253436331155, -74.12245293831056</t>
  </si>
  <si>
    <t>Lady Johanna Camargo Cardona</t>
  </si>
  <si>
    <t>573146640759</t>
  </si>
  <si>
    <t>Cra89 A BIS # 8 A 18 Torre8 apto 829, Conjunto Málaga Castilla reservado,  Nueva Castilla</t>
  </si>
  <si>
    <t>4.583071912770926, -74.11260368006542</t>
  </si>
  <si>
    <t>Laura Alejandra Torres Granados</t>
  </si>
  <si>
    <t>573215752195</t>
  </si>
  <si>
    <t>Ak 68 # 5-17 porto americas club residencial T2 Apto 2410</t>
  </si>
  <si>
    <t>4.626204732075657, -74.12383972627607</t>
  </si>
  <si>
    <t>Laura Cristina Sanabria moreno</t>
  </si>
  <si>
    <t>Laura Cristina Sanabria Moreno</t>
  </si>
  <si>
    <t>573165157961</t>
  </si>
  <si>
    <t>carrera 103 f #140c 16</t>
  </si>
  <si>
    <t>4.74403591313081, -74.09632900627781</t>
  </si>
  <si>
    <t>laura fernanda gomez ramirez</t>
  </si>
  <si>
    <t>Laura Fernanda Gomez Ramirez</t>
  </si>
  <si>
    <t>573003622282</t>
  </si>
  <si>
    <t>carrera 66 79 a 82 unidad 1 interior q apto 103.</t>
  </si>
  <si>
    <t>4.681998103982473, -74.07902123600776</t>
  </si>
  <si>
    <t>Laura Marcela Niño Rojas</t>
  </si>
  <si>
    <t>573125248122</t>
  </si>
  <si>
    <t>Calle 3 # 78B-62 Mandalay casa</t>
  </si>
  <si>
    <t>4.6278449015320575, -74.14634393168953</t>
  </si>
  <si>
    <t>Laura Marcela Rojas Diaz</t>
  </si>
  <si>
    <t>573186910791</t>
  </si>
  <si>
    <t>Transversal 53d #129-67 torre A apto 405</t>
  </si>
  <si>
    <t>4.717782708246917, -74.06146983250915</t>
  </si>
  <si>
    <t>Laura Posso</t>
  </si>
  <si>
    <t>573106848762</t>
  </si>
  <si>
    <t>Laura Solano-paola garcia</t>
  </si>
  <si>
    <t>Laura Solano-Paola Garcia</t>
  </si>
  <si>
    <t>573232336182</t>
  </si>
  <si>
    <t>Cl. 9c Bis #68g-29 torre 10 apto 301 reserva de las americas 2</t>
  </si>
  <si>
    <t>4.634163883096187, -74.12573786395023</t>
  </si>
  <si>
    <t>Leidy Bayona Saganome 113</t>
  </si>
  <si>
    <t>573183191793</t>
  </si>
  <si>
    <t>Calle 7 sur 6-15</t>
  </si>
  <si>
    <t>Leidy Johana Murcia</t>
  </si>
  <si>
    <t>573174193520</t>
  </si>
  <si>
    <t>cra78h#56a 20 sur</t>
  </si>
  <si>
    <t>4.60929862379699, -74.17203389325242</t>
  </si>
  <si>
    <t>Leonardo Ferrer</t>
  </si>
  <si>
    <t>573115050821</t>
  </si>
  <si>
    <t>Cra 14c 148-46 casa 12 cedro bolivar</t>
  </si>
  <si>
    <t>4.73070252558352, -74.04008401124113</t>
  </si>
  <si>
    <t>Lida Fernanda Lizo</t>
  </si>
  <si>
    <t>573208398555</t>
  </si>
  <si>
    <t>Cll 163#59a-10 torre 2 Apt 1712</t>
  </si>
  <si>
    <t>4.747170111978072, -74.06180453225485</t>
  </si>
  <si>
    <t>Liliana Andrea Sánchez Cristancho Chiripa</t>
  </si>
  <si>
    <t>573114755232</t>
  </si>
  <si>
    <t>Calle 5ta sur # 3 - 44. Al lado de helados san Jerónimo</t>
  </si>
  <si>
    <t>4.909398784536354, -74.0277348160555</t>
  </si>
  <si>
    <t>Lina Bustos 140</t>
  </si>
  <si>
    <t>573143690333</t>
  </si>
  <si>
    <t>Cl. 17A #7A-27, Funza, Cundinamarca. Torre 9 apto 401</t>
  </si>
  <si>
    <t>4.713036239029747, -74.20631575942217</t>
  </si>
  <si>
    <t xml:space="preserve">Lina Marcela Vasquez </t>
  </si>
  <si>
    <t>573007458537</t>
  </si>
  <si>
    <t>Cra 19 a # 173-70 torre 4 apto 604, Conjunto Tamesis 175</t>
  </si>
  <si>
    <t>4.754602549356499, -74.0410181802793</t>
  </si>
  <si>
    <t>lina rincón</t>
  </si>
  <si>
    <t>Lina Rincón</t>
  </si>
  <si>
    <t>573170661732</t>
  </si>
  <si>
    <t>⁠Carrera 123a#77b-85 torre 1 apto 30 conjunto Tinguazul gran granada</t>
  </si>
  <si>
    <t>Lory Johanna Choconta</t>
  </si>
  <si>
    <t>573223951234</t>
  </si>
  <si>
    <t xml:space="preserve">cra 64 # 67a -05 casa 1 </t>
  </si>
  <si>
    <t>4.671262760858861, -74.08574118768465</t>
  </si>
  <si>
    <t>Luis Alonso</t>
  </si>
  <si>
    <t>573123218364</t>
  </si>
  <si>
    <t>cl 25 b # 71-18 apt 1405 torre 3a</t>
  </si>
  <si>
    <t>4.6635935300873355, -74.11233458433273</t>
  </si>
  <si>
    <t>Luis Fernando Galvis Osorio GAIA</t>
  </si>
  <si>
    <t>Luis Fernando Galvis Osorio Gaia</t>
  </si>
  <si>
    <t>573229473612</t>
  </si>
  <si>
    <t>carrera 73 a # 167-91 casa 19 conjunto portales del norte 1 manzana 4</t>
  </si>
  <si>
    <t>4.752128992837613, -74.06569656719068</t>
  </si>
  <si>
    <t>Luisa fernanda Barbosa</t>
  </si>
  <si>
    <t>Luisa Fernanda Barbosa</t>
  </si>
  <si>
    <t>573128951233</t>
  </si>
  <si>
    <t>Carrera 89 bis A # 59 C 15 sur Conjunto atalay del recreo torre 4- 414</t>
  </si>
  <si>
    <t>4.628813329606383, -74.19413888134949</t>
  </si>
  <si>
    <t>Luisa Fernanda Duque Barreiro</t>
  </si>
  <si>
    <t>573057671212</t>
  </si>
  <si>
    <t>CR 31 # 15-119 sur T 16 AP 402 - Ciudad verde, Soacha</t>
  </si>
  <si>
    <t>4.601569985099832, -74.21905865092434</t>
  </si>
  <si>
    <t>Luna Tobón Valencia</t>
  </si>
  <si>
    <t>573138406465</t>
  </si>
  <si>
    <t>cll 29 N. 17-40 apto 201</t>
  </si>
  <si>
    <t>4.619181111207877, -74.0742012689129</t>
  </si>
  <si>
    <t>marzo</t>
  </si>
  <si>
    <t>Luvier Fernando Lugo 130</t>
  </si>
  <si>
    <t>573002112901</t>
  </si>
  <si>
    <t xml:space="preserve"> conjunto Rincón de Fonqueta, casa 38, Chia - Cundinamarca</t>
  </si>
  <si>
    <t>4.86588861414571, -74.07063125862813</t>
  </si>
  <si>
    <t>Luz Marina Monroy 25</t>
  </si>
  <si>
    <t>573223073853</t>
  </si>
  <si>
    <t>Cra 80 # 8 11 torre 2 apto 715 torres de Santa Bárbara 
Barrio Castilla</t>
  </si>
  <si>
    <t>4.641173534238557, -74.14550865906736</t>
  </si>
  <si>
    <t>Luz Mery Camen</t>
  </si>
  <si>
    <t>573143484505</t>
  </si>
  <si>
    <t>Cra 156a #132-11 barrio lisboa santa cecilia suba</t>
  </si>
  <si>
    <t>4.7412053669056755, -74.1258837597783</t>
  </si>
  <si>
    <t>magda juliana serna Lopez</t>
  </si>
  <si>
    <t>Magda Juliana Serna Lopez</t>
  </si>
  <si>
    <t>573204477576</t>
  </si>
  <si>
    <t>calle 33 # 37-63 cojunto Residencial Guadual ciudad verde Torre 10 apto 103</t>
  </si>
  <si>
    <t>4.610220828371852, -74.2197307960625</t>
  </si>
  <si>
    <t>Marcela Diaz</t>
  </si>
  <si>
    <t>573123176445</t>
  </si>
  <si>
    <t xml:space="preserve">Calle 63 sur No 70d-75 torre 12 apto 402 Parque central bonavista 1 </t>
  </si>
  <si>
    <t>4.588889172702214, -74.16288712197868</t>
  </si>
  <si>
    <t>Marcela Hernandez</t>
  </si>
  <si>
    <t>573194584587</t>
  </si>
  <si>
    <t>María Alejandra Morales</t>
  </si>
  <si>
    <t>573144789566</t>
  </si>
  <si>
    <t>CRA 48 #163b-58 Apto 606, edificio la Giralda I</t>
  </si>
  <si>
    <t>4.745829682663627, -74.04936191709444</t>
  </si>
  <si>
    <t>Maria Alejandra Reina 145</t>
  </si>
  <si>
    <t>573174191530</t>
  </si>
  <si>
    <t>Kra 78#69B 04 sur MAPA 4.600822, -74.190267</t>
  </si>
  <si>
    <t>4.601046574908509, -74.19024554860681</t>
  </si>
  <si>
    <t>Maria Alejandra Wilches</t>
  </si>
  <si>
    <t>573176712724</t>
  </si>
  <si>
    <t>Calle 8 # 3 - 38 Este barrio el misterio Cajica</t>
  </si>
  <si>
    <t>4.923074470867486, -74.0228870589368</t>
  </si>
  <si>
    <t>María Angélica Márquez Rozo</t>
  </si>
  <si>
    <t>573105587843</t>
  </si>
  <si>
    <t>Cra 50 # 104 B - 34 Apto 210</t>
  </si>
  <si>
    <t>4.69390853307671, -74.06063705411367</t>
  </si>
  <si>
    <t>María Claudia Muriel Botero</t>
  </si>
  <si>
    <t>573108677744</t>
  </si>
  <si>
    <t>Calle 183# 76-35 conjunto Socieg</t>
  </si>
  <si>
    <t>4.770821078518771, -74.06132445541856</t>
  </si>
  <si>
    <t>Maria consuelo Ruiz</t>
  </si>
  <si>
    <t>Maria Consuelo Ruiz</t>
  </si>
  <si>
    <t>573208834012</t>
  </si>
  <si>
    <t>Cra. 52b # 43-32, Puente Aranda, Bogotá, D.C., Bogotá, Bogotá, D.C.</t>
  </si>
  <si>
    <t>4.596246753764753, -74.13533808845139</t>
  </si>
  <si>
    <t>Maria Magdalena Saavedra</t>
  </si>
  <si>
    <t>573133252005</t>
  </si>
  <si>
    <t>Calle 69asur #104 18 recreo de San Ignacio casa 243</t>
  </si>
  <si>
    <t>4.638481988215988, -74.20358390627841</t>
  </si>
  <si>
    <t>María Paula Buchely Jiménez</t>
  </si>
  <si>
    <t>573023480211</t>
  </si>
  <si>
    <t>carrera 65 número 103 - 52 porto bello 2 Apt 1203-4.692169, -74.067734</t>
  </si>
  <si>
    <t>4.692356534366625, -74.06797926637209</t>
  </si>
  <si>
    <t>Maria Rosa Gallego</t>
  </si>
  <si>
    <t>573175162267</t>
  </si>
  <si>
    <t>calle 98 # 68-63 apto 1103 torre 3</t>
  </si>
  <si>
    <t>4.688796580312861, -74.07458367559103</t>
  </si>
  <si>
    <t>mariana jimenez</t>
  </si>
  <si>
    <t>Mariana Jimenez</t>
  </si>
  <si>
    <t>573134097706</t>
  </si>
  <si>
    <t>monteria</t>
  </si>
  <si>
    <t>Maribel Vidal</t>
  </si>
  <si>
    <t>573203728948</t>
  </si>
  <si>
    <t>Cra 73A 168-91 casa 31 portales de el norte 1 manzana 4</t>
  </si>
  <si>
    <t>4.7525178526431375, -74.06570307260061</t>
  </si>
  <si>
    <t xml:space="preserve">Marina Higuera </t>
  </si>
  <si>
    <t>573025401098</t>
  </si>
  <si>
    <t>Carrera 17a #175-82 Torre1 Apto802 Conjunto Mirador de la Alameda Bogota</t>
  </si>
  <si>
    <t>4.756255057391694, -74.03835844812696</t>
  </si>
  <si>
    <t>Martha Cecilia Romero</t>
  </si>
  <si>
    <t>573102701974</t>
  </si>
  <si>
    <t>Carrera 78A # 84b-55 sur caminos de san diego etapa 2 casa 49</t>
  </si>
  <si>
    <t>4.705227534220869, -74.11309403225496</t>
  </si>
  <si>
    <t>Martha Salgado pet o vet</t>
  </si>
  <si>
    <t>Martha Salgado Pet O Vet</t>
  </si>
  <si>
    <t>573102323184</t>
  </si>
  <si>
    <t>Cra 71d # 3-18</t>
  </si>
  <si>
    <t>4.6261043791708385, -74.13653546127631</t>
  </si>
  <si>
    <t>Mauricio Antonio Bernal Torre</t>
  </si>
  <si>
    <t>573143474850</t>
  </si>
  <si>
    <t>Calle 86a 49c 18</t>
  </si>
  <si>
    <t>4.676918095640377, -74.06597773292691</t>
  </si>
  <si>
    <t>Mauricio Valero</t>
  </si>
  <si>
    <t>573152351111</t>
  </si>
  <si>
    <t>Calle 11 No 33-250 etapa 3 casa 61 Conjunto Residencial La Toscana</t>
  </si>
  <si>
    <t>Mauricio Vargas 270</t>
  </si>
  <si>
    <t>573183725754</t>
  </si>
  <si>
    <t>Carrera 78K # 0 59 Bloque K40 apto 502- MAPS  4.629449, -74.148735</t>
  </si>
  <si>
    <t>4.629382247652597, -74.14875553944059</t>
  </si>
  <si>
    <t>Maye Delgado</t>
  </si>
  <si>
    <t>573227436015</t>
  </si>
  <si>
    <t>calle 70 #97-40 casa 138, barrio alamos norte, conjunto residencial plazuelas de alamos 2</t>
  </si>
  <si>
    <t>4.6996967505875284, -74.11762789029906</t>
  </si>
  <si>
    <t>Melissa Ortiz</t>
  </si>
  <si>
    <t>573115580933</t>
  </si>
  <si>
    <t>Carrera 46 # 22A 27, apartamento 602, Edificio Nancy</t>
  </si>
  <si>
    <t>4.634978486104471, -74.09700613696569</t>
  </si>
  <si>
    <t>Mercedes Paez</t>
  </si>
  <si>
    <t>573123538879</t>
  </si>
  <si>
    <t>Diagonal 46 sur #52a 94, Drogueria henrys</t>
  </si>
  <si>
    <t>4.593527793033712, -74.13656636841732</t>
  </si>
  <si>
    <t>Miguel David Avellaneda Mendoza</t>
  </si>
  <si>
    <t>573233952054</t>
  </si>
  <si>
    <t>Carrera 64#68-19 Ap 202 Barrio San Fernando Occidental</t>
  </si>
  <si>
    <t>4.674265006443609, -74.08330358725438</t>
  </si>
  <si>
    <t>Miguel torres</t>
  </si>
  <si>
    <t>Miguel Torres</t>
  </si>
  <si>
    <t>573174184318</t>
  </si>
  <si>
    <t>Calle 6c # 72 b 45 int 7 apto 401</t>
  </si>
  <si>
    <t>Milena Castillo</t>
  </si>
  <si>
    <t>573123223532</t>
  </si>
  <si>
    <t>calle 59 sur madalena urapanes</t>
  </si>
  <si>
    <t>4.5943899745748995, -74.15481964232745</t>
  </si>
  <si>
    <t>Milena Roldan</t>
  </si>
  <si>
    <t>573212180434</t>
  </si>
  <si>
    <t>Calle 38 D #72Q-06 sur  casa esquina verde /3er piso</t>
  </si>
  <si>
    <t>4.614849806182161, -74.14832118425504</t>
  </si>
  <si>
    <t xml:space="preserve">Mireya Gaitán </t>
  </si>
  <si>
    <t>573005563556</t>
  </si>
  <si>
    <t>Kra 102b #151/15 apto 1308 Torre 2 Conjunto residencial yakali</t>
  </si>
  <si>
    <t>Monica Calderon Urrego</t>
  </si>
  <si>
    <t>573208454868</t>
  </si>
  <si>
    <t>Cra. 18#15-36 T2 apto 1912, Torre Estación</t>
  </si>
  <si>
    <t>4.608045701891649, -74.08196817511796</t>
  </si>
  <si>
    <t>Mónica Romero</t>
  </si>
  <si>
    <t>573134800075</t>
  </si>
  <si>
    <t>carrera 136 a # 145-31 Inter 127</t>
  </si>
  <si>
    <t>4.755450303550137, -74.10973373348429</t>
  </si>
  <si>
    <t>Nancy Romero</t>
  </si>
  <si>
    <t>573138772977</t>
  </si>
  <si>
    <t xml:space="preserve">Calle 47A sur # 29-20 Barrio CLARET </t>
  </si>
  <si>
    <t>4.584531751895948, -74.13032365430328</t>
  </si>
  <si>
    <t>Narda Mendez</t>
  </si>
  <si>
    <t>573173755513</t>
  </si>
  <si>
    <t>Trv 70D bis A 68-75 sur T2 Apto 2404</t>
  </si>
  <si>
    <t>4.586313219453256, -74.16126460408648</t>
  </si>
  <si>
    <t>Natalia Duran</t>
  </si>
  <si>
    <t>573057202444</t>
  </si>
  <si>
    <t>Calle 70 #25-15</t>
  </si>
  <si>
    <t>4.66093711599299, -74.06956752162189</t>
  </si>
  <si>
    <t>Nayiver Rincon Diaz</t>
  </si>
  <si>
    <t>573144581629</t>
  </si>
  <si>
    <t>Calle 89#95b-08 int. 106</t>
  </si>
  <si>
    <t>4.715644230686625, -74.10161930341928</t>
  </si>
  <si>
    <t>Neidy Kekhan Reyes</t>
  </si>
  <si>
    <t>573212496807</t>
  </si>
  <si>
    <t>Calle 43a sur #72g-74 casa 62</t>
  </si>
  <si>
    <t>4.602926974313372, -74.14856830627855</t>
  </si>
  <si>
    <t>Nestor Gonzalez</t>
  </si>
  <si>
    <t>573157198061</t>
  </si>
  <si>
    <t>Calle 23a#83-25 Apto 408 modelia MAPS-4°40'03.5"N 74°07'34.0"W</t>
  </si>
  <si>
    <t>4.667652061988113, -74.12611472264274</t>
  </si>
  <si>
    <t>Nestor Guzman</t>
  </si>
  <si>
    <t>573187283298</t>
  </si>
  <si>
    <t>AC 32 13-83 T 6 apt 1404 Conjunti Residencial Bávaro</t>
  </si>
  <si>
    <t>Nestor Valderrama</t>
  </si>
  <si>
    <t>573057630517</t>
  </si>
  <si>
    <t>Calle 32 # 13-52 apto 1304 torre 1 en caja</t>
  </si>
  <si>
    <t>4.619120860860289, -74.06902158645543</t>
  </si>
  <si>
    <t>Nicol rico</t>
  </si>
  <si>
    <t>Nicol Rico</t>
  </si>
  <si>
    <t>573222549449</t>
  </si>
  <si>
    <t>cra 70c # 55r-75 torre 3 1401</t>
  </si>
  <si>
    <t>Nohora Padilla Hellen 60</t>
  </si>
  <si>
    <t>573125973000</t>
  </si>
  <si>
    <t>KR 85L 63f-10 casa 118</t>
  </si>
  <si>
    <t>4.684314298788494, -74.1121750465771</t>
  </si>
  <si>
    <t>Nubia Constanza Rodriguez</t>
  </si>
  <si>
    <t>573208339212</t>
  </si>
  <si>
    <t>Carrera 20 83 a 25 portería barrio el Polo</t>
  </si>
  <si>
    <t>4.671926409759139, -74.06029231536252</t>
  </si>
  <si>
    <t>Nubia Galindo</t>
  </si>
  <si>
    <t>573118511812</t>
  </si>
  <si>
    <t>Carrera 68 G # 9C-51 Conjunto Villa veronica etapa 1 Torre 6-501</t>
  </si>
  <si>
    <t>Paola Andrea Ossa</t>
  </si>
  <si>
    <t>573224175609</t>
  </si>
  <si>
    <t xml:space="preserve">Av Villavicencio #53 A- 75 </t>
  </si>
  <si>
    <t>4.6036982029200475, -74.16220866251274</t>
  </si>
  <si>
    <t>Paola Franco 100</t>
  </si>
  <si>
    <t>573167173907</t>
  </si>
  <si>
    <t>CALLE 33A SUR # 73d -39 casa esquinera apto 201</t>
  </si>
  <si>
    <t>4.623415943633715, -74.14622520896391</t>
  </si>
  <si>
    <t>Paola González 124</t>
  </si>
  <si>
    <t>573134308182</t>
  </si>
  <si>
    <t>calle 54A # 78f - 51 sur casa esquinera  gris</t>
  </si>
  <si>
    <t>4.610542695354071, -74.16995679047922</t>
  </si>
  <si>
    <t>Paola Torres Silva</t>
  </si>
  <si>
    <t>573103093707</t>
  </si>
  <si>
    <t>torres de bellavista t4 1005</t>
  </si>
  <si>
    <t>Patricia Esguerra Velo 75</t>
  </si>
  <si>
    <t>573124021670</t>
  </si>
  <si>
    <t>vereda Rio Frio Occidental Finca Santa Clara. Interrapidisimo</t>
  </si>
  <si>
    <t>Patricia Lopez</t>
  </si>
  <si>
    <t>573144250722</t>
  </si>
  <si>
    <t>Calle 167 74-32, Takali de piedemonte, Torre 4 313</t>
  </si>
  <si>
    <t>Plastico empresariales</t>
  </si>
  <si>
    <t>Plastico Empresariales</t>
  </si>
  <si>
    <t>Ricardo Andrés Paredes G</t>
  </si>
  <si>
    <t>573208294365</t>
  </si>
  <si>
    <t>Carrera 87a #53-42 sur apto 102. Bosa Chicala</t>
  </si>
  <si>
    <t>4.682566227942207, -74.15720183225503</t>
  </si>
  <si>
    <t>Ricardo Blanco 110</t>
  </si>
  <si>
    <t>573134939137</t>
  </si>
  <si>
    <t>CRA 103b-73-73 Bogotá</t>
  </si>
  <si>
    <t>4.70750514083432, -74.11759347744223</t>
  </si>
  <si>
    <t xml:space="preserve">Ricardo Mayorga </t>
  </si>
  <si>
    <t>573125952260</t>
  </si>
  <si>
    <t>Cra 85a 89 20</t>
  </si>
  <si>
    <t>Richard Rincón dobby</t>
  </si>
  <si>
    <t>Richard Rincón Dobby</t>
  </si>
  <si>
    <t>573015802694</t>
  </si>
  <si>
    <t>Carrera 85D # 46A-38</t>
  </si>
  <si>
    <t>Rigoberto londoño</t>
  </si>
  <si>
    <t>Rigoberto Londoño</t>
  </si>
  <si>
    <t>573144130865</t>
  </si>
  <si>
    <t>Casa 50 urapanes</t>
  </si>
  <si>
    <t>Rocio Linares</t>
  </si>
  <si>
    <t>573208119637</t>
  </si>
  <si>
    <t>Calle 42 g sur 74 30 Torre 1 Apto 810</t>
  </si>
  <si>
    <t>4.6110590835036644, -74.15820403278772</t>
  </si>
  <si>
    <t xml:space="preserve">Ronald Cruz </t>
  </si>
  <si>
    <t>573202548747</t>
  </si>
  <si>
    <t>Carrera21a#64-90sur</t>
  </si>
  <si>
    <t>Sandra Galvis</t>
  </si>
  <si>
    <t>573204698185</t>
  </si>
  <si>
    <t>carrera 73 a # 167-91 casa 25 conjunto portales del norte 1 manzana 4</t>
  </si>
  <si>
    <t>Sandra Lucia Muñoz Mosquera</t>
  </si>
  <si>
    <t>573193187152</t>
  </si>
  <si>
    <t>Carrera 78 11 C 21 Bosques de Alsacia ApTto 603 Torre 3</t>
  </si>
  <si>
    <t>4.64783964035972, -74.13505818478414</t>
  </si>
  <si>
    <t>Sandra Milena Lara García</t>
  </si>
  <si>
    <t>573124871923</t>
  </si>
  <si>
    <t xml:space="preserve"> Calle 44C # 45 53 int. 4 apto 201, Rafael Núñez, primera etapa. Bogotá Colombia</t>
  </si>
  <si>
    <t>4.642432048009622, -74.08868726930255</t>
  </si>
  <si>
    <t>Sandra Milena Sandoval Osorio</t>
  </si>
  <si>
    <t>573143420660</t>
  </si>
  <si>
    <t>Carrera 87c#69a-80sur Colegio mixto villa Carolina</t>
  </si>
  <si>
    <t>Sandra Milena Villamizar 180</t>
  </si>
  <si>
    <t>573027081180</t>
  </si>
  <si>
    <t>Kr 85L #63f-10 Casa 7</t>
  </si>
  <si>
    <t>Sandra Romero</t>
  </si>
  <si>
    <t>573002776351</t>
  </si>
  <si>
    <t>Calle 6c 82a-91 Conjunto aralia de Castilla Apartamento 1201 torre 5</t>
  </si>
  <si>
    <t>4.64222062444922, -74.15375246465743</t>
  </si>
  <si>
    <t>Sandra Sotelo</t>
  </si>
  <si>
    <t>573123733590</t>
  </si>
  <si>
    <t>Calle 6 # 1A-102E, Torre 14 Apto 301, Conjunto residencial El Solar, Madrid, Cundinamarca-MAPS 4.725965, -74.257071</t>
  </si>
  <si>
    <t>4.726259188241475, -74.25705982415317</t>
  </si>
  <si>
    <t>Sandra Yaneth Beltrán Vera 115</t>
  </si>
  <si>
    <t>573202342573</t>
  </si>
  <si>
    <t>Clle 6b #81b-51 torre 3 , apto 409, conjunto tierra del sol</t>
  </si>
  <si>
    <t>4.639292424886029, -74.15340283511436</t>
  </si>
  <si>
    <t>Santiago Medina Vega</t>
  </si>
  <si>
    <t>573124298893</t>
  </si>
  <si>
    <t>Calle 22 b #63-24 conjunto el refugio torre 5 apto 402</t>
  </si>
  <si>
    <t>4.6449741226887165, -74.1049758972419</t>
  </si>
  <si>
    <t>Sara Sanabria 100</t>
  </si>
  <si>
    <t>573103055919</t>
  </si>
  <si>
    <t>Calle 22b #54-21 Conjunto residencial reserva del salitre 6-403</t>
  </si>
  <si>
    <t>4.639698901396669, -74.10112141947207</t>
  </si>
  <si>
    <t>Saraya Bonilla Lozada</t>
  </si>
  <si>
    <t>573218940510</t>
  </si>
  <si>
    <t>Carrera 16 #28a-38 apto 401</t>
  </si>
  <si>
    <t>4.617521188491324, -74.07321654698045</t>
  </si>
  <si>
    <t>Sebastian Alfonso Martin VS</t>
  </si>
  <si>
    <t>Sebastian Alfonso Martin Vs</t>
  </si>
  <si>
    <t>573183876221</t>
  </si>
  <si>
    <t>Cra 68b # 96-70 Torre 4 Apto 903</t>
  </si>
  <si>
    <t>4.6882055423928035, -74.07520210594326</t>
  </si>
  <si>
    <t>Sergio cañon</t>
  </si>
  <si>
    <t>Sergio Cañon</t>
  </si>
  <si>
    <t>573165294356</t>
  </si>
  <si>
    <t>Calle 12a # 71c-61 torre 15 apto 403</t>
  </si>
  <si>
    <t>4.642703168943996, -74.12975927298073</t>
  </si>
  <si>
    <t>Simon Guillermo La Torre Buitrago</t>
  </si>
  <si>
    <t>573046129451</t>
  </si>
  <si>
    <t xml:space="preserve">calle 22d #72-41 Conjunto residencial la cascada torre 2 apto 401 </t>
  </si>
  <si>
    <t>4.658845010241058, -74.1192486638704</t>
  </si>
  <si>
    <t>Sofia Poveda</t>
  </si>
  <si>
    <t>573177155156</t>
  </si>
  <si>
    <t>Condominios tierra buena etapa I, Carrera 97f #34a sur-30Interior 58 apto 202, frente a la Drogeria Conder TB</t>
  </si>
  <si>
    <t>4.650554613850914, -74.1723172197738</t>
  </si>
  <si>
    <t>SPA VETERINARIO SMOKY pet o vet</t>
  </si>
  <si>
    <t>Spa Veterinario Smoky Pet O Vet</t>
  </si>
  <si>
    <t>573118863583</t>
  </si>
  <si>
    <t>Calle 60a #65-2 Madelena</t>
  </si>
  <si>
    <t>4.592933694301946, -74.15596074593147</t>
  </si>
  <si>
    <t>Sthephany Ortiz</t>
  </si>
  <si>
    <t>573017910738</t>
  </si>
  <si>
    <t>Carrera 74#152b-70
Conjunto residencial natura living 
Torre 1 apto 310</t>
  </si>
  <si>
    <t>4.742889581747047, -74.06880832730717</t>
  </si>
  <si>
    <t>Tatiana Quitian</t>
  </si>
  <si>
    <t>573219257704</t>
  </si>
  <si>
    <t xml:space="preserve">Cra 131 No 132b 38 </t>
  </si>
  <si>
    <t>4.742861701207069, -74.11349669361789</t>
  </si>
  <si>
    <t>Tatiana Urrea Obando 165</t>
  </si>
  <si>
    <t>573172207542</t>
  </si>
  <si>
    <t>Calle 52a sur 77k 35 piso 1 puerta garaje</t>
  </si>
  <si>
    <t>4.606191929395528, -74.16850673066534</t>
  </si>
  <si>
    <t xml:space="preserve">Valentina Oviedo </t>
  </si>
  <si>
    <t>573152164681</t>
  </si>
  <si>
    <t>Carrera 53#134A-71, edificio capinuri apto 203</t>
  </si>
  <si>
    <t>Valentina Perez Uribe 240</t>
  </si>
  <si>
    <t>573122570708</t>
  </si>
  <si>
    <t>Calle 18 # 67-74 Prados de Mallorca apto 214 la hacienda cali</t>
  </si>
  <si>
    <t>Vanesa Montoya</t>
  </si>
  <si>
    <t>573023735213</t>
  </si>
  <si>
    <t>Cra 69 # 105-28 casa 28k Barrio la floresta</t>
  </si>
  <si>
    <t>4.693901366659413, -74.07117479045719</t>
  </si>
  <si>
    <t xml:space="preserve">Vanesa Sanchez </t>
  </si>
  <si>
    <t>573112877626</t>
  </si>
  <si>
    <t xml:space="preserve"> transversal 74 A#81F12. Barrio minuto de dios</t>
  </si>
  <si>
    <t>variplast</t>
  </si>
  <si>
    <t>Variplast</t>
  </si>
  <si>
    <t>Veronica Buendia 150</t>
  </si>
  <si>
    <t>573114997643</t>
  </si>
  <si>
    <t>carrera 119# 77-50 Rincon de Granada 7. Apto 103 torre 1</t>
  </si>
  <si>
    <t>4.7214851273150655, -74.1306274483296</t>
  </si>
  <si>
    <t>Veronica Ruiz 250</t>
  </si>
  <si>
    <t>57305 8888999</t>
  </si>
  <si>
    <t>305 8888999</t>
  </si>
  <si>
    <t xml:space="preserve">Cra. 67 #65-22 sur  torre 16 462 Caminos de san jorge </t>
  </si>
  <si>
    <t>4.588565273291484, -74.15703227476784</t>
  </si>
  <si>
    <t>Victoria Olano</t>
  </si>
  <si>
    <t>573012055862</t>
  </si>
  <si>
    <t>urapanes</t>
  </si>
  <si>
    <t>Viviana Solorzano Lia</t>
  </si>
  <si>
    <t>573017139465</t>
  </si>
  <si>
    <t>Ak 68 #5 -17 torre 6 apto 2028 portoamericas</t>
  </si>
  <si>
    <t>Wilton Arley Castro Lopez</t>
  </si>
  <si>
    <t>573112675200</t>
  </si>
  <si>
    <t>carrera 7 no 27 - 75 soacha san mateo</t>
  </si>
  <si>
    <t>4.585704562347466, -74.20804021929233</t>
  </si>
  <si>
    <t>Ximena Hernandez Hernandez</t>
  </si>
  <si>
    <t>573003480265</t>
  </si>
  <si>
    <t>Cra 83 #145-77 apto 202 Torre 5 Conjunto Altamonte MAPS4.736189, -74.079853</t>
  </si>
  <si>
    <t>4.735875587453905, -74.07932556843542</t>
  </si>
  <si>
    <t xml:space="preserve">Yaneth Ceron </t>
  </si>
  <si>
    <t>573104882843</t>
  </si>
  <si>
    <t xml:space="preserve">Carrera 49A número 15-40 Apto 302 TorreA Conjunto altos de la Macarena Barrio las granjas </t>
  </si>
  <si>
    <t>3.4071275360391904, -76.52720640443523</t>
  </si>
  <si>
    <t>Yarissa Perea motato</t>
  </si>
  <si>
    <t>Yarissa Perea Motato</t>
  </si>
  <si>
    <t>573195742640</t>
  </si>
  <si>
    <t>CARRERA 10#89-29 EDIFICIO NEOS APTO 603</t>
  </si>
  <si>
    <t>4.671717212577802, -74.04846593463184</t>
  </si>
  <si>
    <t>Yeimmy Johanna Esteban</t>
  </si>
  <si>
    <t>573138501160</t>
  </si>
  <si>
    <t>Calle 49b sur #9A94 torre 1 204</t>
  </si>
  <si>
    <t>4.559647087936828, -74.11843526891333</t>
  </si>
  <si>
    <t xml:space="preserve">Yeimy cadena </t>
  </si>
  <si>
    <t xml:space="preserve">Yeimy Cadena </t>
  </si>
  <si>
    <t>573115912750</t>
  </si>
  <si>
    <t>Cll 52 sur #95a30 Bosa porvenir Conjunto Terranova Diagonal universidad distrital</t>
  </si>
  <si>
    <t>4.639679, -74.186546</t>
  </si>
  <si>
    <t>Yeiny Pinzon 150</t>
  </si>
  <si>
    <t>573012354331</t>
  </si>
  <si>
    <t>Calle 148 # 7b 22 casa</t>
  </si>
  <si>
    <t>4.724674786463461, -74.0270814978259</t>
  </si>
  <si>
    <t>Yeison Peñuela</t>
  </si>
  <si>
    <t>573118418305</t>
  </si>
  <si>
    <t>Cra 12 # 146-44 Apto 104</t>
  </si>
  <si>
    <t>Yilmary Hernandez</t>
  </si>
  <si>
    <t>573156008463</t>
  </si>
  <si>
    <t>carrera 91 # 22B-34 barrio Capellania</t>
  </si>
  <si>
    <t>Yolanda Fernández</t>
  </si>
  <si>
    <t>573162393410</t>
  </si>
  <si>
    <t>Calle 23 A #58-40 apto 203 torre 4 conjunto residencial Loira real</t>
  </si>
  <si>
    <t>4.642974361568187, -74.10242405541936</t>
  </si>
  <si>
    <t>Yolanda Matiz Vasquez</t>
  </si>
  <si>
    <t>573176485204</t>
  </si>
  <si>
    <t>CRA 105 # 238-55 Hacienda San Sebastián Agrupación Las Begonias - Casa 10.</t>
  </si>
  <si>
    <t>4.821851175965991, -74.05693922658263</t>
  </si>
  <si>
    <t>Yury Mora</t>
  </si>
  <si>
    <t>573214527779</t>
  </si>
  <si>
    <t>torres de bellavista, t3 apto1405</t>
  </si>
  <si>
    <t>Zharith Meliza Velandia Hernández</t>
  </si>
  <si>
    <t>573017419790</t>
  </si>
  <si>
    <t>Calle 43sur #68h 69 barrio villa nueva</t>
  </si>
  <si>
    <t>4.601317904569977, -74.14289464544176</t>
  </si>
  <si>
    <t>Zippol</t>
  </si>
  <si>
    <t>4.611824489469801, -74.13854213278778</t>
  </si>
  <si>
    <t>Dog Sano Katerin Liz 200</t>
  </si>
  <si>
    <t>573238165614</t>
  </si>
  <si>
    <t>Carrera38#10a_206, torre 5 6018 soacha ciudad verde Conjunto cala</t>
  </si>
  <si>
    <t>4.609821160362725, -74.22642193225545</t>
  </si>
  <si>
    <t>Gonzalo Tellez Oviedo</t>
  </si>
  <si>
    <t>573502492255</t>
  </si>
  <si>
    <t>Avenida calle 183 # 8a -10 Torre A Apartamento 403</t>
  </si>
  <si>
    <t>saldo abandonado</t>
  </si>
  <si>
    <t>Saldo Abandonado</t>
  </si>
  <si>
    <t>Intereses</t>
  </si>
  <si>
    <t>andrea fuquene</t>
  </si>
  <si>
    <t>Andrea Fuquene</t>
  </si>
  <si>
    <t>573236121767</t>
  </si>
  <si>
    <t>Carrera 14B # 163-29 parque del Samán apto 1202</t>
  </si>
  <si>
    <t>diana homez</t>
  </si>
  <si>
    <t>Diana Homez</t>
  </si>
  <si>
    <t>573214355705</t>
  </si>
  <si>
    <t>cra 67 # 57R - 05 sur, Madelena conjunto Ankara</t>
  </si>
  <si>
    <t>dennis escobar</t>
  </si>
  <si>
    <t>Dennis Escobar</t>
  </si>
  <si>
    <t>573203811083</t>
  </si>
  <si>
    <t>Cra 26 #46c -67 Refugio del virrey pH 501</t>
  </si>
  <si>
    <t>Kristell Escobar</t>
  </si>
  <si>
    <t>573150888802</t>
  </si>
  <si>
    <t>transversal 88B#23D-81 torre 2 apartamento 403 conjunto modelia real</t>
  </si>
  <si>
    <t>William Alberto Martín</t>
  </si>
  <si>
    <t>573005778771</t>
  </si>
  <si>
    <t>Terminal de melgar</t>
  </si>
  <si>
    <t>Mayra Alejandra Rojas Montenegro 80</t>
  </si>
  <si>
    <t>573107870557</t>
  </si>
  <si>
    <t>Calle 63d #28a-52 apto 1807 Conjunto residencial salamanca, Barrio 7 agosto, Bogotá</t>
  </si>
  <si>
    <t>Nubia Méndez</t>
  </si>
  <si>
    <t>573138806526</t>
  </si>
  <si>
    <t>Calle 129 # 102-05 Edificio corintio etapa 2 interior 6 apto 203, Suba</t>
  </si>
  <si>
    <t>Ana Montenegro</t>
  </si>
  <si>
    <t>Calle 22a #72b-48 Apto 204-3 Conjunto residencial el prado</t>
  </si>
  <si>
    <t>Amparo Romero</t>
  </si>
  <si>
    <t>573114608587</t>
  </si>
  <si>
    <t>cra 95a # 26-49 sur ciudadela tierrabuena 1 int 14 apto 102</t>
  </si>
  <si>
    <t>Sandra Milena González Gómez</t>
  </si>
  <si>
    <t>si</t>
  </si>
  <si>
    <t>573123778450</t>
  </si>
  <si>
    <t>Transversal 119a #77-97 int 6 apto 302 conjunto ronda de granada, barrio gran granada</t>
  </si>
  <si>
    <t>4.721873066751421, -74.12955001534507</t>
  </si>
  <si>
    <t>Adriana Biagi</t>
  </si>
  <si>
    <t>573103037684</t>
  </si>
  <si>
    <t>carrera 47A # 113-30 int 9 apto 504, santa maria del alcazar 2</t>
  </si>
  <si>
    <t>Olga Lucia Delgado</t>
  </si>
  <si>
    <t>573133765115</t>
  </si>
  <si>
    <t>diagonal 52 B # 54 B -57 sur Venecia</t>
  </si>
  <si>
    <t>4.587956467961655, -74.14303533278772</t>
  </si>
  <si>
    <t>Cristian Gaviria</t>
  </si>
  <si>
    <t>573016949975</t>
  </si>
  <si>
    <t>el eden</t>
  </si>
  <si>
    <t>Ingrid Vanessa Pinzón Sánchez</t>
  </si>
  <si>
    <t>573195945515</t>
  </si>
  <si>
    <t>Carrera 73 # 66 06 Sur - Perdomo, peñón del Cortijo</t>
  </si>
  <si>
    <t>maria isabel montoya</t>
  </si>
  <si>
    <t>Maria Isabel Montoya</t>
  </si>
  <si>
    <t>573112580224</t>
  </si>
  <si>
    <t>carrera 73 a # 167-91 conjunto portales del norte 1 manzana 4</t>
  </si>
  <si>
    <t>4.752260, -74.065956</t>
  </si>
  <si>
    <t>vanessa alejandra daza</t>
  </si>
  <si>
    <t>Vanessa Alejandra Daza</t>
  </si>
  <si>
    <t>573102938752</t>
  </si>
  <si>
    <t>Ak 71B # 53a sur - 81 olarte</t>
  </si>
  <si>
    <t>Giovanni Bautista</t>
  </si>
  <si>
    <t>573112384646</t>
  </si>
  <si>
    <t>Calle 10 sur # 37 b 04 casa esquinera rejas verdes Localidad Puete Aranda , ciudad montes</t>
  </si>
  <si>
    <t>luz stella Loaiza</t>
  </si>
  <si>
    <t>Luz Stella Loaiza</t>
  </si>
  <si>
    <t>573013160163</t>
  </si>
  <si>
    <t>Calle 48 Sur número 61c22 interior 133 vergel san antonio de prado</t>
  </si>
  <si>
    <t>Karen Santos</t>
  </si>
  <si>
    <t>573164366889</t>
  </si>
  <si>
    <t>Cra 53 # 143 - 45 Interior 6 Apto 205 Conjunto Tehorlu</t>
  </si>
  <si>
    <t>Omar David Noguera</t>
  </si>
  <si>
    <t>573142449979</t>
  </si>
  <si>
    <t>cra 74 # 160-25 apto 605</t>
  </si>
  <si>
    <t>Elizabeth Rodríguez</t>
  </si>
  <si>
    <t>573117070509</t>
  </si>
  <si>
    <t>Cra 68 # 24A-50 Int 2 apt 102 san lorenzo, barrio salitre</t>
  </si>
  <si>
    <t>Gabriel Enrique Acosta Cortes</t>
  </si>
  <si>
    <t>573009485868</t>
  </si>
  <si>
    <t>Calle 2 sur #2-100 apartamento 404 Torre 4, conjunto el molino parque central, Cajica</t>
  </si>
  <si>
    <t>Edgar Pedraza Rojas</t>
  </si>
  <si>
    <t>573162225095</t>
  </si>
  <si>
    <t>Calle 13 No 2-93 Altos de guali etapa 2 Torre 2 Apto 402  Funza Cundinamarca</t>
  </si>
  <si>
    <t>Mario Andrés Gallego</t>
  </si>
  <si>
    <t>573182545192</t>
  </si>
  <si>
    <t>Diagonal 81i # 76 c 33 casa 3 Barrio Palestina - Minuto de Dios</t>
  </si>
  <si>
    <t>Maritza Liliana Tavera</t>
  </si>
  <si>
    <t>573114786136</t>
  </si>
  <si>
    <t>cra 24 # 73-31</t>
  </si>
  <si>
    <t>Sandra Ruiz</t>
  </si>
  <si>
    <t>573195776916</t>
  </si>
  <si>
    <t>Calle 4 # 73b-56 Mandalay</t>
  </si>
  <si>
    <t>Jhon Edinson Parra Sanchez</t>
  </si>
  <si>
    <t>573203684898</t>
  </si>
  <si>
    <t>Diagonal 42 # 13b-40 olivos segundo piso</t>
  </si>
  <si>
    <t>carlos bolaños</t>
  </si>
  <si>
    <t>Carlos Bolaños</t>
  </si>
  <si>
    <t>573006547409</t>
  </si>
  <si>
    <t>cra 8 # 66-60 apto 701</t>
  </si>
  <si>
    <t>Maria Garzon</t>
  </si>
  <si>
    <t>573196688204</t>
  </si>
  <si>
    <t>Carrera 8#21_55 apartamento 402</t>
  </si>
  <si>
    <t>Doggy Lunch Juan Carlos 270</t>
  </si>
  <si>
    <t>573150555549</t>
  </si>
  <si>
    <t>Calle 55 # 72-32 Normandia 2 sector</t>
  </si>
  <si>
    <t>Liliana Cardozo</t>
  </si>
  <si>
    <t>573106661732</t>
  </si>
  <si>
    <t>Diagonal 40sur#34f-25 Bogotá nueva Villa mayor</t>
  </si>
  <si>
    <t xml:space="preserve">Jhon James Martínez Rojas </t>
  </si>
  <si>
    <t>573236329056</t>
  </si>
  <si>
    <t>Calle 63 sur # 78j 38 torre 2 apto 101 Conjunto residencial Sinsonte</t>
  </si>
  <si>
    <t>patricia losada</t>
  </si>
  <si>
    <t>Patricia Losada</t>
  </si>
  <si>
    <t>573188889001</t>
  </si>
  <si>
    <t>Calle 36 # 1-35 casa 480 San mateo soacha</t>
  </si>
  <si>
    <t>Doogy Lunch Marilyn Medina</t>
  </si>
  <si>
    <t>Monica Rodriguez  Márquez</t>
  </si>
  <si>
    <t>573153499818</t>
  </si>
  <si>
    <t>Calle 149 #50-17 apto  207 edificio ombu</t>
  </si>
  <si>
    <t xml:space="preserve">Diana Palomino Ramirez </t>
  </si>
  <si>
    <t>573104162147</t>
  </si>
  <si>
    <t>Calle 86 #69h-40 edificio Ankkara de Pontevedra torre 2 apto 907</t>
  </si>
  <si>
    <t>Administrativo » Trasferencia</t>
  </si>
  <si>
    <t>Milena Álvarez</t>
  </si>
  <si>
    <t>Calle 14 No. 119a 10 Casa C10 Conjunto Senderos de la estancia 1, Recodo, Fontibón</t>
  </si>
  <si>
    <t>Julieth Tatiana Bernal Avila</t>
  </si>
  <si>
    <t>573133427846</t>
  </si>
  <si>
    <t>Carrera 77 # 71-70 Engativa - Santa helenita</t>
  </si>
  <si>
    <t>Johanna Andrea Barrera Ramos</t>
  </si>
  <si>
    <t>573214938536</t>
  </si>
  <si>
    <t>Carrera 54c #143a-90 Apto 521 torre 3 Edificio Barcelona Colina campestre</t>
  </si>
  <si>
    <t>Anna Esmeralda Vargas</t>
  </si>
  <si>
    <t>573197643090</t>
  </si>
  <si>
    <t>Carrera 67 57r 71 sur Ankara apartamentos torre 1 apto 805</t>
  </si>
  <si>
    <t>María Paula Tamayo Galvis 65</t>
  </si>
  <si>
    <t>34627422693</t>
  </si>
  <si>
    <t>Dirección: carrera 23#14-37 Conjunto residencial Alburquerque torre 1 apto 604 Barrio Álamos pereira - Risaralda</t>
  </si>
  <si>
    <t>Andres Mauricio González 350</t>
  </si>
  <si>
    <t>573168273694</t>
  </si>
  <si>
    <t>Calle 16f bis # 97 24</t>
  </si>
  <si>
    <t>0</t>
  </si>
  <si>
    <t>Liliana Gomez</t>
  </si>
  <si>
    <t>57315 3284218</t>
  </si>
  <si>
    <t>315 3284218</t>
  </si>
  <si>
    <t>Calle 2 A sur # 78k 32 Bloque K44 apto 301 Conjunto Residencial Banderas Porteria 5</t>
  </si>
  <si>
    <t>4.628511293194937, -74.15018964142273</t>
  </si>
  <si>
    <t>Alisson Caballero Jordan 200</t>
  </si>
  <si>
    <t>573212341101</t>
  </si>
  <si>
    <t>Camila Geraldine Velandia Peláez</t>
  </si>
  <si>
    <t>573183623443</t>
  </si>
  <si>
    <t xml:space="preserve">Av boyaca #75a-60 casa </t>
  </si>
  <si>
    <t>4.691614213686974, -74.0919048204488</t>
  </si>
  <si>
    <t>Juanita Valencia</t>
  </si>
  <si>
    <t>573502149870</t>
  </si>
  <si>
    <t>ac 100 #64-51 t3 apto 204</t>
  </si>
  <si>
    <t>4.689970037819654, -74.06848814686923</t>
  </si>
  <si>
    <t>leidy Gaviria</t>
  </si>
  <si>
    <t>Leidy Gaviria</t>
  </si>
  <si>
    <t>573002926752</t>
  </si>
  <si>
    <t>EL EDEN</t>
  </si>
  <si>
    <t>Cristian Gamba</t>
  </si>
  <si>
    <t>calle 151 # 109a -25 torre 3 apto 1103</t>
  </si>
  <si>
    <t>4.751887999259434, -74.09746147846529</t>
  </si>
  <si>
    <t>Erika Sofia Bautista Nieves</t>
  </si>
  <si>
    <t>tv 53 # 2a-56 barrio el sol puente aranda</t>
  </si>
  <si>
    <t>4.614563902647698, -74.116936569635</t>
  </si>
  <si>
    <t>sebastian zuñiga</t>
  </si>
  <si>
    <t>Sebastian Zuñiga</t>
  </si>
  <si>
    <t>calle 75 # 23-18</t>
  </si>
  <si>
    <t>paola lópez</t>
  </si>
  <si>
    <t>Paola López</t>
  </si>
  <si>
    <t>Ac 57r sur # 73i-35 conjunto residencial ciudad central torre 3 apto 122</t>
  </si>
  <si>
    <t>Gloria Ines Ayala Baquero</t>
  </si>
  <si>
    <t>573508608264</t>
  </si>
  <si>
    <t>Calle 128 a # 54 b 56 torre 3 apto 1401. Conjunto mirador de cordoba</t>
  </si>
  <si>
    <t>4.714469453465674, -74.06347543226849</t>
  </si>
  <si>
    <t>jose alejandro paez</t>
  </si>
  <si>
    <t>Jose Alejandro Paez</t>
  </si>
  <si>
    <t>573239334278</t>
  </si>
  <si>
    <t>Calle 57a número 67 15 sur villa del rio</t>
  </si>
  <si>
    <t>Isabel Gómez</t>
  </si>
  <si>
    <t>573057672267</t>
  </si>
  <si>
    <t>Calle 25C # 37-15 apto 101</t>
  </si>
  <si>
    <t>ivonne Ávila</t>
  </si>
  <si>
    <t>Ivonne Ávila</t>
  </si>
  <si>
    <t>573163365535</t>
  </si>
  <si>
    <t>calle 65 sur # 68 c -30 Madelena 2 casa 24</t>
  </si>
  <si>
    <t xml:space="preserve">Liseth Daniela Jimenez </t>
  </si>
  <si>
    <t>573124955069</t>
  </si>
  <si>
    <t>Cra 10 # 8 09 en La Calera Cundinamarca</t>
  </si>
  <si>
    <t>4.724458312482748, -73.97173966904953</t>
  </si>
  <si>
    <t>Adriana Castro 63</t>
  </si>
  <si>
    <t>573125155797</t>
  </si>
  <si>
    <t>Carrera 10#48-14 sur</t>
  </si>
  <si>
    <t>saldos</t>
  </si>
  <si>
    <t>deudas</t>
  </si>
  <si>
    <t>Alisson Caballero Jordan</t>
  </si>
  <si>
    <t>Andrea Quintero</t>
  </si>
  <si>
    <t>Andreina Molinares Acosta</t>
  </si>
  <si>
    <t>Andres Mauricio González</t>
  </si>
  <si>
    <t>Camila Vásquez Ramón manchas</t>
  </si>
  <si>
    <t>Cesar monsalve</t>
  </si>
  <si>
    <t>Daniel Martinez</t>
  </si>
  <si>
    <t>Daniela Gomez Neira</t>
  </si>
  <si>
    <t>Diana Zambrano</t>
  </si>
  <si>
    <t>Dilan Felipe Asencio Perez</t>
  </si>
  <si>
    <t>Dog sano Janeth Eslava Garcia</t>
  </si>
  <si>
    <t>Dog sano Karol Nerieth Leon Blue</t>
  </si>
  <si>
    <t>Dog Sano Katerin liz</t>
  </si>
  <si>
    <t>Doggy Lunch Juan Carlos</t>
  </si>
  <si>
    <t>Gloria patricia peña</t>
  </si>
  <si>
    <t>Hair Muñoz</t>
  </si>
  <si>
    <t>Jessica Moreno</t>
  </si>
  <si>
    <t>Jimmy Puentes</t>
  </si>
  <si>
    <t>Jorge Patarroyo</t>
  </si>
  <si>
    <t>Jose Luis Barrios</t>
  </si>
  <si>
    <t>José María Robayo</t>
  </si>
  <si>
    <t>Juan Carlos Arango Castano</t>
  </si>
  <si>
    <t>Leidy Bayona Saganome</t>
  </si>
  <si>
    <t>Lina Bustos</t>
  </si>
  <si>
    <t>Luvier Fernando Lugo</t>
  </si>
  <si>
    <t>Luz marina Monroy</t>
  </si>
  <si>
    <t>Maria Alejandra Reina</t>
  </si>
  <si>
    <t>María Paula Tamayo Galvis</t>
  </si>
  <si>
    <t>Mauricio Vargas</t>
  </si>
  <si>
    <t>Mayra Alejandra rojas Montenegro</t>
  </si>
  <si>
    <t>NOHORA PADILLA hellen</t>
  </si>
  <si>
    <t>Paola Franco</t>
  </si>
  <si>
    <t>Paola González</t>
  </si>
  <si>
    <t>Patricia Esguerra Velo</t>
  </si>
  <si>
    <t>Ricardo Blanco</t>
  </si>
  <si>
    <t>Sandra milena villamizar</t>
  </si>
  <si>
    <t>Sandra Yaneth Beltrán Vera</t>
  </si>
  <si>
    <t>Sara Sanabria</t>
  </si>
  <si>
    <t>Tatiana Urrea Obando</t>
  </si>
  <si>
    <t>Valentina Perez Uribe</t>
  </si>
  <si>
    <t>Veronica Buendia</t>
  </si>
  <si>
    <t>Veronica Ruiz</t>
  </si>
  <si>
    <t>Yeiny Pinzon</t>
  </si>
  <si>
    <t>Adriana Castro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</si>
</sst>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164" fontId="1" fillId="0" borderId="0" xfId="0" applyNumberFormat="1" applyFont="1"/>
    <xf numFmtId="14" fontId="0" fillId="0" borderId="0" xfId="0" applyNumberFormat="1"/>
  </cellXfs>
  <cellStyles count="2">
    <cellStyle name="Moneda" xfId="1" builtinId="4"/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9" formatCode="d/mm/yyyy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Servidor\chefibio\ARCHIVOS%202026\FINANCIERO\ESTADOS%20DE%20CUENTA.xlsx" TargetMode="External"/><Relationship Id="rId1" Type="http://schemas.openxmlformats.org/officeDocument/2006/relationships/externalLinkPath" Target="file:///\\Servidor\chefibio\ARCHIVOS%202026\FINANCIERO\ESTADOS%20DE%20CUEN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UADRE 2025"/>
      <sheetName val="maestro"/>
      <sheetName val="Clientes activos"/>
      <sheetName val="Inactivos"/>
      <sheetName val="PRESTAMOS"/>
      <sheetName val="ESTADO_CUENTA"/>
      <sheetName val="Resumen"/>
      <sheetName val="Hoja1"/>
      <sheetName val="Hoja6"/>
      <sheetName val="Factura"/>
      <sheetName val="ESTADOS DE CUEN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2CC386BE-5240-4221-8A07-4C5CF9B9611B}" autoFormatId="16" applyNumberFormats="0" applyBorderFormats="0" applyFontFormats="0" applyPatternFormats="0" applyAlignmentFormats="0" applyWidthHeightFormats="0">
  <queryTableRefresh nextId="54" unboundColumnsRight="2">
    <queryTableFields count="22">
      <queryTableField id="28" name="FECHA INICIAL" tableColumnId="1"/>
      <queryTableField id="29" name="MES" tableColumnId="2"/>
      <queryTableField id="30" name="CODIGO" tableColumnId="3"/>
      <queryTableField id="31" name="NOMBRE" tableColumnId="4"/>
      <queryTableField id="32" name="NOMBRE2" tableColumnId="5"/>
      <queryTableField id="33" name="Activo" tableColumnId="6"/>
      <queryTableField id="34" name="57" tableColumnId="7"/>
      <queryTableField id="35" name="NUMERO" tableColumnId="8"/>
      <queryTableField id="36" name="POR COMIDA" tableColumnId="9"/>
      <queryTableField id="37" name="AL DIA" tableColumnId="10"/>
      <queryTableField id="38" name="POR PEDIDO" tableColumnId="11"/>
      <queryTableField id="39" name="TOTAL PORCIONES" tableColumnId="12"/>
      <queryTableField id="40" name="DURACION DEL PEDIDO" tableColumnId="13"/>
      <queryTableField id="41" name="PROXIMA  ENTREGA" tableColumnId="14"/>
      <queryTableField id="42" name="30" tableColumnId="15"/>
      <queryTableField id="43" name="VALOR KG" tableColumnId="16"/>
      <queryTableField id="44" name="gramos por pedido" tableColumnId="17"/>
      <queryTableField id="45" name="valor pedido" tableColumnId="18"/>
      <queryTableField id="46" name="Direccion" tableColumnId="19"/>
      <queryTableField id="47" name="Cordenadas" tableColumnId="20"/>
      <queryTableField id="51" dataBound="0" tableColumnId="21"/>
      <queryTableField id="52" dataBound="0" tableColumnId="2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F0C4E3-DC78-4061-BB40-FA6C75A06D18}" name="Clientes_activos" displayName="Clientes_activos" ref="A1:V354" tableType="queryTable" totalsRowCount="1">
  <autoFilter ref="A1:V353" xr:uid="{9EF798FA-E938-40E2-BA9B-B12E9FFAA56F}"/>
  <sortState xmlns:xlrd2="http://schemas.microsoft.com/office/spreadsheetml/2017/richdata2" ref="A19:V353">
    <sortCondition ref="D1:D353"/>
  </sortState>
  <tableColumns count="22">
    <tableColumn id="1" xr3:uid="{F62275BA-20D4-4189-A930-4DAD5D131A57}" uniqueName="1" name="FECHA INICIAL" queryTableFieldId="28" dataDxfId="18" totalsRowDxfId="2"/>
    <tableColumn id="2" xr3:uid="{F228FCD3-769C-40AA-B33D-052BA15DC55A}" uniqueName="2" name="MES" queryTableFieldId="29" dataDxfId="17"/>
    <tableColumn id="3" xr3:uid="{3130F9AE-1FD0-4C31-BB0A-25D0E3277E22}" uniqueName="3" name="CODIGO" queryTableFieldId="30" dataDxfId="16"/>
    <tableColumn id="4" xr3:uid="{D6594432-3C28-49C9-BAD8-1EE43BD12534}" uniqueName="4" name="NOMBRE" queryTableFieldId="31" dataDxfId="15"/>
    <tableColumn id="5" xr3:uid="{FE512277-0E6A-4E81-BD70-306B226A832F}" uniqueName="5" name="NOMBRE2" queryTableFieldId="32" dataDxfId="14"/>
    <tableColumn id="6" xr3:uid="{EEAA27F5-30C3-4E18-8034-E717F2CD789D}" uniqueName="6" name="Activo" queryTableFieldId="33" dataDxfId="13"/>
    <tableColumn id="7" xr3:uid="{138D526E-89D8-44F3-9B6A-463886805DCB}" uniqueName="7" name="57" queryTableFieldId="34" dataDxfId="12"/>
    <tableColumn id="8" xr3:uid="{945B1CF7-F2DC-4451-A2E4-80CA4327777B}" uniqueName="8" name="NUMERO" queryTableFieldId="35"/>
    <tableColumn id="9" xr3:uid="{06BCD118-C2EB-459D-9CB2-08D8A58A5D09}" uniqueName="9" name="POR COMIDA" queryTableFieldId="36"/>
    <tableColumn id="10" xr3:uid="{06219811-78A6-4D37-AD75-30F118586230}" uniqueName="10" name="AL DIA" queryTableFieldId="37" dataDxfId="11"/>
    <tableColumn id="11" xr3:uid="{5ADD7EC9-CF87-4DB5-B8D1-95C8DD6C5456}" uniqueName="11" name="POR PEDIDO" queryTableFieldId="38" dataDxfId="10"/>
    <tableColumn id="12" xr3:uid="{EAE08A6F-83E9-42D6-AE07-0053CDBB011F}" uniqueName="12" name="TOTAL PORCIONES" queryTableFieldId="39" dataDxfId="9"/>
    <tableColumn id="13" xr3:uid="{20616AD4-DC9D-4119-95C0-2F4934DEFE30}" uniqueName="13" name="DURACION DEL PEDIDO" queryTableFieldId="40" dataDxfId="8"/>
    <tableColumn id="14" xr3:uid="{9EE084D1-740A-4225-BEF8-16C016510D52}" uniqueName="14" name="PROXIMA  ENTREGA" queryTableFieldId="41"/>
    <tableColumn id="15" xr3:uid="{4BAFB4F3-ED35-46B9-8A9D-0A276D065234}" uniqueName="15" name="30" queryTableFieldId="42"/>
    <tableColumn id="16" xr3:uid="{0EE54722-4D39-4B29-A46B-83F8BEF124E5}" uniqueName="16" name="VALOR KG" queryTableFieldId="43" dataDxfId="7"/>
    <tableColumn id="17" xr3:uid="{4396A37B-D415-4DEF-B459-928CC233FA34}" uniqueName="17" name="gramos por pedido" queryTableFieldId="44" dataDxfId="6"/>
    <tableColumn id="18" xr3:uid="{30025ECB-61AB-4A03-870F-3050B4DE2A8D}" uniqueName="18" name="valor pedido" queryTableFieldId="45"/>
    <tableColumn id="19" xr3:uid="{9CF312E7-C3EB-4E68-B82C-4D8E68238D79}" uniqueName="19" name="Direccion" queryTableFieldId="46"/>
    <tableColumn id="20" xr3:uid="{847086BF-2EBE-4E03-95C7-224D95016097}" uniqueName="20" name="Cordenadas" queryTableFieldId="47" dataDxfId="5"/>
    <tableColumn id="21" xr3:uid="{01D5A524-0DCF-4A87-A7C8-E9E56433C6DE}" uniqueName="21" name="saldos" queryTableFieldId="51" dataDxfId="4" totalsRowDxfId="1" dataCellStyle="Moneda">
      <calculatedColumnFormula array="1">_xlfn.XLOOKUP(Clientes_activos[[#This Row],[CODIGO]],[1]!ESTADO_CUENTA[[#All],[ID_CLIENTE]],[1]!ESTADO_CUENTA[TOTAL SALDOS],0,-1)</calculatedColumnFormula>
    </tableColumn>
    <tableColumn id="22" xr3:uid="{94EB49F7-61B8-4D7C-8EF4-A3D53C7555BA}" uniqueName="22" name="deudas" queryTableFieldId="52" dataDxfId="3" totalsRowDxfId="0" dataCellStyle="Moneda">
      <calculatedColumnFormula>_xlfn.XLOOKUP(C2,[1]!ESTADO_CUENTA[ID_CLIENTE],[1]!ESTADO_CUENTA[TOTAL DEUDAS],0,0,-1)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58D80-8D73-409C-9506-2FD3200CCDF2}">
  <dimension ref="A1:V354"/>
  <sheetViews>
    <sheetView tabSelected="1" topLeftCell="T341" workbookViewId="0">
      <selection activeCell="V354" sqref="V354"/>
    </sheetView>
  </sheetViews>
  <sheetFormatPr baseColWidth="10" defaultRowHeight="15" x14ac:dyDescent="0.25"/>
  <cols>
    <col min="1" max="1" width="16.5703125" style="4" bestFit="1" customWidth="1"/>
    <col min="2" max="2" width="7.28515625" bestFit="1" customWidth="1"/>
    <col min="3" max="3" width="11" bestFit="1" customWidth="1"/>
    <col min="4" max="4" width="47.5703125" bestFit="1" customWidth="1"/>
    <col min="5" max="5" width="47.5703125" customWidth="1"/>
    <col min="6" max="6" width="8.85546875" customWidth="1"/>
    <col min="7" max="7" width="14" customWidth="1"/>
    <col min="8" max="8" width="12" customWidth="1"/>
    <col min="9" max="9" width="15.140625" customWidth="1"/>
    <col min="10" max="10" width="9" customWidth="1"/>
    <col min="11" max="11" width="14.7109375" customWidth="1"/>
    <col min="12" max="12" width="20.42578125" customWidth="1"/>
    <col min="13" max="13" width="25.140625" customWidth="1"/>
    <col min="14" max="14" width="21.140625" customWidth="1"/>
    <col min="15" max="15" width="8.85546875" customWidth="1"/>
    <col min="16" max="16" width="12.28515625" customWidth="1"/>
    <col min="17" max="17" width="20.140625" customWidth="1"/>
    <col min="18" max="18" width="14.42578125" customWidth="1"/>
    <col min="19" max="19" width="81.140625" customWidth="1"/>
    <col min="20" max="20" width="41" customWidth="1"/>
    <col min="21" max="21" width="14.5703125" bestFit="1" customWidth="1"/>
    <col min="22" max="22" width="15.5703125" bestFit="1" customWidth="1"/>
    <col min="24" max="24" width="13.42578125" bestFit="1" customWidth="1"/>
    <col min="26" max="26" width="12.28515625" bestFit="1" customWidth="1"/>
    <col min="27" max="28" width="12.42578125" bestFit="1" customWidth="1"/>
    <col min="29" max="29" width="17.28515625" bestFit="1" customWidth="1"/>
    <col min="30" max="30" width="21.42578125" bestFit="1" customWidth="1"/>
    <col min="31" max="31" width="18.140625" bestFit="1" customWidth="1"/>
    <col min="32" max="33" width="12.42578125" bestFit="1" customWidth="1"/>
    <col min="34" max="34" width="17.85546875" bestFit="1" customWidth="1"/>
    <col min="35" max="35" width="12.42578125" bestFit="1" customWidth="1"/>
    <col min="36" max="36" width="81.140625" bestFit="1" customWidth="1"/>
    <col min="37" max="37" width="41" bestFit="1" customWidth="1"/>
    <col min="38" max="44" width="12.42578125" bestFit="1" customWidth="1"/>
  </cols>
  <sheetData>
    <row r="1" spans="1:22" x14ac:dyDescent="0.25">
      <c r="A1" s="4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1356</v>
      </c>
      <c r="V1" t="s">
        <v>1357</v>
      </c>
    </row>
    <row r="2" spans="1:22" x14ac:dyDescent="0.25">
      <c r="A2" s="4">
        <v>0</v>
      </c>
      <c r="B2" t="s">
        <v>20</v>
      </c>
      <c r="C2">
        <v>1</v>
      </c>
      <c r="D2" t="s">
        <v>21</v>
      </c>
      <c r="E2" t="s">
        <v>22</v>
      </c>
      <c r="G2" t="s">
        <v>6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>
        <v>0</v>
      </c>
      <c r="Q2">
        <v>0</v>
      </c>
      <c r="T2" t="s">
        <v>23</v>
      </c>
      <c r="U2" s="1">
        <f>+_xlfn.XLOOKUP(C2,[1]!ESTADO_CUENTA[ID_CLIENTE],[1]!ESTADO_CUENTA[TOTAL SALDOS],0,0,-1)</f>
        <v>0</v>
      </c>
      <c r="V2" s="1">
        <f>_xlfn.XLOOKUP(C2,[1]!ESTADO_CUENTA[ID_CLIENTE],[1]!ESTADO_CUENTA[TOTAL DEUDAS],0,0,-1)</f>
        <v>0</v>
      </c>
    </row>
    <row r="3" spans="1:22" x14ac:dyDescent="0.25">
      <c r="A3" s="4">
        <v>46048</v>
      </c>
      <c r="B3" t="s">
        <v>20</v>
      </c>
      <c r="C3">
        <v>2</v>
      </c>
      <c r="D3" t="s">
        <v>24</v>
      </c>
      <c r="E3" t="s">
        <v>24</v>
      </c>
      <c r="F3" t="s">
        <v>25</v>
      </c>
      <c r="G3" t="s">
        <v>26</v>
      </c>
      <c r="H3">
        <v>3222340142</v>
      </c>
      <c r="I3">
        <v>1000</v>
      </c>
      <c r="J3">
        <v>1000</v>
      </c>
      <c r="K3">
        <v>1000</v>
      </c>
      <c r="L3">
        <v>1</v>
      </c>
      <c r="M3">
        <v>1</v>
      </c>
      <c r="N3">
        <v>46049</v>
      </c>
      <c r="O3">
        <v>2</v>
      </c>
      <c r="P3">
        <v>28000</v>
      </c>
      <c r="Q3">
        <v>1000</v>
      </c>
      <c r="R3">
        <v>28000</v>
      </c>
      <c r="S3" t="s">
        <v>27</v>
      </c>
      <c r="U3" s="1">
        <f>+_xlfn.XLOOKUP(C3,[1]!ESTADO_CUENTA[ID_CLIENTE],[1]!ESTADO_CUENTA[TOTAL SALDOS],0,0,-1)</f>
        <v>0</v>
      </c>
      <c r="V3" s="1">
        <f>_xlfn.XLOOKUP(C3,[1]!ESTADO_CUENTA[ID_CLIENTE],[1]!ESTADO_CUENTA[TOTAL DEUDAS],0,0,-1)</f>
        <v>0</v>
      </c>
    </row>
    <row r="4" spans="1:22" x14ac:dyDescent="0.25">
      <c r="B4" t="s">
        <v>28</v>
      </c>
      <c r="C4">
        <v>3</v>
      </c>
      <c r="D4" t="s">
        <v>29</v>
      </c>
      <c r="E4" t="s">
        <v>29</v>
      </c>
      <c r="G4" t="s">
        <v>30</v>
      </c>
      <c r="H4">
        <v>3202199058</v>
      </c>
      <c r="I4">
        <v>70</v>
      </c>
      <c r="J4">
        <v>140</v>
      </c>
      <c r="K4">
        <v>980</v>
      </c>
      <c r="L4">
        <v>14</v>
      </c>
      <c r="M4">
        <v>7</v>
      </c>
      <c r="O4">
        <v>3</v>
      </c>
      <c r="P4">
        <v>10204.08163265306</v>
      </c>
      <c r="Q4">
        <v>980</v>
      </c>
      <c r="R4">
        <v>10000</v>
      </c>
      <c r="S4" t="s">
        <v>31</v>
      </c>
      <c r="U4" s="1">
        <f>+_xlfn.XLOOKUP(C4,[1]!ESTADO_CUENTA[ID_CLIENTE],[1]!ESTADO_CUENTA[TOTAL SALDOS],0,0,-1)</f>
        <v>0</v>
      </c>
      <c r="V4" s="1">
        <f>_xlfn.XLOOKUP(C4,[1]!ESTADO_CUENTA[ID_CLIENTE],[1]!ESTADO_CUENTA[TOTAL DEUDAS],0,0,-1)</f>
        <v>0</v>
      </c>
    </row>
    <row r="5" spans="1:22" x14ac:dyDescent="0.25">
      <c r="A5" s="4">
        <v>46059</v>
      </c>
      <c r="B5" t="s">
        <v>32</v>
      </c>
      <c r="C5">
        <v>4</v>
      </c>
      <c r="D5" t="s">
        <v>33</v>
      </c>
      <c r="E5" t="s">
        <v>33</v>
      </c>
      <c r="G5" t="s">
        <v>34</v>
      </c>
      <c r="H5">
        <v>3115063260</v>
      </c>
      <c r="I5">
        <v>40</v>
      </c>
      <c r="J5">
        <v>40</v>
      </c>
      <c r="K5">
        <v>600</v>
      </c>
      <c r="L5">
        <v>15</v>
      </c>
      <c r="M5">
        <v>15</v>
      </c>
      <c r="N5">
        <v>46074</v>
      </c>
      <c r="O5">
        <v>4</v>
      </c>
      <c r="P5">
        <v>80000</v>
      </c>
      <c r="Q5">
        <v>600</v>
      </c>
      <c r="R5">
        <v>48000</v>
      </c>
      <c r="S5" t="s">
        <v>35</v>
      </c>
      <c r="T5" t="s">
        <v>36</v>
      </c>
      <c r="U5" s="1">
        <f>+_xlfn.XLOOKUP(C5,[1]!ESTADO_CUENTA[ID_CLIENTE],[1]!ESTADO_CUENTA[TOTAL SALDOS],0,0,-1)</f>
        <v>0</v>
      </c>
      <c r="V5" s="1">
        <f>_xlfn.XLOOKUP(C5,[1]!ESTADO_CUENTA[ID_CLIENTE],[1]!ESTADO_CUENTA[TOTAL DEUDAS],0,0,-1)</f>
        <v>0</v>
      </c>
    </row>
    <row r="6" spans="1:22" x14ac:dyDescent="0.25">
      <c r="A6" s="4">
        <v>46069</v>
      </c>
      <c r="B6" t="s">
        <v>32</v>
      </c>
      <c r="C6">
        <v>5</v>
      </c>
      <c r="D6" t="s">
        <v>37</v>
      </c>
      <c r="E6" t="s">
        <v>37</v>
      </c>
      <c r="G6" t="s">
        <v>38</v>
      </c>
      <c r="H6">
        <v>3025162129</v>
      </c>
      <c r="I6">
        <v>295</v>
      </c>
      <c r="J6">
        <v>590</v>
      </c>
      <c r="K6">
        <v>8850</v>
      </c>
      <c r="L6">
        <v>30</v>
      </c>
      <c r="M6">
        <v>15</v>
      </c>
      <c r="N6">
        <v>46084</v>
      </c>
      <c r="O6">
        <v>5</v>
      </c>
      <c r="P6">
        <v>29259.887005649722</v>
      </c>
      <c r="Q6">
        <v>8850</v>
      </c>
      <c r="R6">
        <v>258950</v>
      </c>
      <c r="S6" t="s">
        <v>39</v>
      </c>
      <c r="T6" t="s">
        <v>40</v>
      </c>
      <c r="U6" s="1">
        <f>+_xlfn.XLOOKUP(C6,[1]!ESTADO_CUENTA[ID_CLIENTE],[1]!ESTADO_CUENTA[TOTAL SALDOS],0,0,-1)</f>
        <v>0</v>
      </c>
      <c r="V6" s="1">
        <f>_xlfn.XLOOKUP(C6,[1]!ESTADO_CUENTA[ID_CLIENTE],[1]!ESTADO_CUENTA[TOTAL DEUDAS],0,0,-1)</f>
        <v>258950</v>
      </c>
    </row>
    <row r="7" spans="1:22" x14ac:dyDescent="0.25">
      <c r="B7" t="s">
        <v>28</v>
      </c>
      <c r="C7">
        <v>6</v>
      </c>
      <c r="D7" t="s">
        <v>41</v>
      </c>
      <c r="E7" t="s">
        <v>41</v>
      </c>
      <c r="G7" t="s">
        <v>42</v>
      </c>
      <c r="H7">
        <v>3047592006</v>
      </c>
      <c r="I7">
        <v>120</v>
      </c>
      <c r="J7">
        <v>240</v>
      </c>
      <c r="K7">
        <v>3600</v>
      </c>
      <c r="L7">
        <v>30</v>
      </c>
      <c r="M7">
        <v>15</v>
      </c>
      <c r="O7">
        <v>6</v>
      </c>
      <c r="P7">
        <v>41833.333333333336</v>
      </c>
      <c r="Q7">
        <v>3600</v>
      </c>
      <c r="R7">
        <v>150600</v>
      </c>
      <c r="S7" t="s">
        <v>43</v>
      </c>
      <c r="U7" s="1">
        <f>+_xlfn.XLOOKUP(C7,[1]!ESTADO_CUENTA[ID_CLIENTE],[1]!ESTADO_CUENTA[TOTAL SALDOS],0,0,-1)</f>
        <v>0</v>
      </c>
      <c r="V7" s="1">
        <f>_xlfn.XLOOKUP(C7,[1]!ESTADO_CUENTA[ID_CLIENTE],[1]!ESTADO_CUENTA[TOTAL DEUDAS],0,0,-1)</f>
        <v>0</v>
      </c>
    </row>
    <row r="8" spans="1:22" x14ac:dyDescent="0.25">
      <c r="A8" s="4">
        <v>46073</v>
      </c>
      <c r="B8" t="s">
        <v>32</v>
      </c>
      <c r="C8">
        <v>7</v>
      </c>
      <c r="D8" t="s">
        <v>44</v>
      </c>
      <c r="E8" t="s">
        <v>44</v>
      </c>
      <c r="G8" t="s">
        <v>45</v>
      </c>
      <c r="H8">
        <v>3007948969</v>
      </c>
      <c r="I8">
        <v>150</v>
      </c>
      <c r="J8">
        <v>150</v>
      </c>
      <c r="K8">
        <v>4950</v>
      </c>
      <c r="L8">
        <v>33</v>
      </c>
      <c r="M8">
        <v>33</v>
      </c>
      <c r="N8">
        <v>46106</v>
      </c>
      <c r="O8">
        <v>7</v>
      </c>
      <c r="P8">
        <v>26000</v>
      </c>
      <c r="Q8">
        <v>4950</v>
      </c>
      <c r="R8">
        <v>128700</v>
      </c>
      <c r="S8" t="s">
        <v>46</v>
      </c>
      <c r="T8" t="s">
        <v>47</v>
      </c>
      <c r="U8" s="1">
        <f>+_xlfn.XLOOKUP(C8,[1]!ESTADO_CUENTA[ID_CLIENTE],[1]!ESTADO_CUENTA[TOTAL SALDOS],0,0,-1)</f>
        <v>0</v>
      </c>
      <c r="V8" s="1">
        <f>_xlfn.XLOOKUP(C8,[1]!ESTADO_CUENTA[ID_CLIENTE],[1]!ESTADO_CUENTA[TOTAL DEUDAS],0,0,-1)</f>
        <v>0</v>
      </c>
    </row>
    <row r="9" spans="1:22" x14ac:dyDescent="0.25">
      <c r="A9" s="4">
        <v>46065</v>
      </c>
      <c r="B9" t="s">
        <v>32</v>
      </c>
      <c r="C9">
        <v>8</v>
      </c>
      <c r="D9" t="s">
        <v>48</v>
      </c>
      <c r="E9" t="s">
        <v>48</v>
      </c>
      <c r="G9" t="s">
        <v>49</v>
      </c>
      <c r="H9">
        <v>3504424814</v>
      </c>
      <c r="I9">
        <v>100</v>
      </c>
      <c r="J9">
        <v>300</v>
      </c>
      <c r="K9">
        <v>3000</v>
      </c>
      <c r="L9">
        <v>30</v>
      </c>
      <c r="M9">
        <v>10</v>
      </c>
      <c r="N9">
        <v>46075</v>
      </c>
      <c r="O9">
        <v>8</v>
      </c>
      <c r="P9">
        <v>29000</v>
      </c>
      <c r="Q9">
        <v>3000</v>
      </c>
      <c r="R9">
        <v>87000</v>
      </c>
      <c r="S9" t="s">
        <v>50</v>
      </c>
      <c r="T9" t="s">
        <v>51</v>
      </c>
      <c r="U9" s="1">
        <f>+_xlfn.XLOOKUP(C9,[1]!ESTADO_CUENTA[ID_CLIENTE],[1]!ESTADO_CUENTA[TOTAL SALDOS],0,0,-1)</f>
        <v>0</v>
      </c>
      <c r="V9" s="1">
        <f>_xlfn.XLOOKUP(C9,[1]!ESTADO_CUENTA[ID_CLIENTE],[1]!ESTADO_CUENTA[TOTAL DEUDAS],0,0,-1)</f>
        <v>174000</v>
      </c>
    </row>
    <row r="10" spans="1:22" x14ac:dyDescent="0.25">
      <c r="A10" s="4">
        <v>46066</v>
      </c>
      <c r="B10" t="s">
        <v>32</v>
      </c>
      <c r="C10">
        <v>10</v>
      </c>
      <c r="D10" t="s">
        <v>52</v>
      </c>
      <c r="E10" t="s">
        <v>53</v>
      </c>
      <c r="G10" t="s">
        <v>54</v>
      </c>
      <c r="H10">
        <v>3508196809</v>
      </c>
      <c r="I10">
        <v>120</v>
      </c>
      <c r="J10">
        <v>240</v>
      </c>
      <c r="K10">
        <v>3600</v>
      </c>
      <c r="L10">
        <v>30</v>
      </c>
      <c r="M10">
        <v>15</v>
      </c>
      <c r="N10">
        <v>46081</v>
      </c>
      <c r="O10">
        <v>10</v>
      </c>
      <c r="P10">
        <v>32000</v>
      </c>
      <c r="Q10">
        <v>3600</v>
      </c>
      <c r="R10">
        <v>115200</v>
      </c>
      <c r="S10" t="s">
        <v>55</v>
      </c>
      <c r="T10" t="s">
        <v>56</v>
      </c>
      <c r="U10" s="1">
        <f>+_xlfn.XLOOKUP(C10,[1]!ESTADO_CUENTA[ID_CLIENTE],[1]!ESTADO_CUENTA[TOTAL SALDOS],0,0,-1)</f>
        <v>115201</v>
      </c>
      <c r="V10" s="1">
        <f>_xlfn.XLOOKUP(C10,[1]!ESTADO_CUENTA[ID_CLIENTE],[1]!ESTADO_CUENTA[TOTAL DEUDAS],0,0,-1)</f>
        <v>0</v>
      </c>
    </row>
    <row r="11" spans="1:22" x14ac:dyDescent="0.25">
      <c r="B11" t="s">
        <v>28</v>
      </c>
      <c r="C11">
        <v>11</v>
      </c>
      <c r="D11" t="s">
        <v>57</v>
      </c>
      <c r="E11" t="s">
        <v>57</v>
      </c>
      <c r="G11" t="s">
        <v>58</v>
      </c>
      <c r="H11">
        <v>3118935628</v>
      </c>
      <c r="I11">
        <v>230</v>
      </c>
      <c r="J11">
        <v>460</v>
      </c>
      <c r="K11">
        <v>6900</v>
      </c>
      <c r="L11">
        <v>30</v>
      </c>
      <c r="M11">
        <v>15</v>
      </c>
      <c r="O11">
        <v>11</v>
      </c>
      <c r="P11">
        <v>20507.246376811592</v>
      </c>
      <c r="Q11">
        <v>6900</v>
      </c>
      <c r="R11">
        <v>141500</v>
      </c>
      <c r="S11" t="s">
        <v>59</v>
      </c>
      <c r="T11" t="s">
        <v>60</v>
      </c>
      <c r="U11" s="1">
        <f>+_xlfn.XLOOKUP(C11,[1]!ESTADO_CUENTA[ID_CLIENTE],[1]!ESTADO_CUENTA[TOTAL SALDOS],0,0,-1)</f>
        <v>0</v>
      </c>
      <c r="V11" s="1">
        <f>_xlfn.XLOOKUP(C11,[1]!ESTADO_CUENTA[ID_CLIENTE],[1]!ESTADO_CUENTA[TOTAL DEUDAS],0,0,-1)</f>
        <v>0</v>
      </c>
    </row>
    <row r="12" spans="1:22" x14ac:dyDescent="0.25">
      <c r="A12" s="4">
        <v>46069</v>
      </c>
      <c r="B12" t="s">
        <v>32</v>
      </c>
      <c r="C12">
        <v>12</v>
      </c>
      <c r="D12" t="s">
        <v>61</v>
      </c>
      <c r="E12" t="s">
        <v>61</v>
      </c>
      <c r="G12" t="s">
        <v>62</v>
      </c>
      <c r="H12">
        <v>3223747738</v>
      </c>
      <c r="I12">
        <v>150</v>
      </c>
      <c r="J12">
        <v>150</v>
      </c>
      <c r="K12">
        <v>2250</v>
      </c>
      <c r="L12">
        <v>15</v>
      </c>
      <c r="M12">
        <v>15</v>
      </c>
      <c r="N12">
        <v>46084</v>
      </c>
      <c r="O12">
        <v>12</v>
      </c>
      <c r="P12">
        <v>25000</v>
      </c>
      <c r="Q12">
        <v>2250</v>
      </c>
      <c r="R12">
        <v>56250</v>
      </c>
      <c r="S12" t="s">
        <v>63</v>
      </c>
      <c r="T12" t="s">
        <v>64</v>
      </c>
      <c r="U12" s="1">
        <f>+_xlfn.XLOOKUP(C12,[1]!ESTADO_CUENTA[ID_CLIENTE],[1]!ESTADO_CUENTA[TOTAL SALDOS],0,0,-1)</f>
        <v>0</v>
      </c>
      <c r="V12" s="1">
        <f>_xlfn.XLOOKUP(C12,[1]!ESTADO_CUENTA[ID_CLIENTE],[1]!ESTADO_CUENTA[TOTAL DEUDAS],0,0,-1)</f>
        <v>146750</v>
      </c>
    </row>
    <row r="13" spans="1:22" x14ac:dyDescent="0.25">
      <c r="B13" t="s">
        <v>28</v>
      </c>
      <c r="C13">
        <v>13</v>
      </c>
      <c r="D13" t="s">
        <v>65</v>
      </c>
      <c r="E13" t="s">
        <v>65</v>
      </c>
      <c r="G13" t="s">
        <v>66</v>
      </c>
      <c r="H13">
        <v>3103237451</v>
      </c>
      <c r="I13">
        <v>215</v>
      </c>
      <c r="J13">
        <v>430</v>
      </c>
      <c r="K13">
        <v>3010</v>
      </c>
      <c r="L13">
        <v>14</v>
      </c>
      <c r="M13">
        <v>7</v>
      </c>
      <c r="O13">
        <v>13</v>
      </c>
      <c r="P13">
        <v>34784.053156146176</v>
      </c>
      <c r="Q13">
        <v>3010</v>
      </c>
      <c r="R13">
        <v>104700</v>
      </c>
      <c r="S13" t="s">
        <v>67</v>
      </c>
      <c r="T13" t="s">
        <v>68</v>
      </c>
      <c r="U13" s="1">
        <f>+_xlfn.XLOOKUP(C13,[1]!ESTADO_CUENTA[ID_CLIENTE],[1]!ESTADO_CUENTA[TOTAL SALDOS],0,0,-1)</f>
        <v>0</v>
      </c>
      <c r="V13" s="1">
        <f>_xlfn.XLOOKUP(C13,[1]!ESTADO_CUENTA[ID_CLIENTE],[1]!ESTADO_CUENTA[TOTAL DEUDAS],0,0,-1)</f>
        <v>0</v>
      </c>
    </row>
    <row r="14" spans="1:22" x14ac:dyDescent="0.25">
      <c r="A14" s="4">
        <v>46057</v>
      </c>
      <c r="B14" t="s">
        <v>32</v>
      </c>
      <c r="C14">
        <v>14</v>
      </c>
      <c r="D14" t="s">
        <v>69</v>
      </c>
      <c r="E14" t="s">
        <v>69</v>
      </c>
      <c r="G14" t="s">
        <v>70</v>
      </c>
      <c r="H14">
        <v>3138121836</v>
      </c>
      <c r="I14">
        <v>210</v>
      </c>
      <c r="J14">
        <v>210</v>
      </c>
      <c r="K14">
        <v>3150</v>
      </c>
      <c r="L14">
        <v>15</v>
      </c>
      <c r="M14">
        <v>15</v>
      </c>
      <c r="N14">
        <v>46072</v>
      </c>
      <c r="O14">
        <v>14</v>
      </c>
      <c r="P14">
        <v>31047.61904761905</v>
      </c>
      <c r="Q14">
        <v>3150</v>
      </c>
      <c r="R14">
        <v>97800</v>
      </c>
      <c r="S14" t="s">
        <v>71</v>
      </c>
      <c r="T14" t="s">
        <v>72</v>
      </c>
      <c r="U14" s="1">
        <f>+_xlfn.XLOOKUP(C14,[1]!ESTADO_CUENTA[ID_CLIENTE],[1]!ESTADO_CUENTA[TOTAL SALDOS],0,0,-1)</f>
        <v>0</v>
      </c>
      <c r="V14" s="1">
        <f>_xlfn.XLOOKUP(C14,[1]!ESTADO_CUENTA[ID_CLIENTE],[1]!ESTADO_CUENTA[TOTAL DEUDAS],0,0,-1)</f>
        <v>0</v>
      </c>
    </row>
    <row r="15" spans="1:22" x14ac:dyDescent="0.25">
      <c r="A15" s="4">
        <v>46071</v>
      </c>
      <c r="B15" t="s">
        <v>32</v>
      </c>
      <c r="C15">
        <v>15</v>
      </c>
      <c r="D15" t="s">
        <v>73</v>
      </c>
      <c r="E15" t="s">
        <v>73</v>
      </c>
      <c r="G15" t="s">
        <v>74</v>
      </c>
      <c r="H15">
        <v>3002759952</v>
      </c>
      <c r="I15">
        <v>185</v>
      </c>
      <c r="J15">
        <v>370</v>
      </c>
      <c r="K15">
        <v>5550</v>
      </c>
      <c r="L15">
        <v>30</v>
      </c>
      <c r="M15">
        <v>15</v>
      </c>
      <c r="N15">
        <v>46086</v>
      </c>
      <c r="O15">
        <v>15</v>
      </c>
      <c r="P15">
        <v>27405.405405405407</v>
      </c>
      <c r="Q15">
        <v>5550</v>
      </c>
      <c r="R15">
        <v>152100</v>
      </c>
      <c r="S15" t="s">
        <v>75</v>
      </c>
      <c r="T15" t="s">
        <v>76</v>
      </c>
      <c r="U15" s="1">
        <f>+_xlfn.XLOOKUP(C15,[1]!ESTADO_CUENTA[ID_CLIENTE],[1]!ESTADO_CUENTA[TOTAL SALDOS],0,0,-1)</f>
        <v>0</v>
      </c>
      <c r="V15" s="1">
        <f>_xlfn.XLOOKUP(C15,[1]!ESTADO_CUENTA[ID_CLIENTE],[1]!ESTADO_CUENTA[TOTAL DEUDAS],0,0,-1)</f>
        <v>0</v>
      </c>
    </row>
    <row r="16" spans="1:22" x14ac:dyDescent="0.25">
      <c r="A16" s="4">
        <v>46057</v>
      </c>
      <c r="B16" t="s">
        <v>32</v>
      </c>
      <c r="C16">
        <v>17</v>
      </c>
      <c r="D16" t="s">
        <v>77</v>
      </c>
      <c r="E16" t="s">
        <v>77</v>
      </c>
      <c r="G16" t="s">
        <v>78</v>
      </c>
      <c r="H16">
        <v>3145768568</v>
      </c>
      <c r="I16">
        <v>105</v>
      </c>
      <c r="J16">
        <v>210</v>
      </c>
      <c r="K16">
        <v>3150</v>
      </c>
      <c r="L16">
        <v>30</v>
      </c>
      <c r="M16">
        <v>15</v>
      </c>
      <c r="N16">
        <v>46072</v>
      </c>
      <c r="O16">
        <v>17</v>
      </c>
      <c r="P16">
        <v>39000</v>
      </c>
      <c r="Q16">
        <v>3150</v>
      </c>
      <c r="R16">
        <v>122850</v>
      </c>
      <c r="S16" t="s">
        <v>79</v>
      </c>
      <c r="T16" t="s">
        <v>80</v>
      </c>
      <c r="U16" s="1">
        <f>+_xlfn.XLOOKUP(C16,[1]!ESTADO_CUENTA[ID_CLIENTE],[1]!ESTADO_CUENTA[TOTAL SALDOS],0,0,-1)</f>
        <v>150</v>
      </c>
      <c r="V16" s="1">
        <f>_xlfn.XLOOKUP(C16,[1]!ESTADO_CUENTA[ID_CLIENTE],[1]!ESTADO_CUENTA[TOTAL DEUDAS],0,0,-1)</f>
        <v>0</v>
      </c>
    </row>
    <row r="17" spans="1:22" x14ac:dyDescent="0.25">
      <c r="A17" s="4">
        <v>46071</v>
      </c>
      <c r="B17" t="s">
        <v>32</v>
      </c>
      <c r="C17">
        <v>18</v>
      </c>
      <c r="D17" t="s">
        <v>81</v>
      </c>
      <c r="E17" t="s">
        <v>81</v>
      </c>
      <c r="G17" t="s">
        <v>82</v>
      </c>
      <c r="H17">
        <v>3162702464</v>
      </c>
      <c r="I17">
        <v>90</v>
      </c>
      <c r="J17">
        <v>180</v>
      </c>
      <c r="K17">
        <v>2700</v>
      </c>
      <c r="L17">
        <v>30</v>
      </c>
      <c r="M17">
        <v>15</v>
      </c>
      <c r="N17">
        <v>46086</v>
      </c>
      <c r="O17">
        <v>18</v>
      </c>
      <c r="P17">
        <v>40000</v>
      </c>
      <c r="Q17">
        <v>2700</v>
      </c>
      <c r="R17">
        <v>108000</v>
      </c>
      <c r="S17" t="s">
        <v>83</v>
      </c>
      <c r="T17" t="s">
        <v>84</v>
      </c>
      <c r="U17" s="1">
        <f>+_xlfn.XLOOKUP(C17,[1]!ESTADO_CUENTA[ID_CLIENTE],[1]!ESTADO_CUENTA[TOTAL SALDOS],0,0,-1)</f>
        <v>108000</v>
      </c>
      <c r="V17" s="1">
        <f>_xlfn.XLOOKUP(C17,[1]!ESTADO_CUENTA[ID_CLIENTE],[1]!ESTADO_CUENTA[TOTAL DEUDAS],0,0,-1)</f>
        <v>0</v>
      </c>
    </row>
    <row r="18" spans="1:22" x14ac:dyDescent="0.25">
      <c r="A18" s="4">
        <v>46066</v>
      </c>
      <c r="B18" t="s">
        <v>32</v>
      </c>
      <c r="C18">
        <v>19</v>
      </c>
      <c r="D18" t="s">
        <v>85</v>
      </c>
      <c r="E18" t="s">
        <v>85</v>
      </c>
      <c r="G18" t="s">
        <v>86</v>
      </c>
      <c r="H18">
        <v>3204743810</v>
      </c>
      <c r="I18">
        <v>55</v>
      </c>
      <c r="J18">
        <v>110</v>
      </c>
      <c r="K18">
        <v>1650</v>
      </c>
      <c r="L18">
        <v>30</v>
      </c>
      <c r="M18">
        <v>15</v>
      </c>
      <c r="N18">
        <v>46081</v>
      </c>
      <c r="O18">
        <v>19</v>
      </c>
      <c r="P18">
        <v>51515.151515151512</v>
      </c>
      <c r="Q18">
        <v>1650</v>
      </c>
      <c r="R18">
        <v>85000</v>
      </c>
      <c r="S18" t="s">
        <v>87</v>
      </c>
      <c r="T18" t="s">
        <v>88</v>
      </c>
      <c r="U18" s="1">
        <f>+_xlfn.XLOOKUP(C18,[1]!ESTADO_CUENTA[ID_CLIENTE],[1]!ESTADO_CUENTA[TOTAL SALDOS],0,0,-1)</f>
        <v>0</v>
      </c>
      <c r="V18" s="1">
        <f>_xlfn.XLOOKUP(C18,[1]!ESTADO_CUENTA[ID_CLIENTE],[1]!ESTADO_CUENTA[TOTAL DEUDAS],0,0,-1)</f>
        <v>0</v>
      </c>
    </row>
    <row r="19" spans="1:22" x14ac:dyDescent="0.25">
      <c r="D19" t="s">
        <v>1302</v>
      </c>
      <c r="U19" s="1">
        <f>+_xlfn.XLOOKUP(C19,[1]!ESTADO_CUENTA[ID_CLIENTE],[1]!ESTADO_CUENTA[TOTAL SALDOS],0,0,-1)</f>
        <v>0</v>
      </c>
      <c r="V19" s="1">
        <f>_xlfn.XLOOKUP(C19,[1]!ESTADO_CUENTA[ID_CLIENTE],[1]!ESTADO_CUENTA[TOTAL DEUDAS],0,0,-1)</f>
        <v>0</v>
      </c>
    </row>
    <row r="20" spans="1:22" x14ac:dyDescent="0.25">
      <c r="B20" t="s">
        <v>28</v>
      </c>
      <c r="C20">
        <v>21</v>
      </c>
      <c r="D20" t="s">
        <v>92</v>
      </c>
      <c r="E20" t="s">
        <v>92</v>
      </c>
      <c r="G20" t="s">
        <v>93</v>
      </c>
      <c r="H20">
        <v>3504520899</v>
      </c>
      <c r="I20">
        <v>117</v>
      </c>
      <c r="J20">
        <v>350</v>
      </c>
      <c r="K20">
        <v>5250</v>
      </c>
      <c r="L20">
        <v>44.871794871794869</v>
      </c>
      <c r="M20">
        <v>15</v>
      </c>
      <c r="O20">
        <v>21</v>
      </c>
      <c r="P20">
        <v>36571.428571428572</v>
      </c>
      <c r="Q20">
        <v>5250</v>
      </c>
      <c r="R20">
        <v>192000</v>
      </c>
      <c r="S20" t="s">
        <v>94</v>
      </c>
      <c r="T20" t="s">
        <v>95</v>
      </c>
      <c r="U20" s="1">
        <f>+_xlfn.XLOOKUP(C20,[1]!ESTADO_CUENTA[ID_CLIENTE],[1]!ESTADO_CUENTA[TOTAL SALDOS],0,0,-1)</f>
        <v>0</v>
      </c>
      <c r="V20" s="1">
        <f>_xlfn.XLOOKUP(C20,[1]!ESTADO_CUENTA[ID_CLIENTE],[1]!ESTADO_CUENTA[TOTAL DEUDAS],0,0,-1)</f>
        <v>192000</v>
      </c>
    </row>
    <row r="21" spans="1:22" x14ac:dyDescent="0.25">
      <c r="A21" s="4">
        <v>46048</v>
      </c>
      <c r="B21" t="s">
        <v>20</v>
      </c>
      <c r="C21">
        <v>1000317</v>
      </c>
      <c r="D21" t="s">
        <v>1401</v>
      </c>
      <c r="E21" t="s">
        <v>1353</v>
      </c>
      <c r="G21" t="s">
        <v>1354</v>
      </c>
      <c r="H21">
        <v>3125155797</v>
      </c>
      <c r="I21">
        <v>63</v>
      </c>
      <c r="J21">
        <v>190</v>
      </c>
      <c r="K21">
        <v>1330</v>
      </c>
      <c r="L21">
        <v>21.111111111111111</v>
      </c>
      <c r="M21">
        <v>7</v>
      </c>
      <c r="N21">
        <v>46055</v>
      </c>
      <c r="O21">
        <v>1000317</v>
      </c>
      <c r="P21">
        <v>81654.135338345863</v>
      </c>
      <c r="Q21">
        <v>1330</v>
      </c>
      <c r="R21">
        <v>108600</v>
      </c>
      <c r="S21" t="s">
        <v>1355</v>
      </c>
      <c r="U21" s="1">
        <f>+_xlfn.XLOOKUP(C21,[1]!ESTADO_CUENTA[ID_CLIENTE],[1]!ESTADO_CUENTA[TOTAL SALDOS],0,0,-1)</f>
        <v>0</v>
      </c>
      <c r="V21" s="1">
        <f>_xlfn.XLOOKUP(C21,[1]!ESTADO_CUENTA[ID_CLIENTE],[1]!ESTADO_CUENTA[TOTAL DEUDAS],0,0,-1)</f>
        <v>0</v>
      </c>
    </row>
    <row r="22" spans="1:22" x14ac:dyDescent="0.25">
      <c r="A22" s="4">
        <v>46065</v>
      </c>
      <c r="B22" t="s">
        <v>32</v>
      </c>
      <c r="C22">
        <v>23</v>
      </c>
      <c r="D22" t="s">
        <v>100</v>
      </c>
      <c r="E22" t="s">
        <v>100</v>
      </c>
      <c r="G22" t="s">
        <v>101</v>
      </c>
      <c r="H22">
        <v>3016592951</v>
      </c>
      <c r="I22">
        <v>45</v>
      </c>
      <c r="J22">
        <v>135</v>
      </c>
      <c r="K22">
        <v>2025</v>
      </c>
      <c r="L22">
        <v>45</v>
      </c>
      <c r="M22">
        <v>15</v>
      </c>
      <c r="N22">
        <v>46080</v>
      </c>
      <c r="O22">
        <v>23</v>
      </c>
      <c r="P22">
        <v>44000</v>
      </c>
      <c r="Q22">
        <v>2025</v>
      </c>
      <c r="R22">
        <v>89100</v>
      </c>
      <c r="S22" t="s">
        <v>102</v>
      </c>
      <c r="T22" t="s">
        <v>103</v>
      </c>
      <c r="U22" s="1">
        <f>+_xlfn.XLOOKUP(C22,[1]!ESTADO_CUENTA[ID_CLIENTE],[1]!ESTADO_CUENTA[TOTAL SALDOS],0,0,-1)</f>
        <v>0</v>
      </c>
      <c r="V22" s="1">
        <f>_xlfn.XLOOKUP(C22,[1]!ESTADO_CUENTA[ID_CLIENTE],[1]!ESTADO_CUENTA[TOTAL DEUDAS],0,0,-1)</f>
        <v>0</v>
      </c>
    </row>
    <row r="23" spans="1:22" x14ac:dyDescent="0.25">
      <c r="A23" s="4">
        <v>46069</v>
      </c>
      <c r="B23" t="s">
        <v>32</v>
      </c>
      <c r="C23">
        <v>24</v>
      </c>
      <c r="D23" t="s">
        <v>104</v>
      </c>
      <c r="E23" t="s">
        <v>104</v>
      </c>
      <c r="G23" t="s">
        <v>105</v>
      </c>
      <c r="H23">
        <v>3134550773</v>
      </c>
      <c r="I23">
        <v>60</v>
      </c>
      <c r="J23">
        <v>180</v>
      </c>
      <c r="K23">
        <v>2700</v>
      </c>
      <c r="L23">
        <v>45</v>
      </c>
      <c r="M23">
        <v>15</v>
      </c>
      <c r="N23">
        <v>46084</v>
      </c>
      <c r="O23">
        <v>24</v>
      </c>
      <c r="P23">
        <v>30000</v>
      </c>
      <c r="Q23">
        <v>2700</v>
      </c>
      <c r="R23">
        <v>81000</v>
      </c>
      <c r="S23" t="s">
        <v>106</v>
      </c>
      <c r="U23" s="1">
        <f>+_xlfn.XLOOKUP(C23,[1]!ESTADO_CUENTA[ID_CLIENTE],[1]!ESTADO_CUENTA[TOTAL SALDOS],0,0,-1)</f>
        <v>0</v>
      </c>
      <c r="V23" s="1">
        <f>_xlfn.XLOOKUP(C23,[1]!ESTADO_CUENTA[ID_CLIENTE],[1]!ESTADO_CUENTA[TOTAL DEUDAS],0,0,-1)</f>
        <v>0</v>
      </c>
    </row>
    <row r="24" spans="1:22" x14ac:dyDescent="0.25">
      <c r="A24" s="4">
        <v>46073</v>
      </c>
      <c r="B24" t="s">
        <v>32</v>
      </c>
      <c r="C24">
        <v>25</v>
      </c>
      <c r="D24" t="s">
        <v>107</v>
      </c>
      <c r="E24" t="s">
        <v>108</v>
      </c>
      <c r="G24" t="s">
        <v>109</v>
      </c>
      <c r="H24">
        <v>3176798013</v>
      </c>
      <c r="I24">
        <v>65</v>
      </c>
      <c r="J24">
        <v>130</v>
      </c>
      <c r="K24">
        <v>910</v>
      </c>
      <c r="L24">
        <v>14</v>
      </c>
      <c r="M24">
        <v>7</v>
      </c>
      <c r="N24">
        <v>46080</v>
      </c>
      <c r="O24">
        <v>25</v>
      </c>
      <c r="P24">
        <v>45714.285714285717</v>
      </c>
      <c r="Q24">
        <v>910</v>
      </c>
      <c r="R24">
        <v>41600</v>
      </c>
      <c r="S24" t="s">
        <v>110</v>
      </c>
      <c r="U24" s="1">
        <f>+_xlfn.XLOOKUP(C24,[1]!ESTADO_CUENTA[ID_CLIENTE],[1]!ESTADO_CUENTA[TOTAL SALDOS],0,0,-1)</f>
        <v>41600</v>
      </c>
      <c r="V24" s="1">
        <f>_xlfn.XLOOKUP(C24,[1]!ESTADO_CUENTA[ID_CLIENTE],[1]!ESTADO_CUENTA[TOTAL DEUDAS],0,0,-1)</f>
        <v>0</v>
      </c>
    </row>
    <row r="25" spans="1:22" x14ac:dyDescent="0.25">
      <c r="A25" s="4">
        <v>46070</v>
      </c>
      <c r="B25" t="s">
        <v>32</v>
      </c>
      <c r="C25">
        <v>26</v>
      </c>
      <c r="D25" t="s">
        <v>111</v>
      </c>
      <c r="E25" t="s">
        <v>111</v>
      </c>
      <c r="G25" t="s">
        <v>112</v>
      </c>
      <c r="H25">
        <v>3133420908</v>
      </c>
      <c r="I25">
        <v>160</v>
      </c>
      <c r="J25">
        <v>160</v>
      </c>
      <c r="K25">
        <v>2400</v>
      </c>
      <c r="L25">
        <v>15</v>
      </c>
      <c r="M25">
        <v>15</v>
      </c>
      <c r="N25">
        <v>46085</v>
      </c>
      <c r="O25">
        <v>26</v>
      </c>
      <c r="P25">
        <v>39000</v>
      </c>
      <c r="Q25">
        <v>2400</v>
      </c>
      <c r="R25">
        <v>93600</v>
      </c>
      <c r="S25" t="s">
        <v>113</v>
      </c>
      <c r="T25" t="s">
        <v>114</v>
      </c>
      <c r="U25" s="1">
        <f>+_xlfn.XLOOKUP(C25,[1]!ESTADO_CUENTA[ID_CLIENTE],[1]!ESTADO_CUENTA[TOTAL SALDOS],0,0,-1)</f>
        <v>0</v>
      </c>
      <c r="V25" s="1">
        <f>_xlfn.XLOOKUP(C25,[1]!ESTADO_CUENTA[ID_CLIENTE],[1]!ESTADO_CUENTA[TOTAL DEUDAS],0,0,-1)</f>
        <v>93600</v>
      </c>
    </row>
    <row r="26" spans="1:22" x14ac:dyDescent="0.25">
      <c r="A26" s="4">
        <v>46073</v>
      </c>
      <c r="B26" t="s">
        <v>32</v>
      </c>
      <c r="C26">
        <v>27</v>
      </c>
      <c r="D26" t="s">
        <v>115</v>
      </c>
      <c r="E26" t="s">
        <v>115</v>
      </c>
      <c r="G26" t="s">
        <v>116</v>
      </c>
      <c r="H26">
        <v>3044699658</v>
      </c>
      <c r="I26">
        <v>150</v>
      </c>
      <c r="J26">
        <v>300</v>
      </c>
      <c r="K26">
        <v>4500</v>
      </c>
      <c r="L26">
        <v>30</v>
      </c>
      <c r="M26">
        <v>15</v>
      </c>
      <c r="N26">
        <v>46088</v>
      </c>
      <c r="O26">
        <v>27</v>
      </c>
      <c r="P26">
        <v>39000</v>
      </c>
      <c r="Q26">
        <v>4500</v>
      </c>
      <c r="R26">
        <v>175500</v>
      </c>
      <c r="S26" t="s">
        <v>117</v>
      </c>
      <c r="T26" t="s">
        <v>118</v>
      </c>
      <c r="U26" s="1">
        <f>+_xlfn.XLOOKUP(C26,[1]!ESTADO_CUENTA[ID_CLIENTE],[1]!ESTADO_CUENTA[TOTAL SALDOS],0,0,-1)</f>
        <v>0</v>
      </c>
      <c r="V26" s="1">
        <f>_xlfn.XLOOKUP(C26,[1]!ESTADO_CUENTA[ID_CLIENTE],[1]!ESTADO_CUENTA[TOTAL DEUDAS],0,0,-1)</f>
        <v>175500</v>
      </c>
    </row>
    <row r="27" spans="1:22" x14ac:dyDescent="0.25">
      <c r="A27" s="4">
        <v>46069</v>
      </c>
      <c r="B27" t="s">
        <v>32</v>
      </c>
      <c r="C27">
        <v>28</v>
      </c>
      <c r="D27" t="s">
        <v>119</v>
      </c>
      <c r="E27" t="s">
        <v>119</v>
      </c>
      <c r="G27" t="s">
        <v>120</v>
      </c>
      <c r="H27">
        <v>3212497133</v>
      </c>
      <c r="I27">
        <v>270</v>
      </c>
      <c r="J27">
        <v>540</v>
      </c>
      <c r="K27">
        <v>8100</v>
      </c>
      <c r="L27">
        <v>30</v>
      </c>
      <c r="M27">
        <v>15</v>
      </c>
      <c r="N27">
        <v>46084</v>
      </c>
      <c r="O27">
        <v>28</v>
      </c>
      <c r="P27">
        <v>25000</v>
      </c>
      <c r="Q27">
        <v>8100</v>
      </c>
      <c r="R27">
        <v>202500</v>
      </c>
      <c r="S27" t="s">
        <v>121</v>
      </c>
      <c r="T27" t="s">
        <v>122</v>
      </c>
      <c r="U27" s="1">
        <f>+_xlfn.XLOOKUP(C27,[1]!ESTADO_CUENTA[ID_CLIENTE],[1]!ESTADO_CUENTA[TOTAL SALDOS],0,0,-1)</f>
        <v>0</v>
      </c>
      <c r="V27" s="1">
        <f>_xlfn.XLOOKUP(C27,[1]!ESTADO_CUENTA[ID_CLIENTE],[1]!ESTADO_CUENTA[TOTAL DEUDAS],0,0,-1)</f>
        <v>0</v>
      </c>
    </row>
    <row r="28" spans="1:22" x14ac:dyDescent="0.25">
      <c r="A28" s="4">
        <v>46059</v>
      </c>
      <c r="B28" t="s">
        <v>32</v>
      </c>
      <c r="C28">
        <v>29</v>
      </c>
      <c r="D28" t="s">
        <v>123</v>
      </c>
      <c r="E28" t="s">
        <v>123</v>
      </c>
      <c r="G28" t="s">
        <v>124</v>
      </c>
      <c r="H28">
        <v>3187528202</v>
      </c>
      <c r="I28">
        <v>200</v>
      </c>
      <c r="J28">
        <v>400</v>
      </c>
      <c r="K28">
        <v>6000</v>
      </c>
      <c r="L28">
        <v>30</v>
      </c>
      <c r="M28">
        <v>15</v>
      </c>
      <c r="N28">
        <v>46074</v>
      </c>
      <c r="O28">
        <v>29</v>
      </c>
      <c r="P28">
        <v>42000</v>
      </c>
      <c r="Q28">
        <v>6000</v>
      </c>
      <c r="R28">
        <v>252000</v>
      </c>
      <c r="S28" t="s">
        <v>125</v>
      </c>
      <c r="T28" t="s">
        <v>126</v>
      </c>
      <c r="U28" s="1">
        <f>+_xlfn.XLOOKUP(C28,[1]!ESTADO_CUENTA[ID_CLIENTE],[1]!ESTADO_CUENTA[TOTAL SALDOS],0,0,-1)</f>
        <v>0</v>
      </c>
      <c r="V28" s="1">
        <f>_xlfn.XLOOKUP(C28,[1]!ESTADO_CUENTA[ID_CLIENTE],[1]!ESTADO_CUENTA[TOTAL DEUDAS],0,0,-1)</f>
        <v>126000</v>
      </c>
    </row>
    <row r="29" spans="1:22" x14ac:dyDescent="0.25">
      <c r="A29" s="4">
        <v>46066</v>
      </c>
      <c r="B29" t="s">
        <v>32</v>
      </c>
      <c r="C29">
        <v>30</v>
      </c>
      <c r="D29" t="s">
        <v>127</v>
      </c>
      <c r="E29" t="s">
        <v>127</v>
      </c>
      <c r="G29" t="s">
        <v>128</v>
      </c>
      <c r="H29">
        <v>3004306563</v>
      </c>
      <c r="I29">
        <v>130</v>
      </c>
      <c r="J29">
        <v>390</v>
      </c>
      <c r="K29">
        <v>5850</v>
      </c>
      <c r="L29">
        <v>45</v>
      </c>
      <c r="M29">
        <v>15</v>
      </c>
      <c r="N29">
        <v>46081</v>
      </c>
      <c r="O29">
        <v>30</v>
      </c>
      <c r="P29">
        <v>36512.820512820515</v>
      </c>
      <c r="Q29">
        <v>5850</v>
      </c>
      <c r="R29">
        <v>213600</v>
      </c>
      <c r="S29" t="s">
        <v>129</v>
      </c>
      <c r="U29" s="1">
        <f>+_xlfn.XLOOKUP(C29,[1]!ESTADO_CUENTA[ID_CLIENTE],[1]!ESTADO_CUENTA[TOTAL SALDOS],0,0,-1)</f>
        <v>0</v>
      </c>
      <c r="V29" s="1">
        <f>_xlfn.XLOOKUP(C29,[1]!ESTADO_CUENTA[ID_CLIENTE],[1]!ESTADO_CUENTA[TOTAL DEUDAS],0,0,-1)</f>
        <v>0</v>
      </c>
    </row>
    <row r="30" spans="1:22" x14ac:dyDescent="0.25">
      <c r="A30" s="4">
        <v>46063</v>
      </c>
      <c r="B30" t="s">
        <v>32</v>
      </c>
      <c r="C30">
        <v>31</v>
      </c>
      <c r="D30" t="s">
        <v>130</v>
      </c>
      <c r="E30" t="s">
        <v>130</v>
      </c>
      <c r="G30" t="s">
        <v>131</v>
      </c>
      <c r="H30">
        <v>3138503358</v>
      </c>
      <c r="I30">
        <v>350</v>
      </c>
      <c r="J30">
        <v>700</v>
      </c>
      <c r="K30">
        <v>10500</v>
      </c>
      <c r="L30">
        <v>30</v>
      </c>
      <c r="M30">
        <v>15</v>
      </c>
      <c r="N30">
        <v>46078</v>
      </c>
      <c r="O30">
        <v>31</v>
      </c>
      <c r="P30">
        <v>22000</v>
      </c>
      <c r="Q30">
        <v>10500</v>
      </c>
      <c r="R30">
        <v>231000</v>
      </c>
      <c r="S30" t="s">
        <v>132</v>
      </c>
      <c r="T30" t="s">
        <v>133</v>
      </c>
      <c r="U30" s="1">
        <f>+_xlfn.XLOOKUP(C30,[1]!ESTADO_CUENTA[ID_CLIENTE],[1]!ESTADO_CUENTA[TOTAL SALDOS],0,0,-1)</f>
        <v>0</v>
      </c>
      <c r="V30" s="1">
        <f>_xlfn.XLOOKUP(C30,[1]!ESTADO_CUENTA[ID_CLIENTE],[1]!ESTADO_CUENTA[TOTAL DEUDAS],0,0,-1)</f>
        <v>250000</v>
      </c>
    </row>
    <row r="31" spans="1:22" x14ac:dyDescent="0.25">
      <c r="A31" s="4">
        <v>46073</v>
      </c>
      <c r="B31" t="s">
        <v>32</v>
      </c>
      <c r="C31">
        <v>32</v>
      </c>
      <c r="D31" t="s">
        <v>134</v>
      </c>
      <c r="E31" t="s">
        <v>134</v>
      </c>
      <c r="G31" t="s">
        <v>135</v>
      </c>
      <c r="H31">
        <v>3041103894</v>
      </c>
      <c r="I31">
        <v>100</v>
      </c>
      <c r="J31">
        <v>200</v>
      </c>
      <c r="K31">
        <v>3000</v>
      </c>
      <c r="L31">
        <v>30</v>
      </c>
      <c r="M31">
        <v>15</v>
      </c>
      <c r="N31">
        <v>46088</v>
      </c>
      <c r="O31">
        <v>32</v>
      </c>
      <c r="P31">
        <v>29000</v>
      </c>
      <c r="Q31">
        <v>3000</v>
      </c>
      <c r="R31">
        <v>87000</v>
      </c>
      <c r="S31" t="s">
        <v>136</v>
      </c>
      <c r="T31" t="s">
        <v>137</v>
      </c>
      <c r="U31" s="1">
        <f>+_xlfn.XLOOKUP(C31,[1]!ESTADO_CUENTA[ID_CLIENTE],[1]!ESTADO_CUENTA[TOTAL SALDOS],0,0,-1)</f>
        <v>0</v>
      </c>
      <c r="V31" s="1">
        <f>_xlfn.XLOOKUP(C31,[1]!ESTADO_CUENTA[ID_CLIENTE],[1]!ESTADO_CUENTA[TOTAL DEUDAS],0,0,-1)</f>
        <v>0</v>
      </c>
    </row>
    <row r="32" spans="1:22" x14ac:dyDescent="0.25">
      <c r="A32" s="4">
        <v>46069</v>
      </c>
      <c r="B32" t="s">
        <v>32</v>
      </c>
      <c r="C32">
        <v>34</v>
      </c>
      <c r="D32" t="s">
        <v>138</v>
      </c>
      <c r="E32" t="s">
        <v>138</v>
      </c>
      <c r="G32" t="s">
        <v>139</v>
      </c>
      <c r="H32">
        <v>3107986133</v>
      </c>
      <c r="I32">
        <v>180</v>
      </c>
      <c r="J32">
        <v>180</v>
      </c>
      <c r="K32">
        <v>2700</v>
      </c>
      <c r="L32">
        <v>15</v>
      </c>
      <c r="M32">
        <v>15</v>
      </c>
      <c r="N32">
        <v>46084</v>
      </c>
      <c r="O32">
        <v>34</v>
      </c>
      <c r="P32">
        <v>32000</v>
      </c>
      <c r="Q32">
        <v>2700</v>
      </c>
      <c r="R32">
        <v>86400</v>
      </c>
      <c r="S32" t="s">
        <v>140</v>
      </c>
      <c r="T32" t="s">
        <v>141</v>
      </c>
      <c r="U32" s="1">
        <f>+_xlfn.XLOOKUP(C32,[1]!ESTADO_CUENTA[ID_CLIENTE],[1]!ESTADO_CUENTA[TOTAL SALDOS],0,0,-1)</f>
        <v>0</v>
      </c>
      <c r="V32" s="1">
        <f>_xlfn.XLOOKUP(C32,[1]!ESTADO_CUENTA[ID_CLIENTE],[1]!ESTADO_CUENTA[TOTAL DEUDAS],0,0,-1)</f>
        <v>0</v>
      </c>
    </row>
    <row r="33" spans="1:22" x14ac:dyDescent="0.25">
      <c r="A33" s="4">
        <v>46073</v>
      </c>
      <c r="B33" t="s">
        <v>32</v>
      </c>
      <c r="C33">
        <v>35</v>
      </c>
      <c r="D33" t="s">
        <v>142</v>
      </c>
      <c r="E33" t="s">
        <v>142</v>
      </c>
      <c r="G33" t="s">
        <v>143</v>
      </c>
      <c r="H33">
        <v>3112199430</v>
      </c>
      <c r="I33">
        <v>360</v>
      </c>
      <c r="J33">
        <v>720</v>
      </c>
      <c r="K33">
        <v>7200</v>
      </c>
      <c r="L33">
        <v>20</v>
      </c>
      <c r="M33">
        <v>10</v>
      </c>
      <c r="N33">
        <v>46083</v>
      </c>
      <c r="O33">
        <v>35</v>
      </c>
      <c r="P33">
        <v>25000</v>
      </c>
      <c r="Q33">
        <v>7200</v>
      </c>
      <c r="R33">
        <v>180000</v>
      </c>
      <c r="S33" t="s">
        <v>144</v>
      </c>
      <c r="T33" t="s">
        <v>145</v>
      </c>
      <c r="U33" s="1">
        <f>+_xlfn.XLOOKUP(C33,[1]!ESTADO_CUENTA[ID_CLIENTE],[1]!ESTADO_CUENTA[TOTAL SALDOS],0,0,-1)</f>
        <v>0</v>
      </c>
      <c r="V33" s="1">
        <f>_xlfn.XLOOKUP(C33,[1]!ESTADO_CUENTA[ID_CLIENTE],[1]!ESTADO_CUENTA[TOTAL DEUDAS],0,0,-1)</f>
        <v>0</v>
      </c>
    </row>
    <row r="34" spans="1:22" x14ac:dyDescent="0.25">
      <c r="A34" s="4">
        <v>46073</v>
      </c>
      <c r="B34" t="s">
        <v>32</v>
      </c>
      <c r="C34">
        <v>36</v>
      </c>
      <c r="D34" t="s">
        <v>146</v>
      </c>
      <c r="E34" t="s">
        <v>146</v>
      </c>
      <c r="G34" t="s">
        <v>147</v>
      </c>
      <c r="H34">
        <v>3225394262</v>
      </c>
      <c r="I34">
        <v>200</v>
      </c>
      <c r="J34">
        <v>6000</v>
      </c>
      <c r="K34">
        <v>30000</v>
      </c>
      <c r="L34">
        <v>150</v>
      </c>
      <c r="M34">
        <v>5</v>
      </c>
      <c r="N34">
        <v>46078</v>
      </c>
      <c r="O34">
        <v>36</v>
      </c>
      <c r="P34">
        <v>19000</v>
      </c>
      <c r="Q34">
        <v>30000</v>
      </c>
      <c r="R34">
        <v>570000</v>
      </c>
      <c r="S34" t="s">
        <v>148</v>
      </c>
      <c r="T34" t="s">
        <v>149</v>
      </c>
      <c r="U34" s="1">
        <f>+_xlfn.XLOOKUP(C34,[1]!ESTADO_CUENTA[ID_CLIENTE],[1]!ESTADO_CUENTA[TOTAL SALDOS],0,0,-1)</f>
        <v>0</v>
      </c>
      <c r="V34" s="1">
        <f>_xlfn.XLOOKUP(C34,[1]!ESTADO_CUENTA[ID_CLIENTE],[1]!ESTADO_CUENTA[TOTAL DEUDAS],0,0,-1)</f>
        <v>2818810</v>
      </c>
    </row>
    <row r="35" spans="1:22" x14ac:dyDescent="0.25">
      <c r="A35" s="4">
        <v>0</v>
      </c>
      <c r="B35" t="s">
        <v>20</v>
      </c>
      <c r="C35">
        <v>37</v>
      </c>
      <c r="D35" t="s">
        <v>150</v>
      </c>
      <c r="E35" t="s">
        <v>151</v>
      </c>
      <c r="G35" t="s">
        <v>6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37</v>
      </c>
      <c r="P35">
        <v>0</v>
      </c>
      <c r="Q35">
        <v>0</v>
      </c>
      <c r="S35" t="s">
        <v>152</v>
      </c>
      <c r="T35" t="s">
        <v>153</v>
      </c>
      <c r="U35" s="1">
        <f>+_xlfn.XLOOKUP(C35,[1]!ESTADO_CUENTA[ID_CLIENTE],[1]!ESTADO_CUENTA[TOTAL SALDOS],0,0,-1)</f>
        <v>0</v>
      </c>
      <c r="V35" s="1">
        <f>_xlfn.XLOOKUP(C35,[1]!ESTADO_CUENTA[ID_CLIENTE],[1]!ESTADO_CUENTA[TOTAL DEUDAS],0,0,-1)</f>
        <v>0</v>
      </c>
    </row>
    <row r="36" spans="1:22" x14ac:dyDescent="0.25">
      <c r="A36" s="4">
        <v>0</v>
      </c>
      <c r="B36" t="s">
        <v>20</v>
      </c>
      <c r="C36">
        <v>38</v>
      </c>
      <c r="D36" t="s">
        <v>154</v>
      </c>
      <c r="E36" t="s">
        <v>155</v>
      </c>
      <c r="G36" t="s">
        <v>6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38</v>
      </c>
      <c r="P36">
        <v>0</v>
      </c>
      <c r="Q36">
        <v>0</v>
      </c>
      <c r="T36" t="s">
        <v>156</v>
      </c>
      <c r="U36" s="1">
        <f>+_xlfn.XLOOKUP(C36,[1]!ESTADO_CUENTA[ID_CLIENTE],[1]!ESTADO_CUENTA[TOTAL SALDOS],0,0,-1)</f>
        <v>0</v>
      </c>
      <c r="V36" s="1">
        <f>_xlfn.XLOOKUP(C36,[1]!ESTADO_CUENTA[ID_CLIENTE],[1]!ESTADO_CUENTA[TOTAL DEUDAS],0,0,-1)</f>
        <v>0</v>
      </c>
    </row>
    <row r="37" spans="1:22" x14ac:dyDescent="0.25">
      <c r="A37" s="4">
        <v>46070</v>
      </c>
      <c r="B37" t="s">
        <v>32</v>
      </c>
      <c r="C37">
        <v>39</v>
      </c>
      <c r="D37" t="s">
        <v>157</v>
      </c>
      <c r="E37" t="s">
        <v>158</v>
      </c>
      <c r="G37" t="s">
        <v>159</v>
      </c>
      <c r="H37">
        <v>3123419084</v>
      </c>
      <c r="I37">
        <v>150</v>
      </c>
      <c r="J37">
        <v>150</v>
      </c>
      <c r="K37">
        <v>1050</v>
      </c>
      <c r="L37">
        <v>7</v>
      </c>
      <c r="M37">
        <v>7</v>
      </c>
      <c r="N37">
        <v>46077</v>
      </c>
      <c r="O37">
        <v>39</v>
      </c>
      <c r="P37">
        <v>20952.38095238095</v>
      </c>
      <c r="Q37">
        <v>1050</v>
      </c>
      <c r="R37">
        <v>22000</v>
      </c>
      <c r="S37" t="s">
        <v>160</v>
      </c>
      <c r="T37" t="s">
        <v>161</v>
      </c>
      <c r="U37" s="1">
        <f>+_xlfn.XLOOKUP(C37,[1]!ESTADO_CUENTA[ID_CLIENTE],[1]!ESTADO_CUENTA[TOTAL SALDOS],0,0,-1)</f>
        <v>0</v>
      </c>
      <c r="V37" s="1">
        <f>_xlfn.XLOOKUP(C37,[1]!ESTADO_CUENTA[ID_CLIENTE],[1]!ESTADO_CUENTA[TOTAL DEUDAS],0,0,-1)</f>
        <v>0</v>
      </c>
    </row>
    <row r="38" spans="1:22" x14ac:dyDescent="0.25">
      <c r="B38" t="s">
        <v>28</v>
      </c>
      <c r="C38">
        <v>40</v>
      </c>
      <c r="D38" t="s">
        <v>162</v>
      </c>
      <c r="E38" t="s">
        <v>163</v>
      </c>
      <c r="F38" t="s">
        <v>164</v>
      </c>
      <c r="G38" t="s">
        <v>165</v>
      </c>
      <c r="H38">
        <v>3013922571</v>
      </c>
      <c r="I38">
        <v>150</v>
      </c>
      <c r="J38">
        <v>300</v>
      </c>
      <c r="K38">
        <v>4500</v>
      </c>
      <c r="L38">
        <v>30</v>
      </c>
      <c r="M38">
        <v>15</v>
      </c>
      <c r="O38">
        <v>40</v>
      </c>
      <c r="P38">
        <v>33666.666666666664</v>
      </c>
      <c r="Q38">
        <v>4500</v>
      </c>
      <c r="R38">
        <v>151500</v>
      </c>
      <c r="S38" t="s">
        <v>166</v>
      </c>
      <c r="T38" t="s">
        <v>167</v>
      </c>
      <c r="U38" s="1">
        <f>+_xlfn.XLOOKUP(C38,[1]!ESTADO_CUENTA[ID_CLIENTE],[1]!ESTADO_CUENTA[TOTAL SALDOS],0,0,-1)</f>
        <v>0</v>
      </c>
      <c r="V38" s="1">
        <f>_xlfn.XLOOKUP(C38,[1]!ESTADO_CUENTA[ID_CLIENTE],[1]!ESTADO_CUENTA[TOTAL DEUDAS],0,0,-1)</f>
        <v>0</v>
      </c>
    </row>
    <row r="39" spans="1:22" x14ac:dyDescent="0.25">
      <c r="A39" s="4">
        <v>46036</v>
      </c>
      <c r="B39" t="s">
        <v>20</v>
      </c>
      <c r="C39">
        <v>16</v>
      </c>
      <c r="D39" t="s">
        <v>1358</v>
      </c>
      <c r="E39" t="s">
        <v>1308</v>
      </c>
      <c r="F39" t="s">
        <v>164</v>
      </c>
      <c r="G39" t="s">
        <v>1309</v>
      </c>
      <c r="H39">
        <v>3212341101</v>
      </c>
      <c r="I39">
        <v>200</v>
      </c>
      <c r="J39">
        <v>400</v>
      </c>
      <c r="K39">
        <v>6000</v>
      </c>
      <c r="L39">
        <v>30</v>
      </c>
      <c r="M39">
        <v>15</v>
      </c>
      <c r="N39">
        <v>46051</v>
      </c>
      <c r="O39">
        <v>16</v>
      </c>
      <c r="P39">
        <v>23000</v>
      </c>
      <c r="Q39">
        <v>6000</v>
      </c>
      <c r="R39">
        <v>138000</v>
      </c>
      <c r="S39" t="s">
        <v>948</v>
      </c>
      <c r="U39" s="1">
        <f>+_xlfn.XLOOKUP(C39,[1]!ESTADO_CUENTA[ID_CLIENTE],[1]!ESTADO_CUENTA[TOTAL SALDOS],0,0,-1)</f>
        <v>0</v>
      </c>
      <c r="V39" s="1">
        <f>_xlfn.XLOOKUP(C39,[1]!ESTADO_CUENTA[ID_CLIENTE],[1]!ESTADO_CUENTA[TOTAL DEUDAS],0,0,-1)</f>
        <v>0</v>
      </c>
    </row>
    <row r="40" spans="1:22" x14ac:dyDescent="0.25">
      <c r="A40" s="4">
        <v>46069</v>
      </c>
      <c r="B40" t="s">
        <v>32</v>
      </c>
      <c r="C40">
        <v>44</v>
      </c>
      <c r="D40" t="s">
        <v>172</v>
      </c>
      <c r="E40" t="s">
        <v>172</v>
      </c>
      <c r="G40" t="s">
        <v>173</v>
      </c>
      <c r="H40">
        <v>3166198371</v>
      </c>
      <c r="I40">
        <v>100</v>
      </c>
      <c r="J40">
        <v>300</v>
      </c>
      <c r="K40">
        <v>4500</v>
      </c>
      <c r="L40">
        <v>45</v>
      </c>
      <c r="M40">
        <v>15</v>
      </c>
      <c r="N40">
        <v>46084</v>
      </c>
      <c r="O40">
        <v>44</v>
      </c>
      <c r="P40">
        <v>36000</v>
      </c>
      <c r="Q40">
        <v>4500</v>
      </c>
      <c r="R40">
        <v>162000</v>
      </c>
      <c r="S40" t="s">
        <v>174</v>
      </c>
      <c r="T40" t="s">
        <v>175</v>
      </c>
      <c r="U40" s="1">
        <f>+_xlfn.XLOOKUP(C40,[1]!ESTADO_CUENTA[ID_CLIENTE],[1]!ESTADO_CUENTA[TOTAL SALDOS],0,0,-1)</f>
        <v>0</v>
      </c>
      <c r="V40" s="1">
        <f>_xlfn.XLOOKUP(C40,[1]!ESTADO_CUENTA[ID_CLIENTE],[1]!ESTADO_CUENTA[TOTAL DEUDAS],0,0,-1)</f>
        <v>0</v>
      </c>
    </row>
    <row r="41" spans="1:22" x14ac:dyDescent="0.25">
      <c r="A41" s="4">
        <v>46073</v>
      </c>
      <c r="B41" t="s">
        <v>32</v>
      </c>
      <c r="C41">
        <v>45</v>
      </c>
      <c r="D41" t="s">
        <v>176</v>
      </c>
      <c r="E41" t="s">
        <v>177</v>
      </c>
      <c r="F41" t="s">
        <v>164</v>
      </c>
      <c r="G41" t="s">
        <v>178</v>
      </c>
      <c r="H41">
        <v>3107629406</v>
      </c>
      <c r="I41">
        <v>265</v>
      </c>
      <c r="J41">
        <v>530</v>
      </c>
      <c r="K41">
        <v>7950</v>
      </c>
      <c r="L41">
        <v>30</v>
      </c>
      <c r="M41">
        <v>15</v>
      </c>
      <c r="N41">
        <v>46088</v>
      </c>
      <c r="O41">
        <v>45</v>
      </c>
      <c r="P41">
        <v>30000</v>
      </c>
      <c r="Q41">
        <v>7950</v>
      </c>
      <c r="R41">
        <v>238500</v>
      </c>
      <c r="S41" t="s">
        <v>179</v>
      </c>
      <c r="U41" s="1">
        <f>+_xlfn.XLOOKUP(C41,[1]!ESTADO_CUENTA[ID_CLIENTE],[1]!ESTADO_CUENTA[TOTAL SALDOS],0,0,-1)</f>
        <v>0</v>
      </c>
      <c r="V41" s="1">
        <f>_xlfn.XLOOKUP(C41,[1]!ESTADO_CUENTA[ID_CLIENTE],[1]!ESTADO_CUENTA[TOTAL DEUDAS],0,0,-1)</f>
        <v>0</v>
      </c>
    </row>
    <row r="42" spans="1:22" x14ac:dyDescent="0.25">
      <c r="B42" t="s">
        <v>28</v>
      </c>
      <c r="C42">
        <v>46</v>
      </c>
      <c r="D42" t="s">
        <v>180</v>
      </c>
      <c r="E42" t="s">
        <v>180</v>
      </c>
      <c r="G42" t="s">
        <v>181</v>
      </c>
      <c r="H42">
        <v>3185164316</v>
      </c>
      <c r="I42">
        <v>185</v>
      </c>
      <c r="J42">
        <v>370</v>
      </c>
      <c r="K42">
        <v>2590</v>
      </c>
      <c r="L42">
        <v>14</v>
      </c>
      <c r="M42">
        <v>7</v>
      </c>
      <c r="O42">
        <v>46</v>
      </c>
      <c r="P42">
        <v>78301.158301158299</v>
      </c>
      <c r="Q42">
        <v>2590</v>
      </c>
      <c r="R42">
        <v>202800</v>
      </c>
      <c r="S42" t="s">
        <v>182</v>
      </c>
      <c r="U42" s="1">
        <f>+_xlfn.XLOOKUP(C42,[1]!ESTADO_CUENTA[ID_CLIENTE],[1]!ESTADO_CUENTA[TOTAL SALDOS],0,0,-1)</f>
        <v>0</v>
      </c>
      <c r="V42" s="1">
        <f>_xlfn.XLOOKUP(C42,[1]!ESTADO_CUENTA[ID_CLIENTE],[1]!ESTADO_CUENTA[TOTAL DEUDAS],0,0,-1)</f>
        <v>0</v>
      </c>
    </row>
    <row r="43" spans="1:22" x14ac:dyDescent="0.25">
      <c r="A43" s="4">
        <v>46069</v>
      </c>
      <c r="B43" t="s">
        <v>32</v>
      </c>
      <c r="C43">
        <v>47</v>
      </c>
      <c r="D43" t="s">
        <v>183</v>
      </c>
      <c r="E43" t="s">
        <v>183</v>
      </c>
      <c r="G43" t="s">
        <v>184</v>
      </c>
      <c r="H43">
        <v>3134233956</v>
      </c>
      <c r="I43">
        <v>200</v>
      </c>
      <c r="J43">
        <v>200</v>
      </c>
      <c r="K43">
        <v>6000</v>
      </c>
      <c r="L43">
        <v>30</v>
      </c>
      <c r="M43">
        <v>30</v>
      </c>
      <c r="N43">
        <v>46099</v>
      </c>
      <c r="O43">
        <v>47</v>
      </c>
      <c r="P43">
        <v>28000</v>
      </c>
      <c r="Q43">
        <v>6000</v>
      </c>
      <c r="R43">
        <v>168000</v>
      </c>
      <c r="S43" t="s">
        <v>185</v>
      </c>
      <c r="T43" t="s">
        <v>186</v>
      </c>
      <c r="U43" s="1">
        <f>+_xlfn.XLOOKUP(C43,[1]!ESTADO_CUENTA[ID_CLIENTE],[1]!ESTADO_CUENTA[TOTAL SALDOS],0,0,-1)</f>
        <v>0</v>
      </c>
      <c r="V43" s="1">
        <f>_xlfn.XLOOKUP(C43,[1]!ESTADO_CUENTA[ID_CLIENTE],[1]!ESTADO_CUENTA[TOTAL DEUDAS],0,0,-1)</f>
        <v>0</v>
      </c>
    </row>
    <row r="44" spans="1:22" x14ac:dyDescent="0.25">
      <c r="B44" t="s">
        <v>28</v>
      </c>
      <c r="C44">
        <v>48</v>
      </c>
      <c r="D44" t="s">
        <v>187</v>
      </c>
      <c r="E44" t="s">
        <v>187</v>
      </c>
      <c r="G44" t="s">
        <v>188</v>
      </c>
      <c r="H44">
        <v>3115975083</v>
      </c>
      <c r="I44">
        <v>260</v>
      </c>
      <c r="J44">
        <v>260</v>
      </c>
      <c r="K44">
        <v>3900</v>
      </c>
      <c r="L44">
        <v>15</v>
      </c>
      <c r="M44">
        <v>15</v>
      </c>
      <c r="O44">
        <v>48</v>
      </c>
      <c r="P44">
        <v>23000</v>
      </c>
      <c r="Q44">
        <v>3900</v>
      </c>
      <c r="R44">
        <v>89700</v>
      </c>
      <c r="S44" t="s">
        <v>189</v>
      </c>
      <c r="T44" t="s">
        <v>190</v>
      </c>
      <c r="U44" s="1">
        <f>+_xlfn.XLOOKUP(C44,[1]!ESTADO_CUENTA[ID_CLIENTE],[1]!ESTADO_CUENTA[TOTAL SALDOS],0,0,-1)</f>
        <v>0</v>
      </c>
      <c r="V44" s="1">
        <f>_xlfn.XLOOKUP(C44,[1]!ESTADO_CUENTA[ID_CLIENTE],[1]!ESTADO_CUENTA[TOTAL DEUDAS],0,0,-1)</f>
        <v>0</v>
      </c>
    </row>
    <row r="45" spans="1:22" x14ac:dyDescent="0.25">
      <c r="A45" s="4">
        <v>46045</v>
      </c>
      <c r="B45" t="s">
        <v>20</v>
      </c>
      <c r="C45">
        <v>49</v>
      </c>
      <c r="D45" t="s">
        <v>191</v>
      </c>
      <c r="E45" t="s">
        <v>191</v>
      </c>
      <c r="G45" t="s">
        <v>192</v>
      </c>
      <c r="H45">
        <v>3212442419</v>
      </c>
      <c r="I45">
        <v>150</v>
      </c>
      <c r="J45">
        <v>150</v>
      </c>
      <c r="K45">
        <v>1500</v>
      </c>
      <c r="L45">
        <v>10</v>
      </c>
      <c r="M45">
        <v>10</v>
      </c>
      <c r="N45">
        <v>46055</v>
      </c>
      <c r="O45">
        <v>49</v>
      </c>
      <c r="P45">
        <v>99000</v>
      </c>
      <c r="Q45">
        <v>1500</v>
      </c>
      <c r="R45">
        <v>148500</v>
      </c>
      <c r="S45" t="s">
        <v>193</v>
      </c>
      <c r="T45" t="s">
        <v>194</v>
      </c>
      <c r="U45" s="1">
        <f>+_xlfn.XLOOKUP(C45,[1]!ESTADO_CUENTA[ID_CLIENTE],[1]!ESTADO_CUENTA[TOTAL SALDOS],0,0,-1)</f>
        <v>0</v>
      </c>
      <c r="V45" s="1">
        <f>_xlfn.XLOOKUP(C45,[1]!ESTADO_CUENTA[ID_CLIENTE],[1]!ESTADO_CUENTA[TOTAL DEUDAS],0,0,-1)</f>
        <v>0</v>
      </c>
    </row>
    <row r="46" spans="1:22" x14ac:dyDescent="0.25">
      <c r="B46" t="s">
        <v>28</v>
      </c>
      <c r="C46">
        <v>50</v>
      </c>
      <c r="D46" t="s">
        <v>195</v>
      </c>
      <c r="E46" t="s">
        <v>195</v>
      </c>
      <c r="G46" t="s">
        <v>196</v>
      </c>
      <c r="H46">
        <v>3214596773</v>
      </c>
      <c r="I46">
        <v>45</v>
      </c>
      <c r="J46">
        <v>90</v>
      </c>
      <c r="K46">
        <v>630</v>
      </c>
      <c r="L46">
        <v>14</v>
      </c>
      <c r="M46">
        <v>7</v>
      </c>
      <c r="O46">
        <v>50</v>
      </c>
      <c r="P46">
        <v>15873.015873015873</v>
      </c>
      <c r="Q46">
        <v>630</v>
      </c>
      <c r="R46">
        <v>10000</v>
      </c>
      <c r="S46" t="s">
        <v>197</v>
      </c>
      <c r="U46" s="1">
        <f>+_xlfn.XLOOKUP(C46,[1]!ESTADO_CUENTA[ID_CLIENTE],[1]!ESTADO_CUENTA[TOTAL SALDOS],0,0,-1)</f>
        <v>0</v>
      </c>
      <c r="V46" s="1">
        <f>_xlfn.XLOOKUP(C46,[1]!ESTADO_CUENTA[ID_CLIENTE],[1]!ESTADO_CUENTA[TOTAL DEUDAS],0,0,-1)</f>
        <v>0</v>
      </c>
    </row>
    <row r="47" spans="1:22" x14ac:dyDescent="0.25">
      <c r="B47" t="s">
        <v>28</v>
      </c>
      <c r="C47">
        <v>20</v>
      </c>
      <c r="D47" t="s">
        <v>1359</v>
      </c>
      <c r="E47" t="s">
        <v>89</v>
      </c>
      <c r="G47" t="s">
        <v>90</v>
      </c>
      <c r="H47">
        <v>3206393433</v>
      </c>
      <c r="I47">
        <v>54</v>
      </c>
      <c r="J47">
        <v>160</v>
      </c>
      <c r="K47">
        <v>1120</v>
      </c>
      <c r="L47">
        <v>20.74074074074074</v>
      </c>
      <c r="M47">
        <v>7</v>
      </c>
      <c r="O47">
        <v>20</v>
      </c>
      <c r="P47">
        <v>8928.5714285714294</v>
      </c>
      <c r="Q47">
        <v>1120</v>
      </c>
      <c r="R47">
        <v>10000</v>
      </c>
      <c r="S47" t="s">
        <v>91</v>
      </c>
      <c r="U47" s="1">
        <f>+_xlfn.XLOOKUP(C47,[1]!ESTADO_CUENTA[ID_CLIENTE],[1]!ESTADO_CUENTA[TOTAL SALDOS],0,0,-1)</f>
        <v>0</v>
      </c>
      <c r="V47" s="1">
        <f>_xlfn.XLOOKUP(C47,[1]!ESTADO_CUENTA[ID_CLIENTE],[1]!ESTADO_CUENTA[TOTAL DEUDAS],0,0,-1)</f>
        <v>0</v>
      </c>
    </row>
    <row r="48" spans="1:22" x14ac:dyDescent="0.25">
      <c r="B48" t="s">
        <v>28</v>
      </c>
      <c r="C48">
        <v>52</v>
      </c>
      <c r="D48" t="s">
        <v>201</v>
      </c>
      <c r="E48" t="s">
        <v>202</v>
      </c>
      <c r="G48" t="s">
        <v>203</v>
      </c>
      <c r="H48">
        <v>3242651750</v>
      </c>
      <c r="I48">
        <v>150</v>
      </c>
      <c r="J48">
        <v>300</v>
      </c>
      <c r="K48">
        <v>4500</v>
      </c>
      <c r="L48">
        <v>30</v>
      </c>
      <c r="M48">
        <v>15</v>
      </c>
      <c r="O48">
        <v>52</v>
      </c>
      <c r="P48">
        <v>0</v>
      </c>
      <c r="Q48">
        <v>4500</v>
      </c>
      <c r="U48" s="1">
        <f>+_xlfn.XLOOKUP(C48,[1]!ESTADO_CUENTA[ID_CLIENTE],[1]!ESTADO_CUENTA[TOTAL SALDOS],0,0,-1)</f>
        <v>0</v>
      </c>
      <c r="V48" s="1">
        <f>_xlfn.XLOOKUP(C48,[1]!ESTADO_CUENTA[ID_CLIENTE],[1]!ESTADO_CUENTA[TOTAL DEUDAS],0,0,-1)</f>
        <v>0</v>
      </c>
    </row>
    <row r="49" spans="1:22" x14ac:dyDescent="0.25">
      <c r="A49" s="4">
        <v>46066</v>
      </c>
      <c r="B49" t="s">
        <v>32</v>
      </c>
      <c r="C49">
        <v>53</v>
      </c>
      <c r="D49" t="s">
        <v>204</v>
      </c>
      <c r="E49" t="s">
        <v>204</v>
      </c>
      <c r="G49" t="s">
        <v>205</v>
      </c>
      <c r="H49">
        <v>3103174172</v>
      </c>
      <c r="I49">
        <v>120</v>
      </c>
      <c r="J49">
        <v>120</v>
      </c>
      <c r="K49">
        <v>1800</v>
      </c>
      <c r="L49">
        <v>15</v>
      </c>
      <c r="M49">
        <v>15</v>
      </c>
      <c r="N49">
        <v>46081</v>
      </c>
      <c r="O49">
        <v>53</v>
      </c>
      <c r="P49">
        <v>42000</v>
      </c>
      <c r="Q49">
        <v>1800</v>
      </c>
      <c r="R49">
        <v>75600</v>
      </c>
      <c r="S49" t="s">
        <v>206</v>
      </c>
      <c r="T49" t="s">
        <v>207</v>
      </c>
      <c r="U49" s="1">
        <f>+_xlfn.XLOOKUP(C49,[1]!ESTADO_CUENTA[ID_CLIENTE],[1]!ESTADO_CUENTA[TOTAL SALDOS],0,0,-1)</f>
        <v>0</v>
      </c>
      <c r="V49" s="1">
        <f>_xlfn.XLOOKUP(C49,[1]!ESTADO_CUENTA[ID_CLIENTE],[1]!ESTADO_CUENTA[TOTAL DEUDAS],0,0,-1)</f>
        <v>0</v>
      </c>
    </row>
    <row r="50" spans="1:22" x14ac:dyDescent="0.25">
      <c r="A50" s="4">
        <v>46062</v>
      </c>
      <c r="B50" t="s">
        <v>32</v>
      </c>
      <c r="C50">
        <v>54</v>
      </c>
      <c r="D50" t="s">
        <v>208</v>
      </c>
      <c r="E50" t="s">
        <v>208</v>
      </c>
      <c r="G50" t="s">
        <v>209</v>
      </c>
      <c r="H50">
        <v>3004955102</v>
      </c>
      <c r="I50">
        <v>150</v>
      </c>
      <c r="J50">
        <v>450</v>
      </c>
      <c r="K50">
        <v>6750</v>
      </c>
      <c r="L50">
        <v>45</v>
      </c>
      <c r="M50">
        <v>15</v>
      </c>
      <c r="N50">
        <v>46077</v>
      </c>
      <c r="O50">
        <v>54</v>
      </c>
      <c r="P50">
        <v>36444.444444444445</v>
      </c>
      <c r="Q50">
        <v>6750</v>
      </c>
      <c r="R50">
        <v>246000</v>
      </c>
      <c r="S50" t="s">
        <v>210</v>
      </c>
      <c r="T50" t="s">
        <v>211</v>
      </c>
      <c r="U50" s="1">
        <f>+_xlfn.XLOOKUP(C50,[1]!ESTADO_CUENTA[ID_CLIENTE],[1]!ESTADO_CUENTA[TOTAL SALDOS],0,0,-1)</f>
        <v>0</v>
      </c>
      <c r="V50" s="1">
        <f>_xlfn.XLOOKUP(C50,[1]!ESTADO_CUENTA[ID_CLIENTE],[1]!ESTADO_CUENTA[TOTAL DEUDAS],0,0,-1)</f>
        <v>0</v>
      </c>
    </row>
    <row r="51" spans="1:22" x14ac:dyDescent="0.25">
      <c r="B51" t="s">
        <v>28</v>
      </c>
      <c r="C51">
        <v>55</v>
      </c>
      <c r="D51" t="s">
        <v>212</v>
      </c>
      <c r="E51" t="s">
        <v>213</v>
      </c>
      <c r="G51" t="s">
        <v>214</v>
      </c>
      <c r="H51">
        <v>3203424920</v>
      </c>
      <c r="I51">
        <v>100</v>
      </c>
      <c r="J51">
        <v>100</v>
      </c>
      <c r="K51">
        <v>800</v>
      </c>
      <c r="L51">
        <v>8</v>
      </c>
      <c r="M51">
        <v>8</v>
      </c>
      <c r="O51">
        <v>55</v>
      </c>
      <c r="P51">
        <v>40000</v>
      </c>
      <c r="Q51">
        <v>800</v>
      </c>
      <c r="R51">
        <v>32000</v>
      </c>
      <c r="S51" t="s">
        <v>63</v>
      </c>
      <c r="U51" s="1">
        <f>+_xlfn.XLOOKUP(C51,[1]!ESTADO_CUENTA[ID_CLIENTE],[1]!ESTADO_CUENTA[TOTAL SALDOS],0,0,-1)</f>
        <v>0</v>
      </c>
      <c r="V51" s="1">
        <f>_xlfn.XLOOKUP(C51,[1]!ESTADO_CUENTA[ID_CLIENTE],[1]!ESTADO_CUENTA[TOTAL DEUDAS],0,0,-1)</f>
        <v>0</v>
      </c>
    </row>
    <row r="52" spans="1:22" x14ac:dyDescent="0.25">
      <c r="A52" s="4">
        <v>46066</v>
      </c>
      <c r="B52" t="s">
        <v>32</v>
      </c>
      <c r="C52">
        <v>56</v>
      </c>
      <c r="D52" t="s">
        <v>215</v>
      </c>
      <c r="E52" t="s">
        <v>215</v>
      </c>
      <c r="F52" t="s">
        <v>164</v>
      </c>
      <c r="G52" t="s">
        <v>216</v>
      </c>
      <c r="H52">
        <v>3123705496</v>
      </c>
      <c r="I52">
        <v>150</v>
      </c>
      <c r="J52">
        <v>300</v>
      </c>
      <c r="K52">
        <v>4500</v>
      </c>
      <c r="L52">
        <v>30</v>
      </c>
      <c r="M52">
        <v>15</v>
      </c>
      <c r="N52">
        <v>46081</v>
      </c>
      <c r="O52">
        <v>56</v>
      </c>
      <c r="P52">
        <v>29000</v>
      </c>
      <c r="Q52">
        <v>4500</v>
      </c>
      <c r="R52">
        <v>130500</v>
      </c>
      <c r="S52" t="s">
        <v>217</v>
      </c>
      <c r="T52" t="s">
        <v>218</v>
      </c>
      <c r="U52" s="1">
        <f>+_xlfn.XLOOKUP(C52,[1]!ESTADO_CUENTA[ID_CLIENTE],[1]!ESTADO_CUENTA[TOTAL SALDOS],0,0,-1)</f>
        <v>0</v>
      </c>
      <c r="V52" s="1">
        <f>_xlfn.XLOOKUP(C52,[1]!ESTADO_CUENTA[ID_CLIENTE],[1]!ESTADO_CUENTA[TOTAL DEUDAS],0,0,-1)</f>
        <v>174000</v>
      </c>
    </row>
    <row r="53" spans="1:22" x14ac:dyDescent="0.25">
      <c r="B53" t="s">
        <v>28</v>
      </c>
      <c r="C53">
        <v>57</v>
      </c>
      <c r="D53" t="s">
        <v>219</v>
      </c>
      <c r="E53" t="s">
        <v>219</v>
      </c>
      <c r="G53" t="s">
        <v>220</v>
      </c>
      <c r="H53">
        <v>3214076073</v>
      </c>
      <c r="I53">
        <v>110</v>
      </c>
      <c r="J53">
        <v>220</v>
      </c>
      <c r="K53">
        <v>3300</v>
      </c>
      <c r="L53">
        <v>30</v>
      </c>
      <c r="M53">
        <v>15</v>
      </c>
      <c r="O53">
        <v>57</v>
      </c>
      <c r="P53">
        <v>37818.181818181823</v>
      </c>
      <c r="Q53">
        <v>3300</v>
      </c>
      <c r="R53">
        <v>124800</v>
      </c>
      <c r="S53" t="s">
        <v>221</v>
      </c>
      <c r="T53" t="s">
        <v>222</v>
      </c>
      <c r="U53" s="1">
        <f>+_xlfn.XLOOKUP(C53,[1]!ESTADO_CUENTA[ID_CLIENTE],[1]!ESTADO_CUENTA[TOTAL SALDOS],0,0,-1)</f>
        <v>0</v>
      </c>
      <c r="V53" s="1">
        <f>_xlfn.XLOOKUP(C53,[1]!ESTADO_CUENTA[ID_CLIENTE],[1]!ESTADO_CUENTA[TOTAL DEUDAS],0,0,-1)</f>
        <v>0</v>
      </c>
    </row>
    <row r="54" spans="1:22" x14ac:dyDescent="0.25">
      <c r="B54" t="s">
        <v>28</v>
      </c>
      <c r="C54">
        <v>58</v>
      </c>
      <c r="D54" t="s">
        <v>223</v>
      </c>
      <c r="E54" t="s">
        <v>224</v>
      </c>
      <c r="G54" t="s">
        <v>225</v>
      </c>
      <c r="H54">
        <v>3213239770</v>
      </c>
      <c r="I54">
        <v>73</v>
      </c>
      <c r="J54">
        <v>146</v>
      </c>
      <c r="K54">
        <v>1022</v>
      </c>
      <c r="L54">
        <v>14</v>
      </c>
      <c r="M54">
        <v>7</v>
      </c>
      <c r="O54">
        <v>58</v>
      </c>
      <c r="P54">
        <v>9784.7358121330726</v>
      </c>
      <c r="Q54">
        <v>1022</v>
      </c>
      <c r="R54">
        <v>10000</v>
      </c>
      <c r="S54" t="s">
        <v>226</v>
      </c>
      <c r="T54" t="s">
        <v>227</v>
      </c>
      <c r="U54" s="1">
        <f>+_xlfn.XLOOKUP(C54,[1]!ESTADO_CUENTA[ID_CLIENTE],[1]!ESTADO_CUENTA[TOTAL SALDOS],0,0,-1)</f>
        <v>0</v>
      </c>
      <c r="V54" s="1">
        <f>_xlfn.XLOOKUP(C54,[1]!ESTADO_CUENTA[ID_CLIENTE],[1]!ESTADO_CUENTA[TOTAL DEUDAS],0,0,-1)</f>
        <v>0</v>
      </c>
    </row>
    <row r="55" spans="1:22" x14ac:dyDescent="0.25">
      <c r="B55" t="s">
        <v>28</v>
      </c>
      <c r="C55">
        <v>60</v>
      </c>
      <c r="D55" t="s">
        <v>228</v>
      </c>
      <c r="E55" t="s">
        <v>228</v>
      </c>
      <c r="G55" t="s">
        <v>229</v>
      </c>
      <c r="H55">
        <v>3143193333</v>
      </c>
      <c r="I55">
        <v>130</v>
      </c>
      <c r="J55">
        <v>260</v>
      </c>
      <c r="K55">
        <v>3900</v>
      </c>
      <c r="L55">
        <v>30</v>
      </c>
      <c r="M55">
        <v>15</v>
      </c>
      <c r="O55">
        <v>60</v>
      </c>
      <c r="P55">
        <v>37538.461538461539</v>
      </c>
      <c r="Q55">
        <v>3900</v>
      </c>
      <c r="R55">
        <v>146400</v>
      </c>
      <c r="S55" t="s">
        <v>230</v>
      </c>
      <c r="T55" t="s">
        <v>231</v>
      </c>
      <c r="U55" s="1">
        <f>+_xlfn.XLOOKUP(C55,[1]!ESTADO_CUENTA[ID_CLIENTE],[1]!ESTADO_CUENTA[TOTAL SALDOS],0,0,-1)</f>
        <v>0</v>
      </c>
      <c r="V55" s="1">
        <f>_xlfn.XLOOKUP(C55,[1]!ESTADO_CUENTA[ID_CLIENTE],[1]!ESTADO_CUENTA[TOTAL DEUDAS],0,0,-1)</f>
        <v>0</v>
      </c>
    </row>
    <row r="56" spans="1:22" x14ac:dyDescent="0.25">
      <c r="A56" s="4">
        <v>46070</v>
      </c>
      <c r="B56" t="s">
        <v>32</v>
      </c>
      <c r="C56">
        <v>61</v>
      </c>
      <c r="D56" t="s">
        <v>232</v>
      </c>
      <c r="E56" t="s">
        <v>232</v>
      </c>
      <c r="G56" t="s">
        <v>233</v>
      </c>
      <c r="H56">
        <v>3124002720</v>
      </c>
      <c r="I56">
        <v>270</v>
      </c>
      <c r="J56">
        <v>540</v>
      </c>
      <c r="K56">
        <v>8100</v>
      </c>
      <c r="L56">
        <v>30</v>
      </c>
      <c r="M56">
        <v>15</v>
      </c>
      <c r="N56">
        <v>46085</v>
      </c>
      <c r="O56">
        <v>61</v>
      </c>
      <c r="P56">
        <v>26000</v>
      </c>
      <c r="Q56">
        <v>8100</v>
      </c>
      <c r="R56">
        <v>210600</v>
      </c>
      <c r="S56" t="s">
        <v>234</v>
      </c>
      <c r="T56" t="s">
        <v>235</v>
      </c>
      <c r="U56" s="1">
        <f>+_xlfn.XLOOKUP(C56,[1]!ESTADO_CUENTA[ID_CLIENTE],[1]!ESTADO_CUENTA[TOTAL SALDOS],0,0,-1)</f>
        <v>0</v>
      </c>
      <c r="V56" s="1">
        <f>_xlfn.XLOOKUP(C56,[1]!ESTADO_CUENTA[ID_CLIENTE],[1]!ESTADO_CUENTA[TOTAL DEUDAS],0,0,-1)</f>
        <v>0</v>
      </c>
    </row>
    <row r="57" spans="1:22" x14ac:dyDescent="0.25">
      <c r="A57" s="4">
        <v>46069</v>
      </c>
      <c r="B57" t="s">
        <v>32</v>
      </c>
      <c r="C57">
        <v>22</v>
      </c>
      <c r="D57" t="s">
        <v>1360</v>
      </c>
      <c r="E57" t="s">
        <v>96</v>
      </c>
      <c r="G57" t="s">
        <v>97</v>
      </c>
      <c r="H57">
        <v>3154842369</v>
      </c>
      <c r="I57">
        <v>200</v>
      </c>
      <c r="J57">
        <v>200</v>
      </c>
      <c r="K57">
        <v>3000</v>
      </c>
      <c r="L57">
        <v>15</v>
      </c>
      <c r="M57">
        <v>15</v>
      </c>
      <c r="N57">
        <v>46084</v>
      </c>
      <c r="O57">
        <v>22</v>
      </c>
      <c r="P57">
        <v>23983.333333333336</v>
      </c>
      <c r="Q57">
        <v>3000</v>
      </c>
      <c r="R57">
        <v>71950</v>
      </c>
      <c r="S57" t="s">
        <v>98</v>
      </c>
      <c r="T57" t="s">
        <v>99</v>
      </c>
      <c r="U57" s="1">
        <f>+_xlfn.XLOOKUP(C57,[1]!ESTADO_CUENTA[ID_CLIENTE],[1]!ESTADO_CUENTA[TOTAL SALDOS],0,0,-1)</f>
        <v>0</v>
      </c>
      <c r="V57" s="1">
        <f>_xlfn.XLOOKUP(C57,[1]!ESTADO_CUENTA[ID_CLIENTE],[1]!ESTADO_CUENTA[TOTAL DEUDAS],0,0,-1)</f>
        <v>0</v>
      </c>
    </row>
    <row r="58" spans="1:22" x14ac:dyDescent="0.25">
      <c r="A58" s="4">
        <v>46071</v>
      </c>
      <c r="B58" t="s">
        <v>32</v>
      </c>
      <c r="C58">
        <v>63</v>
      </c>
      <c r="D58" t="s">
        <v>238</v>
      </c>
      <c r="E58" t="s">
        <v>239</v>
      </c>
      <c r="F58" t="s">
        <v>240</v>
      </c>
      <c r="G58" t="s">
        <v>241</v>
      </c>
      <c r="H58">
        <v>3143069108</v>
      </c>
      <c r="I58">
        <v>140</v>
      </c>
      <c r="J58">
        <v>420</v>
      </c>
      <c r="K58">
        <v>6300</v>
      </c>
      <c r="L58">
        <v>45</v>
      </c>
      <c r="M58">
        <v>15</v>
      </c>
      <c r="N58">
        <v>46086</v>
      </c>
      <c r="O58">
        <v>63</v>
      </c>
      <c r="P58">
        <v>27000</v>
      </c>
      <c r="Q58">
        <v>6300</v>
      </c>
      <c r="R58">
        <v>170100</v>
      </c>
      <c r="S58" t="s">
        <v>242</v>
      </c>
      <c r="T58" t="s">
        <v>243</v>
      </c>
      <c r="U58" s="1">
        <f>+_xlfn.XLOOKUP(C58,[1]!ESTADO_CUENTA[ID_CLIENTE],[1]!ESTADO_CUENTA[TOTAL SALDOS],0,0,-1)</f>
        <v>0</v>
      </c>
      <c r="V58" s="1">
        <f>_xlfn.XLOOKUP(C58,[1]!ESTADO_CUENTA[ID_CLIENTE],[1]!ESTADO_CUENTA[TOTAL DEUDAS],0,0,-1)</f>
        <v>340200</v>
      </c>
    </row>
    <row r="59" spans="1:22" x14ac:dyDescent="0.25">
      <c r="A59" s="4">
        <v>46069</v>
      </c>
      <c r="B59" t="s">
        <v>32</v>
      </c>
      <c r="C59">
        <v>64</v>
      </c>
      <c r="D59" t="s">
        <v>244</v>
      </c>
      <c r="E59" t="s">
        <v>244</v>
      </c>
      <c r="G59" t="s">
        <v>245</v>
      </c>
      <c r="H59">
        <v>3057888483</v>
      </c>
      <c r="I59">
        <v>220</v>
      </c>
      <c r="J59">
        <v>220</v>
      </c>
      <c r="K59">
        <v>3300</v>
      </c>
      <c r="L59">
        <v>15</v>
      </c>
      <c r="M59">
        <v>15</v>
      </c>
      <c r="N59">
        <v>46084</v>
      </c>
      <c r="O59">
        <v>64</v>
      </c>
      <c r="P59">
        <v>30151.515151515152</v>
      </c>
      <c r="Q59">
        <v>3300</v>
      </c>
      <c r="R59">
        <v>99500</v>
      </c>
      <c r="S59" t="s">
        <v>246</v>
      </c>
      <c r="T59" t="s">
        <v>247</v>
      </c>
      <c r="U59" s="1">
        <f>+_xlfn.XLOOKUP(C59,[1]!ESTADO_CUENTA[ID_CLIENTE],[1]!ESTADO_CUENTA[TOTAL SALDOS],0,0,-1)</f>
        <v>0</v>
      </c>
      <c r="V59" s="1">
        <f>_xlfn.XLOOKUP(C59,[1]!ESTADO_CUENTA[ID_CLIENTE],[1]!ESTADO_CUENTA[TOTAL DEUDAS],0,0,-1)</f>
        <v>0</v>
      </c>
    </row>
    <row r="60" spans="1:22" x14ac:dyDescent="0.25">
      <c r="A60" s="4">
        <v>46073</v>
      </c>
      <c r="B60" t="s">
        <v>32</v>
      </c>
      <c r="C60">
        <v>356</v>
      </c>
      <c r="D60" t="s">
        <v>1361</v>
      </c>
      <c r="E60" t="s">
        <v>1299</v>
      </c>
      <c r="F60" t="s">
        <v>1197</v>
      </c>
      <c r="G60" t="s">
        <v>1300</v>
      </c>
      <c r="H60">
        <v>3168273694</v>
      </c>
      <c r="I60">
        <v>350</v>
      </c>
      <c r="J60">
        <v>700</v>
      </c>
      <c r="K60">
        <v>4900</v>
      </c>
      <c r="L60">
        <v>14</v>
      </c>
      <c r="M60">
        <v>7</v>
      </c>
      <c r="N60">
        <v>46080</v>
      </c>
      <c r="O60">
        <v>356</v>
      </c>
      <c r="P60">
        <v>30000</v>
      </c>
      <c r="Q60">
        <v>4900</v>
      </c>
      <c r="R60">
        <v>147000</v>
      </c>
      <c r="S60" t="s">
        <v>1301</v>
      </c>
      <c r="U60" s="1">
        <f>+_xlfn.XLOOKUP(C60,[1]!ESTADO_CUENTA[ID_CLIENTE],[1]!ESTADO_CUENTA[TOTAL SALDOS],0,0,-1)</f>
        <v>147000</v>
      </c>
      <c r="V60" s="1">
        <f>_xlfn.XLOOKUP(C60,[1]!ESTADO_CUENTA[ID_CLIENTE],[1]!ESTADO_CUENTA[TOTAL DEUDAS],0,0,-1)</f>
        <v>0</v>
      </c>
    </row>
    <row r="61" spans="1:22" x14ac:dyDescent="0.25">
      <c r="A61" s="4">
        <v>46065</v>
      </c>
      <c r="B61" t="s">
        <v>32</v>
      </c>
      <c r="C61">
        <v>66</v>
      </c>
      <c r="D61" t="s">
        <v>252</v>
      </c>
      <c r="E61" t="s">
        <v>252</v>
      </c>
      <c r="F61" t="s">
        <v>164</v>
      </c>
      <c r="G61" t="s">
        <v>253</v>
      </c>
      <c r="H61">
        <v>3013849900</v>
      </c>
      <c r="I61">
        <v>220</v>
      </c>
      <c r="J61">
        <v>440</v>
      </c>
      <c r="K61">
        <v>6160</v>
      </c>
      <c r="L61">
        <v>28</v>
      </c>
      <c r="M61">
        <v>14</v>
      </c>
      <c r="N61">
        <v>46079</v>
      </c>
      <c r="O61">
        <v>66</v>
      </c>
      <c r="P61">
        <v>30000</v>
      </c>
      <c r="Q61">
        <v>6160</v>
      </c>
      <c r="R61">
        <v>184800</v>
      </c>
      <c r="S61" t="s">
        <v>254</v>
      </c>
      <c r="T61" t="s">
        <v>255</v>
      </c>
      <c r="U61" s="1">
        <f>+_xlfn.XLOOKUP(C61,[1]!ESTADO_CUENTA[ID_CLIENTE],[1]!ESTADO_CUENTA[TOTAL SALDOS],0,0,-1)</f>
        <v>0</v>
      </c>
      <c r="V61" s="1">
        <f>_xlfn.XLOOKUP(C61,[1]!ESTADO_CUENTA[ID_CLIENTE],[1]!ESTADO_CUENTA[TOTAL DEUDAS],0,0,-1)</f>
        <v>0</v>
      </c>
    </row>
    <row r="62" spans="1:22" x14ac:dyDescent="0.25">
      <c r="A62" s="4">
        <v>46048</v>
      </c>
      <c r="B62" t="s">
        <v>20</v>
      </c>
      <c r="C62">
        <v>67</v>
      </c>
      <c r="D62" t="s">
        <v>256</v>
      </c>
      <c r="E62" t="s">
        <v>256</v>
      </c>
      <c r="G62" t="s">
        <v>257</v>
      </c>
      <c r="H62">
        <v>3142070103</v>
      </c>
      <c r="I62">
        <v>124</v>
      </c>
      <c r="J62">
        <v>124</v>
      </c>
      <c r="K62">
        <v>3720</v>
      </c>
      <c r="L62">
        <v>30</v>
      </c>
      <c r="M62">
        <v>30</v>
      </c>
      <c r="N62">
        <v>46078</v>
      </c>
      <c r="O62">
        <v>67</v>
      </c>
      <c r="P62">
        <v>42903.225806451614</v>
      </c>
      <c r="Q62">
        <v>3720</v>
      </c>
      <c r="R62">
        <v>159600</v>
      </c>
      <c r="S62" t="s">
        <v>258</v>
      </c>
      <c r="T62" t="s">
        <v>259</v>
      </c>
      <c r="U62" s="1">
        <f>+_xlfn.XLOOKUP(C62,[1]!ESTADO_CUENTA[ID_CLIENTE],[1]!ESTADO_CUENTA[TOTAL SALDOS],0,0,-1)</f>
        <v>400</v>
      </c>
      <c r="V62" s="1">
        <f>_xlfn.XLOOKUP(C62,[1]!ESTADO_CUENTA[ID_CLIENTE],[1]!ESTADO_CUENTA[TOTAL DEUDAS],0,0,-1)</f>
        <v>0</v>
      </c>
    </row>
    <row r="63" spans="1:22" x14ac:dyDescent="0.25">
      <c r="A63" s="4">
        <v>46073</v>
      </c>
      <c r="B63" t="s">
        <v>32</v>
      </c>
      <c r="C63">
        <v>68</v>
      </c>
      <c r="D63" t="s">
        <v>260</v>
      </c>
      <c r="E63" t="s">
        <v>260</v>
      </c>
      <c r="G63" t="s">
        <v>261</v>
      </c>
      <c r="H63">
        <v>3132651016</v>
      </c>
      <c r="I63">
        <v>160</v>
      </c>
      <c r="J63">
        <v>320</v>
      </c>
      <c r="K63">
        <v>4800</v>
      </c>
      <c r="L63">
        <v>30</v>
      </c>
      <c r="M63">
        <v>15</v>
      </c>
      <c r="N63">
        <v>46088</v>
      </c>
      <c r="O63">
        <v>68</v>
      </c>
      <c r="P63">
        <v>38000</v>
      </c>
      <c r="Q63">
        <v>4800</v>
      </c>
      <c r="R63">
        <v>182400</v>
      </c>
      <c r="S63" t="s">
        <v>262</v>
      </c>
      <c r="T63" t="s">
        <v>263</v>
      </c>
      <c r="U63" s="1">
        <f>+_xlfn.XLOOKUP(C63,[1]!ESTADO_CUENTA[ID_CLIENTE],[1]!ESTADO_CUENTA[TOTAL SALDOS],0,0,-1)</f>
        <v>0</v>
      </c>
      <c r="V63" s="1">
        <f>_xlfn.XLOOKUP(C63,[1]!ESTADO_CUENTA[ID_CLIENTE],[1]!ESTADO_CUENTA[TOTAL DEUDAS],0,0,-1)</f>
        <v>0</v>
      </c>
    </row>
    <row r="64" spans="1:22" x14ac:dyDescent="0.25">
      <c r="A64" s="4">
        <v>46063</v>
      </c>
      <c r="B64" t="s">
        <v>32</v>
      </c>
      <c r="C64">
        <v>69</v>
      </c>
      <c r="D64" t="s">
        <v>264</v>
      </c>
      <c r="E64" t="s">
        <v>264</v>
      </c>
      <c r="G64" t="s">
        <v>265</v>
      </c>
      <c r="H64">
        <v>3022387448</v>
      </c>
      <c r="I64">
        <v>150</v>
      </c>
      <c r="J64">
        <v>300</v>
      </c>
      <c r="K64">
        <v>4500</v>
      </c>
      <c r="L64">
        <v>30</v>
      </c>
      <c r="M64">
        <v>15</v>
      </c>
      <c r="N64">
        <v>46078</v>
      </c>
      <c r="O64">
        <v>69</v>
      </c>
      <c r="P64">
        <v>35000</v>
      </c>
      <c r="Q64">
        <v>4500</v>
      </c>
      <c r="R64">
        <v>157500</v>
      </c>
      <c r="S64" t="s">
        <v>266</v>
      </c>
      <c r="T64" t="s">
        <v>267</v>
      </c>
      <c r="U64" s="1">
        <f>+_xlfn.XLOOKUP(C64,[1]!ESTADO_CUENTA[ID_CLIENTE],[1]!ESTADO_CUENTA[TOTAL SALDOS],0,0,-1)</f>
        <v>0</v>
      </c>
      <c r="V64" s="1">
        <f>_xlfn.XLOOKUP(C64,[1]!ESTADO_CUENTA[ID_CLIENTE],[1]!ESTADO_CUENTA[TOTAL DEUDAS],0,0,-1)</f>
        <v>299000</v>
      </c>
    </row>
    <row r="65" spans="1:22" x14ac:dyDescent="0.25">
      <c r="B65" t="s">
        <v>28</v>
      </c>
      <c r="C65">
        <v>70</v>
      </c>
      <c r="D65" t="s">
        <v>268</v>
      </c>
      <c r="E65" t="s">
        <v>269</v>
      </c>
      <c r="G65" t="s">
        <v>270</v>
      </c>
      <c r="H65">
        <v>3176451476</v>
      </c>
      <c r="I65">
        <v>64</v>
      </c>
      <c r="J65">
        <v>190</v>
      </c>
      <c r="K65">
        <v>2850</v>
      </c>
      <c r="L65">
        <v>44.53125</v>
      </c>
      <c r="M65">
        <v>15</v>
      </c>
      <c r="O65">
        <v>70</v>
      </c>
      <c r="P65">
        <v>38105.26315789474</v>
      </c>
      <c r="Q65">
        <v>2850</v>
      </c>
      <c r="R65">
        <v>108600</v>
      </c>
      <c r="S65" t="s">
        <v>271</v>
      </c>
      <c r="T65" t="s">
        <v>272</v>
      </c>
      <c r="U65" s="1">
        <f>+_xlfn.XLOOKUP(C65,[1]!ESTADO_CUENTA[ID_CLIENTE],[1]!ESTADO_CUENTA[TOTAL SALDOS],0,0,-1)</f>
        <v>0</v>
      </c>
      <c r="V65" s="1">
        <f>_xlfn.XLOOKUP(C65,[1]!ESTADO_CUENTA[ID_CLIENTE],[1]!ESTADO_CUENTA[TOTAL DEUDAS],0,0,-1)</f>
        <v>0</v>
      </c>
    </row>
    <row r="66" spans="1:22" x14ac:dyDescent="0.25">
      <c r="A66" s="4">
        <v>46078</v>
      </c>
      <c r="B66" t="s">
        <v>32</v>
      </c>
      <c r="C66">
        <v>71</v>
      </c>
      <c r="D66" t="s">
        <v>273</v>
      </c>
      <c r="E66" t="s">
        <v>274</v>
      </c>
      <c r="F66" t="s">
        <v>164</v>
      </c>
      <c r="G66" t="s">
        <v>275</v>
      </c>
      <c r="H66">
        <v>3002104747</v>
      </c>
      <c r="I66">
        <v>180</v>
      </c>
      <c r="J66">
        <v>360</v>
      </c>
      <c r="K66">
        <v>5040</v>
      </c>
      <c r="L66">
        <v>28</v>
      </c>
      <c r="M66">
        <v>14</v>
      </c>
      <c r="N66">
        <v>46092</v>
      </c>
      <c r="O66">
        <v>71</v>
      </c>
      <c r="P66">
        <v>31944.444444444442</v>
      </c>
      <c r="Q66">
        <v>5040</v>
      </c>
      <c r="R66">
        <v>161000</v>
      </c>
      <c r="S66" t="s">
        <v>276</v>
      </c>
      <c r="T66" t="s">
        <v>277</v>
      </c>
      <c r="U66" s="1">
        <f>+_xlfn.XLOOKUP(C66,[1]!ESTADO_CUENTA[ID_CLIENTE],[1]!ESTADO_CUENTA[TOTAL SALDOS],0,0,-1)</f>
        <v>0</v>
      </c>
      <c r="V66" s="1">
        <f>_xlfn.XLOOKUP(C66,[1]!ESTADO_CUENTA[ID_CLIENTE],[1]!ESTADO_CUENTA[TOTAL DEUDAS],0,0,-1)</f>
        <v>0</v>
      </c>
    </row>
    <row r="67" spans="1:22" x14ac:dyDescent="0.25">
      <c r="A67" s="4">
        <v>46070</v>
      </c>
      <c r="B67" t="s">
        <v>32</v>
      </c>
      <c r="C67">
        <v>72</v>
      </c>
      <c r="D67" t="s">
        <v>278</v>
      </c>
      <c r="E67" t="s">
        <v>279</v>
      </c>
      <c r="G67" t="s">
        <v>280</v>
      </c>
      <c r="H67">
        <v>3043471739</v>
      </c>
      <c r="I67">
        <v>100</v>
      </c>
      <c r="J67">
        <v>200</v>
      </c>
      <c r="K67">
        <v>3000</v>
      </c>
      <c r="L67">
        <v>30</v>
      </c>
      <c r="M67">
        <v>15</v>
      </c>
      <c r="N67">
        <v>46085</v>
      </c>
      <c r="O67">
        <v>72</v>
      </c>
      <c r="P67">
        <v>40000</v>
      </c>
      <c r="Q67">
        <v>3000</v>
      </c>
      <c r="R67">
        <v>120000</v>
      </c>
      <c r="S67" t="s">
        <v>281</v>
      </c>
      <c r="T67" t="s">
        <v>282</v>
      </c>
      <c r="U67" s="1">
        <f>+_xlfn.XLOOKUP(C67,[1]!ESTADO_CUENTA[ID_CLIENTE],[1]!ESTADO_CUENTA[TOTAL SALDOS],0,0,-1)</f>
        <v>0</v>
      </c>
      <c r="V67" s="1">
        <f>_xlfn.XLOOKUP(C67,[1]!ESTADO_CUENTA[ID_CLIENTE],[1]!ESTADO_CUENTA[TOTAL DEUDAS],0,0,-1)</f>
        <v>0</v>
      </c>
    </row>
    <row r="68" spans="1:22" x14ac:dyDescent="0.25">
      <c r="A68" s="4">
        <v>46071</v>
      </c>
      <c r="B68" t="s">
        <v>32</v>
      </c>
      <c r="C68">
        <v>73</v>
      </c>
      <c r="D68" t="s">
        <v>283</v>
      </c>
      <c r="E68" t="s">
        <v>283</v>
      </c>
      <c r="G68" t="s">
        <v>284</v>
      </c>
      <c r="H68">
        <v>3104955288</v>
      </c>
      <c r="I68">
        <v>105</v>
      </c>
      <c r="J68">
        <v>210</v>
      </c>
      <c r="K68">
        <v>3150</v>
      </c>
      <c r="L68">
        <v>30</v>
      </c>
      <c r="M68">
        <v>15</v>
      </c>
      <c r="N68">
        <v>46086</v>
      </c>
      <c r="O68">
        <v>73</v>
      </c>
      <c r="P68">
        <v>37904.761904761901</v>
      </c>
      <c r="Q68">
        <v>3150</v>
      </c>
      <c r="R68">
        <v>119400</v>
      </c>
      <c r="S68" t="s">
        <v>285</v>
      </c>
      <c r="T68" t="s">
        <v>286</v>
      </c>
      <c r="U68" s="1">
        <f>+_xlfn.XLOOKUP(C68,[1]!ESTADO_CUENTA[ID_CLIENTE],[1]!ESTADO_CUENTA[TOTAL SALDOS],0,0,-1)</f>
        <v>0</v>
      </c>
      <c r="V68" s="1">
        <f>_xlfn.XLOOKUP(C68,[1]!ESTADO_CUENTA[ID_CLIENTE],[1]!ESTADO_CUENTA[TOTAL DEUDAS],0,0,-1)</f>
        <v>119400</v>
      </c>
    </row>
    <row r="69" spans="1:22" x14ac:dyDescent="0.25">
      <c r="A69" s="4">
        <v>46065</v>
      </c>
      <c r="B69" t="s">
        <v>32</v>
      </c>
      <c r="C69">
        <v>74</v>
      </c>
      <c r="D69" t="s">
        <v>287</v>
      </c>
      <c r="E69" t="s">
        <v>288</v>
      </c>
      <c r="G69" t="s">
        <v>289</v>
      </c>
      <c r="H69">
        <v>3138291625</v>
      </c>
      <c r="I69">
        <v>300</v>
      </c>
      <c r="J69">
        <v>900</v>
      </c>
      <c r="K69">
        <v>9000</v>
      </c>
      <c r="L69">
        <v>30</v>
      </c>
      <c r="M69">
        <v>10</v>
      </c>
      <c r="N69">
        <v>46075</v>
      </c>
      <c r="O69">
        <v>74</v>
      </c>
      <c r="P69">
        <v>25000</v>
      </c>
      <c r="Q69">
        <v>9000</v>
      </c>
      <c r="R69">
        <v>225000</v>
      </c>
      <c r="S69" t="s">
        <v>290</v>
      </c>
      <c r="T69" t="s">
        <v>291</v>
      </c>
      <c r="U69" s="1">
        <f>+_xlfn.XLOOKUP(C69,[1]!ESTADO_CUENTA[ID_CLIENTE],[1]!ESTADO_CUENTA[TOTAL SALDOS],0,0,-1)</f>
        <v>0</v>
      </c>
      <c r="V69" s="1">
        <f>_xlfn.XLOOKUP(C69,[1]!ESTADO_CUENTA[ID_CLIENTE],[1]!ESTADO_CUENTA[TOTAL DEUDAS],0,0,-1)</f>
        <v>0</v>
      </c>
    </row>
    <row r="70" spans="1:22" x14ac:dyDescent="0.25">
      <c r="A70" s="4">
        <v>46071</v>
      </c>
      <c r="B70" t="s">
        <v>32</v>
      </c>
      <c r="C70">
        <v>43</v>
      </c>
      <c r="D70" t="s">
        <v>1362</v>
      </c>
      <c r="E70" t="s">
        <v>168</v>
      </c>
      <c r="G70" t="s">
        <v>169</v>
      </c>
      <c r="H70">
        <v>3208063914</v>
      </c>
      <c r="I70">
        <v>100</v>
      </c>
      <c r="J70">
        <v>300</v>
      </c>
      <c r="K70">
        <v>4500</v>
      </c>
      <c r="L70">
        <v>45</v>
      </c>
      <c r="M70">
        <v>15</v>
      </c>
      <c r="N70">
        <v>46086</v>
      </c>
      <c r="O70">
        <v>43</v>
      </c>
      <c r="P70">
        <v>30000</v>
      </c>
      <c r="Q70">
        <v>4500</v>
      </c>
      <c r="R70">
        <v>135000</v>
      </c>
      <c r="S70" t="s">
        <v>170</v>
      </c>
      <c r="T70" t="s">
        <v>171</v>
      </c>
      <c r="U70" s="1">
        <f>+_xlfn.XLOOKUP(C70,[1]!ESTADO_CUENTA[ID_CLIENTE],[1]!ESTADO_CUENTA[TOTAL SALDOS],0,0,-1)</f>
        <v>0</v>
      </c>
      <c r="V70" s="1">
        <f>_xlfn.XLOOKUP(C70,[1]!ESTADO_CUENTA[ID_CLIENTE],[1]!ESTADO_CUENTA[TOTAL DEUDAS],0,0,-1)</f>
        <v>0</v>
      </c>
    </row>
    <row r="71" spans="1:22" x14ac:dyDescent="0.25">
      <c r="A71" s="4">
        <v>46073</v>
      </c>
      <c r="B71" t="s">
        <v>32</v>
      </c>
      <c r="C71">
        <v>51</v>
      </c>
      <c r="D71" t="s">
        <v>1363</v>
      </c>
      <c r="E71" t="s">
        <v>198</v>
      </c>
      <c r="G71" t="s">
        <v>199</v>
      </c>
      <c r="H71">
        <v>3012984178</v>
      </c>
      <c r="I71">
        <v>120</v>
      </c>
      <c r="J71">
        <v>360</v>
      </c>
      <c r="K71">
        <v>3600</v>
      </c>
      <c r="L71">
        <v>30</v>
      </c>
      <c r="M71">
        <v>10</v>
      </c>
      <c r="N71">
        <v>46083</v>
      </c>
      <c r="O71">
        <v>51</v>
      </c>
      <c r="P71">
        <v>0</v>
      </c>
      <c r="Q71">
        <v>3600</v>
      </c>
      <c r="R71">
        <v>0</v>
      </c>
      <c r="S71" t="s">
        <v>200</v>
      </c>
      <c r="U71" s="1">
        <f>+_xlfn.XLOOKUP(C71,[1]!ESTADO_CUENTA[ID_CLIENTE],[1]!ESTADO_CUENTA[TOTAL SALDOS],0,0,-1)</f>
        <v>0</v>
      </c>
      <c r="V71" s="1">
        <f>_xlfn.XLOOKUP(C71,[1]!ESTADO_CUENTA[ID_CLIENTE],[1]!ESTADO_CUENTA[TOTAL DEUDAS],0,0,-1)</f>
        <v>0</v>
      </c>
    </row>
    <row r="72" spans="1:22" x14ac:dyDescent="0.25">
      <c r="A72" s="4">
        <v>46064</v>
      </c>
      <c r="B72" t="s">
        <v>32</v>
      </c>
      <c r="C72">
        <v>77</v>
      </c>
      <c r="D72" t="s">
        <v>300</v>
      </c>
      <c r="E72" t="s">
        <v>301</v>
      </c>
      <c r="G72" t="s">
        <v>302</v>
      </c>
      <c r="H72">
        <v>3118438157</v>
      </c>
      <c r="I72">
        <v>84</v>
      </c>
      <c r="J72">
        <v>252</v>
      </c>
      <c r="K72">
        <v>3780</v>
      </c>
      <c r="L72">
        <v>45</v>
      </c>
      <c r="M72">
        <v>15</v>
      </c>
      <c r="N72">
        <v>46079</v>
      </c>
      <c r="O72">
        <v>77</v>
      </c>
      <c r="P72">
        <v>37301.587301587315</v>
      </c>
      <c r="Q72">
        <v>3780</v>
      </c>
      <c r="R72">
        <v>141000</v>
      </c>
      <c r="S72" t="s">
        <v>303</v>
      </c>
      <c r="U72" s="1">
        <f>+_xlfn.XLOOKUP(C72,[1]!ESTADO_CUENTA[ID_CLIENTE],[1]!ESTADO_CUENTA[TOTAL SALDOS],0,0,-1)</f>
        <v>0</v>
      </c>
      <c r="V72" s="1">
        <f>_xlfn.XLOOKUP(C72,[1]!ESTADO_CUENTA[ID_CLIENTE],[1]!ESTADO_CUENTA[TOTAL DEUDAS],0,0,-1)</f>
        <v>0</v>
      </c>
    </row>
    <row r="73" spans="1:22" x14ac:dyDescent="0.25">
      <c r="A73" s="4">
        <v>46073</v>
      </c>
      <c r="B73" t="s">
        <v>32</v>
      </c>
      <c r="C73">
        <v>78</v>
      </c>
      <c r="D73" t="s">
        <v>304</v>
      </c>
      <c r="E73" t="s">
        <v>304</v>
      </c>
      <c r="G73" t="s">
        <v>305</v>
      </c>
      <c r="H73">
        <v>3043765289</v>
      </c>
      <c r="I73">
        <v>72</v>
      </c>
      <c r="J73">
        <v>72</v>
      </c>
      <c r="K73">
        <v>1080</v>
      </c>
      <c r="L73">
        <v>15</v>
      </c>
      <c r="M73">
        <v>15</v>
      </c>
      <c r="N73">
        <v>46088</v>
      </c>
      <c r="O73">
        <v>78</v>
      </c>
      <c r="P73">
        <v>55000</v>
      </c>
      <c r="Q73">
        <v>1080</v>
      </c>
      <c r="R73">
        <v>59400</v>
      </c>
      <c r="S73" t="s">
        <v>306</v>
      </c>
      <c r="T73" t="s">
        <v>307</v>
      </c>
      <c r="U73" s="1">
        <f>+_xlfn.XLOOKUP(C73,[1]!ESTADO_CUENTA[ID_CLIENTE],[1]!ESTADO_CUENTA[TOTAL SALDOS],0,0,-1)</f>
        <v>40</v>
      </c>
      <c r="V73" s="1">
        <f>_xlfn.XLOOKUP(C73,[1]!ESTADO_CUENTA[ID_CLIENTE],[1]!ESTADO_CUENTA[TOTAL DEUDAS],0,0,-1)</f>
        <v>0</v>
      </c>
    </row>
    <row r="74" spans="1:22" x14ac:dyDescent="0.25">
      <c r="B74" t="s">
        <v>28</v>
      </c>
      <c r="C74">
        <v>79</v>
      </c>
      <c r="D74" t="s">
        <v>308</v>
      </c>
      <c r="E74" t="s">
        <v>309</v>
      </c>
      <c r="G74" t="s">
        <v>310</v>
      </c>
      <c r="H74">
        <v>3114654968</v>
      </c>
      <c r="I74">
        <v>60</v>
      </c>
      <c r="J74">
        <v>180</v>
      </c>
      <c r="K74">
        <v>2700</v>
      </c>
      <c r="L74">
        <v>45</v>
      </c>
      <c r="M74">
        <v>15</v>
      </c>
      <c r="O74">
        <v>79</v>
      </c>
      <c r="P74">
        <v>34222.222222222219</v>
      </c>
      <c r="Q74">
        <v>2700</v>
      </c>
      <c r="R74">
        <v>92400</v>
      </c>
      <c r="S74" t="s">
        <v>311</v>
      </c>
      <c r="T74" t="s">
        <v>312</v>
      </c>
      <c r="U74" s="1">
        <f>+_xlfn.XLOOKUP(C74,[1]!ESTADO_CUENTA[ID_CLIENTE],[1]!ESTADO_CUENTA[TOTAL SALDOS],0,0,-1)</f>
        <v>0</v>
      </c>
      <c r="V74" s="1">
        <f>_xlfn.XLOOKUP(C74,[1]!ESTADO_CUENTA[ID_CLIENTE],[1]!ESTADO_CUENTA[TOTAL DEUDAS],0,0,-1)</f>
        <v>0</v>
      </c>
    </row>
    <row r="75" spans="1:22" x14ac:dyDescent="0.25">
      <c r="A75" s="4">
        <v>46069</v>
      </c>
      <c r="B75" t="s">
        <v>32</v>
      </c>
      <c r="C75">
        <v>80</v>
      </c>
      <c r="D75" t="s">
        <v>313</v>
      </c>
      <c r="E75" t="s">
        <v>313</v>
      </c>
      <c r="G75" t="s">
        <v>314</v>
      </c>
      <c r="H75">
        <v>3123350951</v>
      </c>
      <c r="I75">
        <v>110</v>
      </c>
      <c r="J75">
        <v>110</v>
      </c>
      <c r="K75">
        <v>1650</v>
      </c>
      <c r="L75">
        <v>15</v>
      </c>
      <c r="M75">
        <v>15</v>
      </c>
      <c r="N75">
        <v>46084</v>
      </c>
      <c r="O75">
        <v>80</v>
      </c>
      <c r="P75">
        <v>49090.909090909096</v>
      </c>
      <c r="Q75">
        <v>1650</v>
      </c>
      <c r="R75">
        <v>81000</v>
      </c>
      <c r="S75" t="s">
        <v>315</v>
      </c>
      <c r="U75" s="1">
        <f>+_xlfn.XLOOKUP(C75,[1]!ESTADO_CUENTA[ID_CLIENTE],[1]!ESTADO_CUENTA[TOTAL SALDOS],0,0,-1)</f>
        <v>0</v>
      </c>
      <c r="V75" s="1">
        <f>_xlfn.XLOOKUP(C75,[1]!ESTADO_CUENTA[ID_CLIENTE],[1]!ESTADO_CUENTA[TOTAL DEUDAS],0,0,-1)</f>
        <v>0</v>
      </c>
    </row>
    <row r="76" spans="1:22" x14ac:dyDescent="0.25">
      <c r="B76" t="s">
        <v>28</v>
      </c>
      <c r="C76">
        <v>62</v>
      </c>
      <c r="D76" t="s">
        <v>1364</v>
      </c>
      <c r="E76" t="s">
        <v>236</v>
      </c>
      <c r="G76" t="s">
        <v>237</v>
      </c>
      <c r="H76">
        <v>3138791829</v>
      </c>
      <c r="I76">
        <v>185</v>
      </c>
      <c r="J76">
        <v>370</v>
      </c>
      <c r="K76">
        <v>2590</v>
      </c>
      <c r="L76">
        <v>14</v>
      </c>
      <c r="M76">
        <v>7</v>
      </c>
      <c r="O76">
        <v>62</v>
      </c>
      <c r="P76">
        <v>3861.0038610038609</v>
      </c>
      <c r="Q76">
        <v>2590</v>
      </c>
      <c r="R76">
        <v>10000</v>
      </c>
      <c r="U76" s="1">
        <f>+_xlfn.XLOOKUP(C76,[1]!ESTADO_CUENTA[ID_CLIENTE],[1]!ESTADO_CUENTA[TOTAL SALDOS],0,0,-1)</f>
        <v>0</v>
      </c>
      <c r="V76" s="1">
        <f>_xlfn.XLOOKUP(C76,[1]!ESTADO_CUENTA[ID_CLIENTE],[1]!ESTADO_CUENTA[TOTAL DEUDAS],0,0,-1)</f>
        <v>0</v>
      </c>
    </row>
    <row r="77" spans="1:22" x14ac:dyDescent="0.25">
      <c r="A77" s="4">
        <v>46073</v>
      </c>
      <c r="B77" t="s">
        <v>32</v>
      </c>
      <c r="C77">
        <v>82</v>
      </c>
      <c r="D77" t="s">
        <v>319</v>
      </c>
      <c r="E77" t="s">
        <v>319</v>
      </c>
      <c r="G77" t="s">
        <v>320</v>
      </c>
      <c r="H77">
        <v>3115644071</v>
      </c>
      <c r="I77">
        <v>106</v>
      </c>
      <c r="J77">
        <v>212</v>
      </c>
      <c r="K77">
        <v>3180</v>
      </c>
      <c r="L77">
        <v>30</v>
      </c>
      <c r="M77">
        <v>15</v>
      </c>
      <c r="N77">
        <v>46088</v>
      </c>
      <c r="O77">
        <v>82</v>
      </c>
      <c r="P77">
        <v>39150.943396226416</v>
      </c>
      <c r="Q77">
        <v>3180</v>
      </c>
      <c r="R77">
        <v>124500</v>
      </c>
      <c r="S77" t="s">
        <v>321</v>
      </c>
      <c r="T77" t="s">
        <v>322</v>
      </c>
      <c r="U77" s="1">
        <f>+_xlfn.XLOOKUP(C77,[1]!ESTADO_CUENTA[ID_CLIENTE],[1]!ESTADO_CUENTA[TOTAL SALDOS],0,0,-1)</f>
        <v>0</v>
      </c>
      <c r="V77" s="1">
        <f>_xlfn.XLOOKUP(C77,[1]!ESTADO_CUENTA[ID_CLIENTE],[1]!ESTADO_CUENTA[TOTAL DEUDAS],0,0,-1)</f>
        <v>0</v>
      </c>
    </row>
    <row r="78" spans="1:22" x14ac:dyDescent="0.25">
      <c r="A78" s="4">
        <v>46076</v>
      </c>
      <c r="B78" t="s">
        <v>32</v>
      </c>
      <c r="C78">
        <v>83</v>
      </c>
      <c r="D78" t="s">
        <v>323</v>
      </c>
      <c r="E78" t="s">
        <v>323</v>
      </c>
      <c r="G78" t="s">
        <v>324</v>
      </c>
      <c r="H78">
        <v>3007205916</v>
      </c>
      <c r="I78">
        <v>200</v>
      </c>
      <c r="J78">
        <v>400</v>
      </c>
      <c r="K78">
        <v>6000</v>
      </c>
      <c r="L78">
        <v>30</v>
      </c>
      <c r="M78">
        <v>15</v>
      </c>
      <c r="N78">
        <v>46091</v>
      </c>
      <c r="O78">
        <v>83</v>
      </c>
      <c r="P78">
        <v>36000</v>
      </c>
      <c r="Q78">
        <v>6000</v>
      </c>
      <c r="R78">
        <v>216000</v>
      </c>
      <c r="S78" t="s">
        <v>325</v>
      </c>
      <c r="T78" t="s">
        <v>326</v>
      </c>
      <c r="U78" s="1">
        <f>+_xlfn.XLOOKUP(C78,[1]!ESTADO_CUENTA[ID_CLIENTE],[1]!ESTADO_CUENTA[TOTAL SALDOS],0,0,-1)</f>
        <v>0</v>
      </c>
      <c r="V78" s="1">
        <f>_xlfn.XLOOKUP(C78,[1]!ESTADO_CUENTA[ID_CLIENTE],[1]!ESTADO_CUENTA[TOTAL DEUDAS],0,0,-1)</f>
        <v>0</v>
      </c>
    </row>
    <row r="79" spans="1:22" x14ac:dyDescent="0.25">
      <c r="A79" s="4">
        <v>46073</v>
      </c>
      <c r="B79" t="s">
        <v>32</v>
      </c>
      <c r="C79">
        <v>65</v>
      </c>
      <c r="D79" t="s">
        <v>1365</v>
      </c>
      <c r="E79" t="s">
        <v>248</v>
      </c>
      <c r="G79" t="s">
        <v>249</v>
      </c>
      <c r="H79">
        <v>3195630612</v>
      </c>
      <c r="I79">
        <v>105</v>
      </c>
      <c r="J79">
        <v>210</v>
      </c>
      <c r="K79">
        <v>3150</v>
      </c>
      <c r="L79">
        <v>30</v>
      </c>
      <c r="M79">
        <v>15</v>
      </c>
      <c r="N79">
        <v>46088</v>
      </c>
      <c r="O79">
        <v>65</v>
      </c>
      <c r="P79">
        <v>28000</v>
      </c>
      <c r="Q79">
        <v>3150</v>
      </c>
      <c r="R79">
        <v>88200</v>
      </c>
      <c r="S79" t="s">
        <v>250</v>
      </c>
      <c r="T79" t="s">
        <v>251</v>
      </c>
      <c r="U79" s="1">
        <f>+_xlfn.XLOOKUP(C79,[1]!ESTADO_CUENTA[ID_CLIENTE],[1]!ESTADO_CUENTA[TOTAL SALDOS],0,0,-1)</f>
        <v>0</v>
      </c>
      <c r="V79" s="1">
        <f>_xlfn.XLOOKUP(C79,[1]!ESTADO_CUENTA[ID_CLIENTE],[1]!ESTADO_CUENTA[TOTAL DEUDAS],0,0,-1)</f>
        <v>0</v>
      </c>
    </row>
    <row r="80" spans="1:22" x14ac:dyDescent="0.25">
      <c r="A80" s="4">
        <v>46072</v>
      </c>
      <c r="B80" t="s">
        <v>32</v>
      </c>
      <c r="C80">
        <v>85</v>
      </c>
      <c r="D80" t="s">
        <v>331</v>
      </c>
      <c r="E80" t="s">
        <v>331</v>
      </c>
      <c r="G80" t="s">
        <v>332</v>
      </c>
      <c r="H80">
        <v>3223793529</v>
      </c>
      <c r="I80">
        <v>170</v>
      </c>
      <c r="J80">
        <v>170</v>
      </c>
      <c r="K80">
        <v>2380</v>
      </c>
      <c r="L80">
        <v>14</v>
      </c>
      <c r="M80">
        <v>14</v>
      </c>
      <c r="N80">
        <v>46086</v>
      </c>
      <c r="O80">
        <v>85</v>
      </c>
      <c r="P80">
        <v>36000</v>
      </c>
      <c r="Q80">
        <v>2380</v>
      </c>
      <c r="R80">
        <v>85680</v>
      </c>
      <c r="S80" t="s">
        <v>333</v>
      </c>
      <c r="T80" t="s">
        <v>334</v>
      </c>
      <c r="U80" s="1">
        <f>+_xlfn.XLOOKUP(C80,[1]!ESTADO_CUENTA[ID_CLIENTE],[1]!ESTADO_CUENTA[TOTAL SALDOS],0,0,-1)</f>
        <v>0</v>
      </c>
      <c r="V80" s="1">
        <f>_xlfn.XLOOKUP(C80,[1]!ESTADO_CUENTA[ID_CLIENTE],[1]!ESTADO_CUENTA[TOTAL DEUDAS],0,0,-1)</f>
        <v>104660</v>
      </c>
    </row>
    <row r="81" spans="1:22" x14ac:dyDescent="0.25">
      <c r="B81" t="s">
        <v>28</v>
      </c>
      <c r="C81">
        <v>86</v>
      </c>
      <c r="D81" t="s">
        <v>335</v>
      </c>
      <c r="E81" t="s">
        <v>335</v>
      </c>
      <c r="F81" t="s">
        <v>164</v>
      </c>
      <c r="G81" t="s">
        <v>336</v>
      </c>
      <c r="H81">
        <v>3118238285</v>
      </c>
      <c r="I81">
        <v>200</v>
      </c>
      <c r="J81">
        <v>1000</v>
      </c>
      <c r="K81">
        <v>10000</v>
      </c>
      <c r="L81">
        <v>50</v>
      </c>
      <c r="M81">
        <v>10</v>
      </c>
      <c r="O81">
        <v>86</v>
      </c>
      <c r="P81">
        <v>23000</v>
      </c>
      <c r="Q81">
        <v>10000</v>
      </c>
      <c r="R81">
        <v>230000</v>
      </c>
      <c r="S81" t="s">
        <v>337</v>
      </c>
      <c r="T81" t="s">
        <v>338</v>
      </c>
      <c r="U81" s="1">
        <f>+_xlfn.XLOOKUP(C81,[1]!ESTADO_CUENTA[ID_CLIENTE],[1]!ESTADO_CUENTA[TOTAL SALDOS],0,0,-1)</f>
        <v>0</v>
      </c>
      <c r="V81" s="1">
        <f>_xlfn.XLOOKUP(C81,[1]!ESTADO_CUENTA[ID_CLIENTE],[1]!ESTADO_CUENTA[TOTAL DEUDAS],0,0,-1)</f>
        <v>0</v>
      </c>
    </row>
    <row r="82" spans="1:22" x14ac:dyDescent="0.25">
      <c r="A82" s="4">
        <v>46073</v>
      </c>
      <c r="B82" t="s">
        <v>32</v>
      </c>
      <c r="C82">
        <v>87</v>
      </c>
      <c r="D82" t="s">
        <v>339</v>
      </c>
      <c r="E82" t="s">
        <v>340</v>
      </c>
      <c r="F82" t="s">
        <v>164</v>
      </c>
      <c r="G82" t="s">
        <v>341</v>
      </c>
      <c r="H82">
        <v>3017866042</v>
      </c>
      <c r="I82">
        <v>200</v>
      </c>
      <c r="J82">
        <v>2000</v>
      </c>
      <c r="K82">
        <v>24000</v>
      </c>
      <c r="L82">
        <v>120</v>
      </c>
      <c r="M82">
        <v>12</v>
      </c>
      <c r="N82">
        <v>46085</v>
      </c>
      <c r="O82">
        <v>87</v>
      </c>
      <c r="P82">
        <v>22000</v>
      </c>
      <c r="Q82">
        <v>24000</v>
      </c>
      <c r="R82">
        <v>528000</v>
      </c>
      <c r="S82" t="s">
        <v>342</v>
      </c>
      <c r="T82" t="s">
        <v>343</v>
      </c>
      <c r="U82" s="1">
        <f>+_xlfn.XLOOKUP(C82,[1]!ESTADO_CUENTA[ID_CLIENTE],[1]!ESTADO_CUENTA[TOTAL SALDOS],0,0,-1)</f>
        <v>0</v>
      </c>
      <c r="V82" s="1">
        <f>_xlfn.XLOOKUP(C82,[1]!ESTADO_CUENTA[ID_CLIENTE],[1]!ESTADO_CUENTA[TOTAL DEUDAS],0,0,-1)</f>
        <v>469986</v>
      </c>
    </row>
    <row r="83" spans="1:22" x14ac:dyDescent="0.25">
      <c r="A83" s="4">
        <v>46063</v>
      </c>
      <c r="B83" t="s">
        <v>32</v>
      </c>
      <c r="C83">
        <v>88</v>
      </c>
      <c r="D83" t="s">
        <v>344</v>
      </c>
      <c r="E83" t="s">
        <v>345</v>
      </c>
      <c r="G83" t="s">
        <v>346</v>
      </c>
      <c r="H83">
        <v>3222505832</v>
      </c>
      <c r="I83">
        <v>130</v>
      </c>
      <c r="J83">
        <v>390</v>
      </c>
      <c r="K83">
        <v>5850</v>
      </c>
      <c r="L83">
        <v>45</v>
      </c>
      <c r="M83">
        <v>15</v>
      </c>
      <c r="N83">
        <v>46078</v>
      </c>
      <c r="O83">
        <v>88</v>
      </c>
      <c r="P83">
        <v>38000</v>
      </c>
      <c r="Q83">
        <v>5850</v>
      </c>
      <c r="R83">
        <v>222300</v>
      </c>
      <c r="S83" t="s">
        <v>347</v>
      </c>
      <c r="T83" t="s">
        <v>348</v>
      </c>
      <c r="U83" s="1">
        <f>+_xlfn.XLOOKUP(C83,[1]!ESTADO_CUENTA[ID_CLIENTE],[1]!ESTADO_CUENTA[TOTAL SALDOS],0,0,-1)</f>
        <v>0</v>
      </c>
      <c r="V83" s="1">
        <f>_xlfn.XLOOKUP(C83,[1]!ESTADO_CUENTA[ID_CLIENTE],[1]!ESTADO_CUENTA[TOTAL DEUDAS],0,0,-1)</f>
        <v>0</v>
      </c>
    </row>
    <row r="84" spans="1:22" x14ac:dyDescent="0.25">
      <c r="A84" s="4">
        <v>46065</v>
      </c>
      <c r="B84" t="s">
        <v>32</v>
      </c>
      <c r="C84">
        <v>89</v>
      </c>
      <c r="D84" t="s">
        <v>349</v>
      </c>
      <c r="E84" t="s">
        <v>350</v>
      </c>
      <c r="G84" t="s">
        <v>351</v>
      </c>
      <c r="H84">
        <v>3157943245</v>
      </c>
      <c r="I84">
        <v>215</v>
      </c>
      <c r="J84">
        <v>430</v>
      </c>
      <c r="K84">
        <v>6450</v>
      </c>
      <c r="L84">
        <v>30</v>
      </c>
      <c r="M84">
        <v>15</v>
      </c>
      <c r="N84">
        <v>46080</v>
      </c>
      <c r="O84">
        <v>89</v>
      </c>
      <c r="P84">
        <v>26000</v>
      </c>
      <c r="Q84">
        <v>6450</v>
      </c>
      <c r="R84">
        <v>167700</v>
      </c>
      <c r="S84" t="s">
        <v>352</v>
      </c>
      <c r="T84" t="s">
        <v>353</v>
      </c>
      <c r="U84" s="1">
        <f>+_xlfn.XLOOKUP(C84,[1]!ESTADO_CUENTA[ID_CLIENTE],[1]!ESTADO_CUENTA[TOTAL SALDOS],0,0,-1)</f>
        <v>0</v>
      </c>
      <c r="V84" s="1">
        <f>_xlfn.XLOOKUP(C84,[1]!ESTADO_CUENTA[ID_CLIENTE],[1]!ESTADO_CUENTA[TOTAL DEUDAS],0,0,-1)</f>
        <v>0</v>
      </c>
    </row>
    <row r="85" spans="1:22" x14ac:dyDescent="0.25">
      <c r="A85" s="4">
        <v>46066</v>
      </c>
      <c r="B85" t="s">
        <v>32</v>
      </c>
      <c r="C85">
        <v>90</v>
      </c>
      <c r="D85" t="s">
        <v>354</v>
      </c>
      <c r="E85" t="s">
        <v>355</v>
      </c>
      <c r="G85" t="s">
        <v>356</v>
      </c>
      <c r="H85">
        <v>3016627101</v>
      </c>
      <c r="I85">
        <v>345</v>
      </c>
      <c r="J85">
        <v>690</v>
      </c>
      <c r="K85">
        <v>10350</v>
      </c>
      <c r="L85">
        <v>30</v>
      </c>
      <c r="M85">
        <v>15</v>
      </c>
      <c r="N85">
        <v>46081</v>
      </c>
      <c r="O85">
        <v>90</v>
      </c>
      <c r="P85">
        <v>24743.961352657007</v>
      </c>
      <c r="Q85">
        <v>10350</v>
      </c>
      <c r="R85">
        <v>256100</v>
      </c>
      <c r="S85" t="s">
        <v>357</v>
      </c>
      <c r="T85" t="s">
        <v>358</v>
      </c>
      <c r="U85" s="1">
        <f>+_xlfn.XLOOKUP(C85,[1]!ESTADO_CUENTA[ID_CLIENTE],[1]!ESTADO_CUENTA[TOTAL SALDOS],0,0,-1)</f>
        <v>0</v>
      </c>
      <c r="V85" s="1">
        <f>_xlfn.XLOOKUP(C85,[1]!ESTADO_CUENTA[ID_CLIENTE],[1]!ESTADO_CUENTA[TOTAL DEUDAS],0,0,-1)</f>
        <v>0</v>
      </c>
    </row>
    <row r="86" spans="1:22" x14ac:dyDescent="0.25">
      <c r="A86" s="4">
        <v>46072</v>
      </c>
      <c r="B86" t="s">
        <v>32</v>
      </c>
      <c r="C86">
        <v>91</v>
      </c>
      <c r="D86" t="s">
        <v>359</v>
      </c>
      <c r="E86" t="s">
        <v>359</v>
      </c>
      <c r="G86" t="s">
        <v>360</v>
      </c>
      <c r="H86">
        <v>3006968740</v>
      </c>
      <c r="I86">
        <v>135</v>
      </c>
      <c r="J86">
        <v>405</v>
      </c>
      <c r="K86">
        <v>6075</v>
      </c>
      <c r="L86">
        <v>45</v>
      </c>
      <c r="M86">
        <v>15</v>
      </c>
      <c r="N86">
        <v>46087</v>
      </c>
      <c r="O86">
        <v>91</v>
      </c>
      <c r="P86">
        <v>22000</v>
      </c>
      <c r="Q86">
        <v>6075</v>
      </c>
      <c r="R86">
        <v>133650</v>
      </c>
      <c r="S86" t="s">
        <v>361</v>
      </c>
      <c r="T86" t="s">
        <v>362</v>
      </c>
      <c r="U86" s="1">
        <f>+_xlfn.XLOOKUP(C86,[1]!ESTADO_CUENTA[ID_CLIENTE],[1]!ESTADO_CUENTA[TOTAL SALDOS],0,0,-1)</f>
        <v>0</v>
      </c>
      <c r="V86" s="1">
        <f>_xlfn.XLOOKUP(C86,[1]!ESTADO_CUENTA[ID_CLIENTE],[1]!ESTADO_CUENTA[TOTAL DEUDAS],0,0,-1)</f>
        <v>133650</v>
      </c>
    </row>
    <row r="87" spans="1:22" x14ac:dyDescent="0.25">
      <c r="A87" s="4">
        <v>46065</v>
      </c>
      <c r="B87" t="s">
        <v>32</v>
      </c>
      <c r="C87">
        <v>92</v>
      </c>
      <c r="D87" t="s">
        <v>363</v>
      </c>
      <c r="E87" t="s">
        <v>363</v>
      </c>
      <c r="G87" t="s">
        <v>364</v>
      </c>
      <c r="H87">
        <v>3103228444</v>
      </c>
      <c r="I87">
        <v>56</v>
      </c>
      <c r="J87">
        <v>168</v>
      </c>
      <c r="K87">
        <v>2520</v>
      </c>
      <c r="L87">
        <v>45</v>
      </c>
      <c r="M87">
        <v>15</v>
      </c>
      <c r="N87">
        <v>46080</v>
      </c>
      <c r="O87">
        <v>92</v>
      </c>
      <c r="P87">
        <v>21984.126984126982</v>
      </c>
      <c r="Q87">
        <v>2520</v>
      </c>
      <c r="R87">
        <v>55400</v>
      </c>
      <c r="S87" t="s">
        <v>365</v>
      </c>
      <c r="T87" t="s">
        <v>366</v>
      </c>
      <c r="U87" s="1">
        <f>+_xlfn.XLOOKUP(C87,[1]!ESTADO_CUENTA[ID_CLIENTE],[1]!ESTADO_CUENTA[TOTAL SALDOS],0,0,-1)</f>
        <v>0</v>
      </c>
      <c r="V87" s="1">
        <f>_xlfn.XLOOKUP(C87,[1]!ESTADO_CUENTA[ID_CLIENTE],[1]!ESTADO_CUENTA[TOTAL DEUDAS],0,0,-1)</f>
        <v>0</v>
      </c>
    </row>
    <row r="88" spans="1:22" x14ac:dyDescent="0.25">
      <c r="A88" s="4">
        <v>46071</v>
      </c>
      <c r="B88" t="s">
        <v>32</v>
      </c>
      <c r="C88">
        <v>93</v>
      </c>
      <c r="D88" t="s">
        <v>367</v>
      </c>
      <c r="E88" t="s">
        <v>367</v>
      </c>
      <c r="G88" t="s">
        <v>368</v>
      </c>
      <c r="H88">
        <v>3015850114</v>
      </c>
      <c r="I88">
        <v>116</v>
      </c>
      <c r="J88">
        <v>232</v>
      </c>
      <c r="K88">
        <v>3480</v>
      </c>
      <c r="L88">
        <v>30</v>
      </c>
      <c r="M88">
        <v>15</v>
      </c>
      <c r="N88">
        <v>46086</v>
      </c>
      <c r="O88">
        <v>93</v>
      </c>
      <c r="P88">
        <v>21982.758620689656</v>
      </c>
      <c r="Q88">
        <v>3480</v>
      </c>
      <c r="R88">
        <v>76500</v>
      </c>
      <c r="S88" t="s">
        <v>369</v>
      </c>
      <c r="T88" t="s">
        <v>370</v>
      </c>
      <c r="U88" s="1">
        <f>+_xlfn.XLOOKUP(C88,[1]!ESTADO_CUENTA[ID_CLIENTE],[1]!ESTADO_CUENTA[TOTAL SALDOS],0,0,-1)</f>
        <v>0</v>
      </c>
      <c r="V88" s="1">
        <f>_xlfn.XLOOKUP(C88,[1]!ESTADO_CUENTA[ID_CLIENTE],[1]!ESTADO_CUENTA[TOTAL DEUDAS],0,0,-1)</f>
        <v>76500</v>
      </c>
    </row>
    <row r="89" spans="1:22" x14ac:dyDescent="0.25">
      <c r="A89" s="4">
        <v>46063</v>
      </c>
      <c r="B89" t="s">
        <v>32</v>
      </c>
      <c r="C89">
        <v>94</v>
      </c>
      <c r="D89" t="s">
        <v>371</v>
      </c>
      <c r="E89" t="s">
        <v>371</v>
      </c>
      <c r="G89" t="s">
        <v>372</v>
      </c>
      <c r="H89">
        <v>3134339849</v>
      </c>
      <c r="I89">
        <v>154</v>
      </c>
      <c r="J89">
        <v>462</v>
      </c>
      <c r="K89">
        <v>6930</v>
      </c>
      <c r="L89">
        <v>45</v>
      </c>
      <c r="M89">
        <v>15</v>
      </c>
      <c r="N89">
        <v>46078</v>
      </c>
      <c r="O89">
        <v>94</v>
      </c>
      <c r="P89">
        <v>21991.341991341989</v>
      </c>
      <c r="Q89">
        <v>6930</v>
      </c>
      <c r="R89">
        <v>152400</v>
      </c>
      <c r="S89" t="s">
        <v>373</v>
      </c>
      <c r="U89" s="1">
        <f>+_xlfn.XLOOKUP(C89,[1]!ESTADO_CUENTA[ID_CLIENTE],[1]!ESTADO_CUENTA[TOTAL SALDOS],0,0,-1)</f>
        <v>0</v>
      </c>
      <c r="V89" s="1">
        <f>_xlfn.XLOOKUP(C89,[1]!ESTADO_CUENTA[ID_CLIENTE],[1]!ESTADO_CUENTA[TOTAL DEUDAS],0,0,-1)</f>
        <v>0</v>
      </c>
    </row>
    <row r="90" spans="1:22" x14ac:dyDescent="0.25">
      <c r="A90" s="4">
        <v>46066</v>
      </c>
      <c r="B90" t="s">
        <v>32</v>
      </c>
      <c r="C90">
        <v>95</v>
      </c>
      <c r="D90" t="s">
        <v>374</v>
      </c>
      <c r="E90" t="s">
        <v>374</v>
      </c>
      <c r="G90" t="s">
        <v>375</v>
      </c>
      <c r="H90">
        <v>3123935050</v>
      </c>
      <c r="I90">
        <v>90</v>
      </c>
      <c r="J90">
        <v>180</v>
      </c>
      <c r="K90">
        <v>2880</v>
      </c>
      <c r="L90">
        <v>32</v>
      </c>
      <c r="M90">
        <v>16</v>
      </c>
      <c r="N90">
        <v>46082</v>
      </c>
      <c r="O90">
        <v>95</v>
      </c>
      <c r="P90">
        <v>21875</v>
      </c>
      <c r="Q90">
        <v>2880</v>
      </c>
      <c r="R90">
        <v>63000</v>
      </c>
      <c r="S90" t="s">
        <v>376</v>
      </c>
      <c r="T90" t="s">
        <v>377</v>
      </c>
      <c r="U90" s="1">
        <f>+_xlfn.XLOOKUP(C90,[1]!ESTADO_CUENTA[ID_CLIENTE],[1]!ESTADO_CUENTA[TOTAL SALDOS],0,0,-1)</f>
        <v>0</v>
      </c>
      <c r="V90" s="1">
        <f>_xlfn.XLOOKUP(C90,[1]!ESTADO_CUENTA[ID_CLIENTE],[1]!ESTADO_CUENTA[TOTAL DEUDAS],0,0,-1)</f>
        <v>63000</v>
      </c>
    </row>
    <row r="91" spans="1:22" x14ac:dyDescent="0.25">
      <c r="A91" s="4">
        <v>46065</v>
      </c>
      <c r="B91" t="s">
        <v>32</v>
      </c>
      <c r="C91">
        <v>96</v>
      </c>
      <c r="D91" t="s">
        <v>378</v>
      </c>
      <c r="E91" t="s">
        <v>378</v>
      </c>
      <c r="G91" t="s">
        <v>379</v>
      </c>
      <c r="H91">
        <v>3123570114</v>
      </c>
      <c r="I91">
        <v>100</v>
      </c>
      <c r="J91">
        <v>200</v>
      </c>
      <c r="K91">
        <v>3000</v>
      </c>
      <c r="L91">
        <v>30</v>
      </c>
      <c r="M91">
        <v>15</v>
      </c>
      <c r="N91">
        <v>46080</v>
      </c>
      <c r="O91">
        <v>96</v>
      </c>
      <c r="P91">
        <v>38000</v>
      </c>
      <c r="Q91">
        <v>3000</v>
      </c>
      <c r="R91">
        <v>114000</v>
      </c>
      <c r="S91" t="s">
        <v>380</v>
      </c>
      <c r="T91" t="s">
        <v>381</v>
      </c>
      <c r="U91" s="1">
        <f>+_xlfn.XLOOKUP(C91,[1]!ESTADO_CUENTA[ID_CLIENTE],[1]!ESTADO_CUENTA[TOTAL SALDOS],0,0,-1)</f>
        <v>0</v>
      </c>
      <c r="V91" s="1">
        <f>_xlfn.XLOOKUP(C91,[1]!ESTADO_CUENTA[ID_CLIENTE],[1]!ESTADO_CUENTA[TOTAL DEUDAS],0,0,-1)</f>
        <v>0</v>
      </c>
    </row>
    <row r="92" spans="1:22" x14ac:dyDescent="0.25">
      <c r="A92" s="4">
        <v>46065</v>
      </c>
      <c r="B92" t="s">
        <v>32</v>
      </c>
      <c r="C92">
        <v>97</v>
      </c>
      <c r="D92" t="s">
        <v>382</v>
      </c>
      <c r="E92" t="s">
        <v>382</v>
      </c>
      <c r="G92" t="s">
        <v>383</v>
      </c>
      <c r="H92">
        <v>3103140694</v>
      </c>
      <c r="I92">
        <v>90</v>
      </c>
      <c r="J92">
        <v>270</v>
      </c>
      <c r="K92">
        <v>4050</v>
      </c>
      <c r="L92">
        <v>45</v>
      </c>
      <c r="M92">
        <v>15</v>
      </c>
      <c r="N92">
        <v>46080</v>
      </c>
      <c r="O92">
        <v>97</v>
      </c>
      <c r="P92">
        <v>37481.481481481482</v>
      </c>
      <c r="Q92">
        <v>4050</v>
      </c>
      <c r="R92">
        <v>151800</v>
      </c>
      <c r="S92" t="s">
        <v>384</v>
      </c>
      <c r="T92" t="s">
        <v>385</v>
      </c>
      <c r="U92" s="1">
        <f>+_xlfn.XLOOKUP(C92,[1]!ESTADO_CUENTA[ID_CLIENTE],[1]!ESTADO_CUENTA[TOTAL SALDOS],0,0,-1)</f>
        <v>0</v>
      </c>
      <c r="V92" s="1">
        <f>_xlfn.XLOOKUP(C92,[1]!ESTADO_CUENTA[ID_CLIENTE],[1]!ESTADO_CUENTA[TOTAL DEUDAS],0,0,-1)</f>
        <v>0</v>
      </c>
    </row>
    <row r="93" spans="1:22" x14ac:dyDescent="0.25">
      <c r="A93" s="4">
        <v>46076</v>
      </c>
      <c r="B93" t="s">
        <v>32</v>
      </c>
      <c r="C93">
        <v>98</v>
      </c>
      <c r="D93" t="s">
        <v>386</v>
      </c>
      <c r="E93" t="s">
        <v>386</v>
      </c>
      <c r="G93" t="s">
        <v>387</v>
      </c>
      <c r="H93">
        <v>3003004703</v>
      </c>
      <c r="I93">
        <v>106</v>
      </c>
      <c r="J93">
        <v>318</v>
      </c>
      <c r="K93">
        <v>3180</v>
      </c>
      <c r="L93">
        <v>30</v>
      </c>
      <c r="M93">
        <v>10</v>
      </c>
      <c r="N93">
        <v>46086</v>
      </c>
      <c r="O93">
        <v>98</v>
      </c>
      <c r="P93">
        <v>35974.842767295595</v>
      </c>
      <c r="Q93">
        <v>3180</v>
      </c>
      <c r="R93">
        <v>114400</v>
      </c>
      <c r="S93" t="s">
        <v>388</v>
      </c>
      <c r="T93" t="s">
        <v>389</v>
      </c>
      <c r="U93" s="1">
        <f>+_xlfn.XLOOKUP(C93,[1]!ESTADO_CUENTA[ID_CLIENTE],[1]!ESTADO_CUENTA[TOTAL SALDOS],0,0,-1)</f>
        <v>0</v>
      </c>
      <c r="V93" s="1">
        <f>_xlfn.XLOOKUP(C93,[1]!ESTADO_CUENTA[ID_CLIENTE],[1]!ESTADO_CUENTA[TOTAL DEUDAS],0,0,-1)</f>
        <v>0</v>
      </c>
    </row>
    <row r="94" spans="1:22" x14ac:dyDescent="0.25">
      <c r="A94" s="4">
        <v>46057</v>
      </c>
      <c r="B94" t="s">
        <v>32</v>
      </c>
      <c r="C94">
        <v>99</v>
      </c>
      <c r="D94" t="s">
        <v>390</v>
      </c>
      <c r="E94" t="s">
        <v>390</v>
      </c>
      <c r="G94" t="s">
        <v>391</v>
      </c>
      <c r="H94">
        <v>3194667470</v>
      </c>
      <c r="I94">
        <v>200</v>
      </c>
      <c r="J94">
        <v>200</v>
      </c>
      <c r="K94">
        <v>5000</v>
      </c>
      <c r="L94">
        <v>25</v>
      </c>
      <c r="M94">
        <v>25</v>
      </c>
      <c r="N94">
        <v>46082</v>
      </c>
      <c r="O94">
        <v>99</v>
      </c>
      <c r="P94">
        <v>25000</v>
      </c>
      <c r="Q94">
        <v>5000</v>
      </c>
      <c r="R94">
        <v>125000</v>
      </c>
      <c r="S94" t="s">
        <v>392</v>
      </c>
      <c r="T94" t="s">
        <v>393</v>
      </c>
      <c r="U94" s="1">
        <f>+_xlfn.XLOOKUP(C94,[1]!ESTADO_CUENTA[ID_CLIENTE],[1]!ESTADO_CUENTA[TOTAL SALDOS],0,0,-1)</f>
        <v>0</v>
      </c>
      <c r="V94" s="1">
        <f>_xlfn.XLOOKUP(C94,[1]!ESTADO_CUENTA[ID_CLIENTE],[1]!ESTADO_CUENTA[TOTAL DEUDAS],0,0,-1)</f>
        <v>0</v>
      </c>
    </row>
    <row r="95" spans="1:22" x14ac:dyDescent="0.25">
      <c r="A95" s="4">
        <v>46069</v>
      </c>
      <c r="B95" t="s">
        <v>32</v>
      </c>
      <c r="C95">
        <v>100</v>
      </c>
      <c r="D95" t="s">
        <v>394</v>
      </c>
      <c r="E95" t="s">
        <v>394</v>
      </c>
      <c r="G95" t="s">
        <v>395</v>
      </c>
      <c r="H95">
        <v>3016189999</v>
      </c>
      <c r="I95">
        <v>74</v>
      </c>
      <c r="J95">
        <v>222</v>
      </c>
      <c r="K95">
        <v>3330</v>
      </c>
      <c r="L95">
        <v>45</v>
      </c>
      <c r="M95">
        <v>15</v>
      </c>
      <c r="N95">
        <v>46084</v>
      </c>
      <c r="O95">
        <v>100</v>
      </c>
      <c r="P95">
        <v>38648.648648648646</v>
      </c>
      <c r="Q95">
        <v>3330</v>
      </c>
      <c r="R95">
        <v>128700</v>
      </c>
      <c r="S95" t="s">
        <v>396</v>
      </c>
      <c r="T95" t="s">
        <v>397</v>
      </c>
      <c r="U95" s="1">
        <f>+_xlfn.XLOOKUP(C95,[1]!ESTADO_CUENTA[ID_CLIENTE],[1]!ESTADO_CUENTA[TOTAL SALDOS],0,0,-1)</f>
        <v>0</v>
      </c>
      <c r="V95" s="1">
        <f>_xlfn.XLOOKUP(C95,[1]!ESTADO_CUENTA[ID_CLIENTE],[1]!ESTADO_CUENTA[TOTAL DEUDAS],0,0,-1)</f>
        <v>0</v>
      </c>
    </row>
    <row r="96" spans="1:22" x14ac:dyDescent="0.25">
      <c r="A96" s="4">
        <v>46076</v>
      </c>
      <c r="B96" t="s">
        <v>32</v>
      </c>
      <c r="C96">
        <v>101</v>
      </c>
      <c r="D96" t="s">
        <v>398</v>
      </c>
      <c r="E96" t="s">
        <v>398</v>
      </c>
      <c r="G96" t="s">
        <v>399</v>
      </c>
      <c r="H96">
        <v>3138013032</v>
      </c>
      <c r="I96">
        <v>150</v>
      </c>
      <c r="J96">
        <v>300</v>
      </c>
      <c r="K96">
        <v>4500</v>
      </c>
      <c r="L96">
        <v>30</v>
      </c>
      <c r="M96">
        <v>15</v>
      </c>
      <c r="N96">
        <v>46091</v>
      </c>
      <c r="O96">
        <v>101</v>
      </c>
      <c r="P96">
        <v>41700</v>
      </c>
      <c r="Q96">
        <v>4500</v>
      </c>
      <c r="R96">
        <v>187650</v>
      </c>
      <c r="S96" t="s">
        <v>400</v>
      </c>
      <c r="T96" t="s">
        <v>401</v>
      </c>
      <c r="U96" s="1">
        <f>+_xlfn.XLOOKUP(C96,[1]!ESTADO_CUENTA[ID_CLIENTE],[1]!ESTADO_CUENTA[TOTAL SALDOS],0,0,-1)</f>
        <v>0</v>
      </c>
      <c r="V96" s="1">
        <f>_xlfn.XLOOKUP(C96,[1]!ESTADO_CUENTA[ID_CLIENTE],[1]!ESTADO_CUENTA[TOTAL DEUDAS],0,0,-1)</f>
        <v>0</v>
      </c>
    </row>
    <row r="97" spans="1:22" x14ac:dyDescent="0.25">
      <c r="B97" t="s">
        <v>28</v>
      </c>
      <c r="C97">
        <v>102</v>
      </c>
      <c r="D97" t="s">
        <v>402</v>
      </c>
      <c r="E97" t="s">
        <v>402</v>
      </c>
      <c r="G97" t="s">
        <v>403</v>
      </c>
      <c r="H97">
        <v>3134974621</v>
      </c>
      <c r="I97">
        <v>40</v>
      </c>
      <c r="J97">
        <v>120</v>
      </c>
      <c r="K97">
        <v>960</v>
      </c>
      <c r="L97">
        <v>24</v>
      </c>
      <c r="M97">
        <v>8</v>
      </c>
      <c r="O97">
        <v>102</v>
      </c>
      <c r="P97">
        <v>40416.666666666664</v>
      </c>
      <c r="Q97">
        <v>960</v>
      </c>
      <c r="R97">
        <v>38800</v>
      </c>
      <c r="S97" t="s">
        <v>404</v>
      </c>
      <c r="T97" t="s">
        <v>405</v>
      </c>
      <c r="U97" s="1">
        <f>+_xlfn.XLOOKUP(C97,[1]!ESTADO_CUENTA[ID_CLIENTE],[1]!ESTADO_CUENTA[TOTAL SALDOS],0,0,-1)</f>
        <v>0</v>
      </c>
      <c r="V97" s="1">
        <f>_xlfn.XLOOKUP(C97,[1]!ESTADO_CUENTA[ID_CLIENTE],[1]!ESTADO_CUENTA[TOTAL DEUDAS],0,0,-1)</f>
        <v>0</v>
      </c>
    </row>
    <row r="98" spans="1:22" x14ac:dyDescent="0.25">
      <c r="A98" s="4">
        <v>46070</v>
      </c>
      <c r="B98" t="s">
        <v>32</v>
      </c>
      <c r="C98">
        <v>103</v>
      </c>
      <c r="D98" t="s">
        <v>406</v>
      </c>
      <c r="E98" t="s">
        <v>406</v>
      </c>
      <c r="G98" t="s">
        <v>407</v>
      </c>
      <c r="H98">
        <v>3052896347</v>
      </c>
      <c r="I98">
        <v>85</v>
      </c>
      <c r="J98">
        <v>170</v>
      </c>
      <c r="K98">
        <v>2550</v>
      </c>
      <c r="L98">
        <v>30</v>
      </c>
      <c r="M98">
        <v>15</v>
      </c>
      <c r="N98">
        <v>46085</v>
      </c>
      <c r="O98">
        <v>103</v>
      </c>
      <c r="P98">
        <v>38352.941176470587</v>
      </c>
      <c r="Q98">
        <v>2550</v>
      </c>
      <c r="R98">
        <v>97800</v>
      </c>
      <c r="S98" t="s">
        <v>408</v>
      </c>
      <c r="T98" t="s">
        <v>409</v>
      </c>
      <c r="U98" s="1">
        <f>+_xlfn.XLOOKUP(C98,[1]!ESTADO_CUENTA[ID_CLIENTE],[1]!ESTADO_CUENTA[TOTAL SALDOS],0,0,-1)</f>
        <v>0</v>
      </c>
      <c r="V98" s="1">
        <f>_xlfn.XLOOKUP(C98,[1]!ESTADO_CUENTA[ID_CLIENTE],[1]!ESTADO_CUENTA[TOTAL DEUDAS],0,0,-1)</f>
        <v>0</v>
      </c>
    </row>
    <row r="99" spans="1:22" x14ac:dyDescent="0.25">
      <c r="A99" s="4">
        <v>46073</v>
      </c>
      <c r="B99" t="s">
        <v>32</v>
      </c>
      <c r="C99">
        <v>105</v>
      </c>
      <c r="D99" t="s">
        <v>410</v>
      </c>
      <c r="E99" t="s">
        <v>411</v>
      </c>
      <c r="G99" t="s">
        <v>412</v>
      </c>
      <c r="H99">
        <v>3209927180</v>
      </c>
      <c r="I99">
        <v>200</v>
      </c>
      <c r="J99">
        <v>200</v>
      </c>
      <c r="K99">
        <v>3000</v>
      </c>
      <c r="L99">
        <v>15</v>
      </c>
      <c r="M99">
        <v>15</v>
      </c>
      <c r="N99">
        <v>46088</v>
      </c>
      <c r="O99">
        <v>105</v>
      </c>
      <c r="P99">
        <v>32000</v>
      </c>
      <c r="Q99">
        <v>3000</v>
      </c>
      <c r="R99">
        <v>96000</v>
      </c>
      <c r="S99" t="s">
        <v>413</v>
      </c>
      <c r="T99" t="s">
        <v>414</v>
      </c>
      <c r="U99" s="1">
        <f>+_xlfn.XLOOKUP(C99,[1]!ESTADO_CUENTA[ID_CLIENTE],[1]!ESTADO_CUENTA[TOTAL SALDOS],0,0,-1)</f>
        <v>0</v>
      </c>
      <c r="V99" s="1">
        <f>_xlfn.XLOOKUP(C99,[1]!ESTADO_CUENTA[ID_CLIENTE],[1]!ESTADO_CUENTA[TOTAL DEUDAS],0,0,-1)</f>
        <v>0</v>
      </c>
    </row>
    <row r="100" spans="1:22" x14ac:dyDescent="0.25">
      <c r="B100" t="s">
        <v>28</v>
      </c>
      <c r="C100">
        <v>106</v>
      </c>
      <c r="D100" t="s">
        <v>415</v>
      </c>
      <c r="E100" t="s">
        <v>415</v>
      </c>
      <c r="G100" t="s">
        <v>416</v>
      </c>
      <c r="H100">
        <v>3232840240</v>
      </c>
      <c r="I100">
        <v>295</v>
      </c>
      <c r="J100">
        <v>295</v>
      </c>
      <c r="K100">
        <v>2950</v>
      </c>
      <c r="L100">
        <v>10</v>
      </c>
      <c r="M100">
        <v>10</v>
      </c>
      <c r="O100">
        <v>106</v>
      </c>
      <c r="P100">
        <v>33898.305084745763</v>
      </c>
      <c r="Q100">
        <v>2950</v>
      </c>
      <c r="R100">
        <v>100000</v>
      </c>
      <c r="S100" t="s">
        <v>417</v>
      </c>
      <c r="T100" t="s">
        <v>418</v>
      </c>
      <c r="U100" s="1">
        <f>+_xlfn.XLOOKUP(C100,[1]!ESTADO_CUENTA[ID_CLIENTE],[1]!ESTADO_CUENTA[TOTAL SALDOS],0,0,-1)</f>
        <v>0</v>
      </c>
      <c r="V100" s="1">
        <f>_xlfn.XLOOKUP(C100,[1]!ESTADO_CUENTA[ID_CLIENTE],[1]!ESTADO_CUENTA[TOTAL DEUDAS],0,0,-1)</f>
        <v>0</v>
      </c>
    </row>
    <row r="101" spans="1:22" x14ac:dyDescent="0.25">
      <c r="A101" s="4">
        <v>46080</v>
      </c>
      <c r="B101" t="s">
        <v>32</v>
      </c>
      <c r="C101">
        <v>107</v>
      </c>
      <c r="D101" t="s">
        <v>419</v>
      </c>
      <c r="E101" t="s">
        <v>419</v>
      </c>
      <c r="G101" t="s">
        <v>420</v>
      </c>
      <c r="H101">
        <v>3150525254</v>
      </c>
      <c r="I101">
        <v>28</v>
      </c>
      <c r="J101">
        <v>84</v>
      </c>
      <c r="K101">
        <v>1260</v>
      </c>
      <c r="L101">
        <v>45</v>
      </c>
      <c r="M101">
        <v>15</v>
      </c>
      <c r="N101">
        <v>46095</v>
      </c>
      <c r="O101">
        <v>107</v>
      </c>
      <c r="P101">
        <v>58000</v>
      </c>
      <c r="Q101">
        <v>1260</v>
      </c>
      <c r="R101">
        <v>73080</v>
      </c>
      <c r="S101" t="s">
        <v>421</v>
      </c>
      <c r="U101" s="1">
        <f>+_xlfn.XLOOKUP(C101,[1]!ESTADO_CUENTA[ID_CLIENTE],[1]!ESTADO_CUENTA[TOTAL SALDOS],0,0,-1)</f>
        <v>71080</v>
      </c>
      <c r="V101" s="1">
        <f>_xlfn.XLOOKUP(C101,[1]!ESTADO_CUENTA[ID_CLIENTE],[1]!ESTADO_CUENTA[TOTAL DEUDAS],0,0,-1)</f>
        <v>0</v>
      </c>
    </row>
    <row r="102" spans="1:22" x14ac:dyDescent="0.25">
      <c r="A102" s="4">
        <v>46080</v>
      </c>
      <c r="B102" t="s">
        <v>32</v>
      </c>
      <c r="C102">
        <v>108</v>
      </c>
      <c r="D102" t="s">
        <v>422</v>
      </c>
      <c r="E102" t="s">
        <v>422</v>
      </c>
      <c r="G102" t="s">
        <v>423</v>
      </c>
      <c r="H102">
        <v>3103126656</v>
      </c>
      <c r="I102">
        <v>64</v>
      </c>
      <c r="J102">
        <v>192</v>
      </c>
      <c r="K102">
        <v>2880</v>
      </c>
      <c r="L102">
        <v>45</v>
      </c>
      <c r="M102">
        <v>15</v>
      </c>
      <c r="N102">
        <v>46095</v>
      </c>
      <c r="O102">
        <v>108</v>
      </c>
      <c r="P102">
        <v>39000</v>
      </c>
      <c r="Q102">
        <v>2880</v>
      </c>
      <c r="R102">
        <v>112320</v>
      </c>
      <c r="S102" t="s">
        <v>424</v>
      </c>
      <c r="T102" t="s">
        <v>425</v>
      </c>
      <c r="U102" s="1">
        <f>+_xlfn.XLOOKUP(C102,[1]!ESTADO_CUENTA[ID_CLIENTE],[1]!ESTADO_CUENTA[TOTAL SALDOS],0,0,-1)</f>
        <v>0</v>
      </c>
      <c r="V102" s="1">
        <f>_xlfn.XLOOKUP(C102,[1]!ESTADO_CUENTA[ID_CLIENTE],[1]!ESTADO_CUENTA[TOTAL DEUDAS],0,0,-1)</f>
        <v>0</v>
      </c>
    </row>
    <row r="103" spans="1:22" x14ac:dyDescent="0.25">
      <c r="A103" s="4">
        <v>46062</v>
      </c>
      <c r="B103" t="s">
        <v>32</v>
      </c>
      <c r="C103">
        <v>109</v>
      </c>
      <c r="D103" t="s">
        <v>426</v>
      </c>
      <c r="E103" t="s">
        <v>426</v>
      </c>
      <c r="G103" t="s">
        <v>427</v>
      </c>
      <c r="H103">
        <v>3005281323</v>
      </c>
      <c r="I103">
        <v>63</v>
      </c>
      <c r="J103">
        <v>190</v>
      </c>
      <c r="K103">
        <v>2850</v>
      </c>
      <c r="L103">
        <v>45.238095238095241</v>
      </c>
      <c r="M103">
        <v>15</v>
      </c>
      <c r="N103">
        <v>46077</v>
      </c>
      <c r="O103">
        <v>109</v>
      </c>
      <c r="P103">
        <v>43245.149911816574</v>
      </c>
      <c r="Q103">
        <v>2835</v>
      </c>
      <c r="R103">
        <v>122600</v>
      </c>
      <c r="S103" t="s">
        <v>428</v>
      </c>
      <c r="U103" s="1">
        <f>+_xlfn.XLOOKUP(C103,[1]!ESTADO_CUENTA[ID_CLIENTE],[1]!ESTADO_CUENTA[TOTAL SALDOS],0,0,-1)</f>
        <v>0</v>
      </c>
      <c r="V103" s="1">
        <f>_xlfn.XLOOKUP(C103,[1]!ESTADO_CUENTA[ID_CLIENTE],[1]!ESTADO_CUENTA[TOTAL DEUDAS],0,0,-1)</f>
        <v>0</v>
      </c>
    </row>
    <row r="104" spans="1:22" x14ac:dyDescent="0.25">
      <c r="A104" s="4">
        <v>46051</v>
      </c>
      <c r="B104" t="s">
        <v>20</v>
      </c>
      <c r="C104">
        <v>110</v>
      </c>
      <c r="D104" t="s">
        <v>429</v>
      </c>
      <c r="E104" t="s">
        <v>429</v>
      </c>
      <c r="G104" t="s">
        <v>430</v>
      </c>
      <c r="H104">
        <v>3208795345</v>
      </c>
      <c r="I104">
        <v>50</v>
      </c>
      <c r="J104">
        <v>150</v>
      </c>
      <c r="K104">
        <v>4500</v>
      </c>
      <c r="L104">
        <v>90</v>
      </c>
      <c r="M104">
        <v>30</v>
      </c>
      <c r="N104">
        <v>46081</v>
      </c>
      <c r="O104">
        <v>110</v>
      </c>
      <c r="P104">
        <v>38000</v>
      </c>
      <c r="Q104">
        <v>4500</v>
      </c>
      <c r="R104">
        <v>171000</v>
      </c>
      <c r="S104" t="s">
        <v>431</v>
      </c>
      <c r="T104" t="s">
        <v>432</v>
      </c>
      <c r="U104" s="1">
        <f>+_xlfn.XLOOKUP(C104,[1]!ESTADO_CUENTA[ID_CLIENTE],[1]!ESTADO_CUENTA[TOTAL SALDOS],0,0,-1)</f>
        <v>0</v>
      </c>
      <c r="V104" s="1">
        <f>_xlfn.XLOOKUP(C104,[1]!ESTADO_CUENTA[ID_CLIENTE],[1]!ESTADO_CUENTA[TOTAL DEUDAS],0,0,-1)</f>
        <v>0</v>
      </c>
    </row>
    <row r="105" spans="1:22" x14ac:dyDescent="0.25">
      <c r="A105" s="4">
        <v>46045</v>
      </c>
      <c r="B105" t="s">
        <v>20</v>
      </c>
      <c r="C105">
        <v>111</v>
      </c>
      <c r="D105" t="s">
        <v>433</v>
      </c>
      <c r="E105" t="s">
        <v>434</v>
      </c>
      <c r="G105" t="s">
        <v>435</v>
      </c>
      <c r="H105">
        <v>3108508105</v>
      </c>
      <c r="I105">
        <v>100</v>
      </c>
      <c r="J105">
        <v>200</v>
      </c>
      <c r="K105">
        <v>6000</v>
      </c>
      <c r="L105">
        <v>60</v>
      </c>
      <c r="M105">
        <v>30</v>
      </c>
      <c r="N105">
        <v>46075</v>
      </c>
      <c r="O105">
        <v>111</v>
      </c>
      <c r="P105">
        <v>28000</v>
      </c>
      <c r="Q105">
        <v>6000</v>
      </c>
      <c r="R105">
        <v>168000</v>
      </c>
      <c r="S105" t="s">
        <v>436</v>
      </c>
      <c r="T105" t="s">
        <v>437</v>
      </c>
      <c r="U105" s="1">
        <f>+_xlfn.XLOOKUP(C105,[1]!ESTADO_CUENTA[ID_CLIENTE],[1]!ESTADO_CUENTA[TOTAL SALDOS],0,0,-1)</f>
        <v>0</v>
      </c>
      <c r="V105" s="1">
        <f>_xlfn.XLOOKUP(C105,[1]!ESTADO_CUENTA[ID_CLIENTE],[1]!ESTADO_CUENTA[TOTAL DEUDAS],0,0,-1)</f>
        <v>0</v>
      </c>
    </row>
    <row r="106" spans="1:22" x14ac:dyDescent="0.25">
      <c r="A106" s="4">
        <v>46073</v>
      </c>
      <c r="B106" t="s">
        <v>32</v>
      </c>
      <c r="C106">
        <v>112</v>
      </c>
      <c r="D106" t="s">
        <v>438</v>
      </c>
      <c r="E106" t="s">
        <v>438</v>
      </c>
      <c r="G106" t="s">
        <v>439</v>
      </c>
      <c r="H106">
        <v>3138086463</v>
      </c>
      <c r="I106">
        <v>120</v>
      </c>
      <c r="J106">
        <v>360</v>
      </c>
      <c r="K106">
        <v>3600</v>
      </c>
      <c r="L106">
        <v>30</v>
      </c>
      <c r="M106">
        <v>10</v>
      </c>
      <c r="N106">
        <v>46083</v>
      </c>
      <c r="O106">
        <v>112</v>
      </c>
      <c r="P106">
        <v>0</v>
      </c>
      <c r="Q106">
        <v>3600</v>
      </c>
      <c r="R106">
        <v>0</v>
      </c>
      <c r="S106">
        <v>0</v>
      </c>
      <c r="T106" t="s">
        <v>440</v>
      </c>
      <c r="U106" s="1">
        <f>+_xlfn.XLOOKUP(C106,[1]!ESTADO_CUENTA[ID_CLIENTE],[1]!ESTADO_CUENTA[TOTAL SALDOS],0,0,-1)</f>
        <v>0</v>
      </c>
      <c r="V106" s="1">
        <f>_xlfn.XLOOKUP(C106,[1]!ESTADO_CUENTA[ID_CLIENTE],[1]!ESTADO_CUENTA[TOTAL DEUDAS],0,0,-1)</f>
        <v>0</v>
      </c>
    </row>
    <row r="107" spans="1:22" x14ac:dyDescent="0.25">
      <c r="A107" s="4">
        <v>46069</v>
      </c>
      <c r="B107" t="s">
        <v>32</v>
      </c>
      <c r="C107">
        <v>113</v>
      </c>
      <c r="D107" t="s">
        <v>441</v>
      </c>
      <c r="E107" t="s">
        <v>441</v>
      </c>
      <c r="G107" t="s">
        <v>442</v>
      </c>
      <c r="H107">
        <v>3150570538</v>
      </c>
      <c r="I107">
        <v>140</v>
      </c>
      <c r="J107">
        <v>280</v>
      </c>
      <c r="K107">
        <v>4200</v>
      </c>
      <c r="L107">
        <v>30</v>
      </c>
      <c r="M107">
        <v>15</v>
      </c>
      <c r="N107">
        <v>46084</v>
      </c>
      <c r="O107">
        <v>113</v>
      </c>
      <c r="P107">
        <v>36000</v>
      </c>
      <c r="Q107">
        <v>4200</v>
      </c>
      <c r="R107">
        <v>151200</v>
      </c>
      <c r="S107" t="s">
        <v>443</v>
      </c>
      <c r="T107" t="s">
        <v>444</v>
      </c>
      <c r="U107" s="1">
        <f>+_xlfn.XLOOKUP(C107,[1]!ESTADO_CUENTA[ID_CLIENTE],[1]!ESTADO_CUENTA[TOTAL SALDOS],0,0,-1)</f>
        <v>800</v>
      </c>
      <c r="V107" s="1">
        <f>_xlfn.XLOOKUP(C107,[1]!ESTADO_CUENTA[ID_CLIENTE],[1]!ESTADO_CUENTA[TOTAL DEUDAS],0,0,-1)</f>
        <v>0</v>
      </c>
    </row>
    <row r="108" spans="1:22" x14ac:dyDescent="0.25">
      <c r="A108" s="4">
        <v>46065</v>
      </c>
      <c r="B108" t="s">
        <v>32</v>
      </c>
      <c r="C108">
        <v>114</v>
      </c>
      <c r="D108" t="s">
        <v>445</v>
      </c>
      <c r="E108" t="s">
        <v>445</v>
      </c>
      <c r="G108" t="s">
        <v>446</v>
      </c>
      <c r="H108">
        <v>3132088593</v>
      </c>
      <c r="I108">
        <v>40</v>
      </c>
      <c r="J108">
        <v>120</v>
      </c>
      <c r="K108">
        <v>1800</v>
      </c>
      <c r="L108">
        <v>45</v>
      </c>
      <c r="M108">
        <v>15</v>
      </c>
      <c r="N108">
        <v>46080</v>
      </c>
      <c r="O108">
        <v>114</v>
      </c>
      <c r="P108">
        <v>33000</v>
      </c>
      <c r="Q108">
        <v>1800</v>
      </c>
      <c r="R108">
        <v>59400</v>
      </c>
      <c r="S108" t="s">
        <v>447</v>
      </c>
      <c r="T108" t="s">
        <v>448</v>
      </c>
      <c r="U108" s="1">
        <f>+_xlfn.XLOOKUP(C108,[1]!ESTADO_CUENTA[ID_CLIENTE],[1]!ESTADO_CUENTA[TOTAL SALDOS],0,0,-1)</f>
        <v>55400</v>
      </c>
      <c r="V108" s="1">
        <f>_xlfn.XLOOKUP(C108,[1]!ESTADO_CUENTA[ID_CLIENTE],[1]!ESTADO_CUENTA[TOTAL DEUDAS],0,0,-1)</f>
        <v>0</v>
      </c>
    </row>
    <row r="109" spans="1:22" x14ac:dyDescent="0.25">
      <c r="A109" s="4">
        <v>46059</v>
      </c>
      <c r="B109" t="s">
        <v>32</v>
      </c>
      <c r="C109">
        <v>116</v>
      </c>
      <c r="D109" t="s">
        <v>449</v>
      </c>
      <c r="E109" t="s">
        <v>449</v>
      </c>
      <c r="G109" t="s">
        <v>450</v>
      </c>
      <c r="H109">
        <v>3108753186</v>
      </c>
      <c r="I109">
        <v>60</v>
      </c>
      <c r="J109">
        <v>120</v>
      </c>
      <c r="K109">
        <v>1800</v>
      </c>
      <c r="L109">
        <v>30</v>
      </c>
      <c r="M109">
        <v>15</v>
      </c>
      <c r="N109">
        <v>46074</v>
      </c>
      <c r="O109">
        <v>116</v>
      </c>
      <c r="P109">
        <v>60000</v>
      </c>
      <c r="Q109">
        <v>1800</v>
      </c>
      <c r="R109">
        <v>108000</v>
      </c>
      <c r="S109" t="s">
        <v>451</v>
      </c>
      <c r="T109" t="s">
        <v>452</v>
      </c>
      <c r="U109" s="1">
        <f>+_xlfn.XLOOKUP(C109,[1]!ESTADO_CUENTA[ID_CLIENTE],[1]!ESTADO_CUENTA[TOTAL SALDOS],0,0,-1)</f>
        <v>0</v>
      </c>
      <c r="V109" s="1">
        <f>_xlfn.XLOOKUP(C109,[1]!ESTADO_CUENTA[ID_CLIENTE],[1]!ESTADO_CUENTA[TOTAL DEUDAS],0,0,-1)</f>
        <v>216000</v>
      </c>
    </row>
    <row r="110" spans="1:22" x14ac:dyDescent="0.25">
      <c r="A110" s="4">
        <v>46069</v>
      </c>
      <c r="B110" t="s">
        <v>32</v>
      </c>
      <c r="C110">
        <v>75</v>
      </c>
      <c r="D110" t="s">
        <v>1366</v>
      </c>
      <c r="E110" t="s">
        <v>292</v>
      </c>
      <c r="G110" t="s">
        <v>293</v>
      </c>
      <c r="H110">
        <v>3218280844</v>
      </c>
      <c r="I110">
        <v>180</v>
      </c>
      <c r="J110">
        <v>360</v>
      </c>
      <c r="K110">
        <v>5400</v>
      </c>
      <c r="L110">
        <v>30</v>
      </c>
      <c r="M110">
        <v>15</v>
      </c>
      <c r="N110">
        <v>46084</v>
      </c>
      <c r="O110">
        <v>75</v>
      </c>
      <c r="P110">
        <v>24000</v>
      </c>
      <c r="Q110">
        <v>5400</v>
      </c>
      <c r="R110">
        <v>129600</v>
      </c>
      <c r="S110" t="s">
        <v>294</v>
      </c>
      <c r="T110" t="s">
        <v>295</v>
      </c>
      <c r="U110" s="1">
        <f>+_xlfn.XLOOKUP(C110,[1]!ESTADO_CUENTA[ID_CLIENTE],[1]!ESTADO_CUENTA[TOTAL SALDOS],0,0,-1)</f>
        <v>0</v>
      </c>
      <c r="V110" s="1">
        <f>_xlfn.XLOOKUP(C110,[1]!ESTADO_CUENTA[ID_CLIENTE],[1]!ESTADO_CUENTA[TOTAL DEUDAS],0,0,-1)</f>
        <v>638200</v>
      </c>
    </row>
    <row r="111" spans="1:22" x14ac:dyDescent="0.25">
      <c r="A111" s="4">
        <v>46071</v>
      </c>
      <c r="B111" t="s">
        <v>32</v>
      </c>
      <c r="C111">
        <v>118</v>
      </c>
      <c r="D111" t="s">
        <v>456</v>
      </c>
      <c r="E111" t="s">
        <v>456</v>
      </c>
      <c r="G111" t="s">
        <v>457</v>
      </c>
      <c r="H111">
        <v>3212166664</v>
      </c>
      <c r="I111">
        <v>210</v>
      </c>
      <c r="J111">
        <v>420</v>
      </c>
      <c r="K111">
        <v>6300</v>
      </c>
      <c r="L111">
        <v>30</v>
      </c>
      <c r="M111">
        <v>15</v>
      </c>
      <c r="N111">
        <v>46086</v>
      </c>
      <c r="O111">
        <v>118</v>
      </c>
      <c r="P111">
        <v>30365.079365079364</v>
      </c>
      <c r="Q111">
        <v>6300</v>
      </c>
      <c r="R111">
        <v>191300</v>
      </c>
      <c r="S111" t="s">
        <v>458</v>
      </c>
      <c r="T111" t="s">
        <v>459</v>
      </c>
      <c r="U111" s="1">
        <f>+_xlfn.XLOOKUP(C111,[1]!ESTADO_CUENTA[ID_CLIENTE],[1]!ESTADO_CUENTA[TOTAL SALDOS],0,0,-1)</f>
        <v>182700</v>
      </c>
      <c r="V111" s="1">
        <f>_xlfn.XLOOKUP(C111,[1]!ESTADO_CUENTA[ID_CLIENTE],[1]!ESTADO_CUENTA[TOTAL DEUDAS],0,0,-1)</f>
        <v>0</v>
      </c>
    </row>
    <row r="112" spans="1:22" x14ac:dyDescent="0.25">
      <c r="A112" s="4">
        <v>46072</v>
      </c>
      <c r="B112" t="s">
        <v>32</v>
      </c>
      <c r="C112">
        <v>119</v>
      </c>
      <c r="D112" t="s">
        <v>460</v>
      </c>
      <c r="E112" t="s">
        <v>460</v>
      </c>
      <c r="G112" t="s">
        <v>461</v>
      </c>
      <c r="H112">
        <v>3124300773</v>
      </c>
      <c r="I112">
        <v>230</v>
      </c>
      <c r="J112">
        <v>230</v>
      </c>
      <c r="K112">
        <v>3450</v>
      </c>
      <c r="L112">
        <v>15</v>
      </c>
      <c r="M112">
        <v>15</v>
      </c>
      <c r="N112">
        <v>46087</v>
      </c>
      <c r="O112">
        <v>119</v>
      </c>
      <c r="P112">
        <v>30000</v>
      </c>
      <c r="Q112">
        <v>3450</v>
      </c>
      <c r="R112">
        <v>103500</v>
      </c>
      <c r="S112" t="s">
        <v>462</v>
      </c>
      <c r="T112" t="s">
        <v>463</v>
      </c>
      <c r="U112" s="1">
        <f>+_xlfn.XLOOKUP(C112,[1]!ESTADO_CUENTA[ID_CLIENTE],[1]!ESTADO_CUENTA[TOTAL SALDOS],0,0,-1)</f>
        <v>0</v>
      </c>
      <c r="V112" s="1">
        <f>_xlfn.XLOOKUP(C112,[1]!ESTADO_CUENTA[ID_CLIENTE],[1]!ESTADO_CUENTA[TOTAL DEUDAS],0,0,-1)</f>
        <v>103500</v>
      </c>
    </row>
    <row r="113" spans="1:22" x14ac:dyDescent="0.25">
      <c r="B113" t="s">
        <v>28</v>
      </c>
      <c r="C113">
        <v>120</v>
      </c>
      <c r="D113" t="s">
        <v>464</v>
      </c>
      <c r="E113" t="s">
        <v>464</v>
      </c>
      <c r="G113" t="s">
        <v>465</v>
      </c>
      <c r="H113">
        <v>3504265525</v>
      </c>
      <c r="I113">
        <v>200</v>
      </c>
      <c r="J113">
        <v>200</v>
      </c>
      <c r="K113">
        <v>6000</v>
      </c>
      <c r="L113">
        <v>30</v>
      </c>
      <c r="M113">
        <v>30</v>
      </c>
      <c r="O113">
        <v>120</v>
      </c>
      <c r="P113">
        <v>25000</v>
      </c>
      <c r="Q113">
        <v>6000</v>
      </c>
      <c r="R113">
        <v>150000</v>
      </c>
      <c r="S113" t="s">
        <v>466</v>
      </c>
      <c r="T113" t="s">
        <v>467</v>
      </c>
      <c r="U113" s="1">
        <f>+_xlfn.XLOOKUP(C113,[1]!ESTADO_CUENTA[ID_CLIENTE],[1]!ESTADO_CUENTA[TOTAL SALDOS],0,0,-1)</f>
        <v>0</v>
      </c>
      <c r="V113" s="1">
        <f>_xlfn.XLOOKUP(C113,[1]!ESTADO_CUENTA[ID_CLIENTE],[1]!ESTADO_CUENTA[TOTAL DEUDAS],0,0,-1)</f>
        <v>120000</v>
      </c>
    </row>
    <row r="114" spans="1:22" x14ac:dyDescent="0.25">
      <c r="B114" t="s">
        <v>28</v>
      </c>
      <c r="C114">
        <v>76</v>
      </c>
      <c r="D114" t="s">
        <v>1367</v>
      </c>
      <c r="E114" t="s">
        <v>296</v>
      </c>
      <c r="G114" t="s">
        <v>297</v>
      </c>
      <c r="H114">
        <v>3148128511</v>
      </c>
      <c r="I114">
        <v>58</v>
      </c>
      <c r="J114">
        <v>115</v>
      </c>
      <c r="K114">
        <v>1725</v>
      </c>
      <c r="L114">
        <v>29.741379310344829</v>
      </c>
      <c r="M114">
        <v>15</v>
      </c>
      <c r="O114">
        <v>76</v>
      </c>
      <c r="P114">
        <v>42840.579710144928</v>
      </c>
      <c r="Q114">
        <v>1725</v>
      </c>
      <c r="R114">
        <v>73900</v>
      </c>
      <c r="S114" t="s">
        <v>298</v>
      </c>
      <c r="T114" t="s">
        <v>299</v>
      </c>
      <c r="U114" s="1">
        <f>+_xlfn.XLOOKUP(C114,[1]!ESTADO_CUENTA[ID_CLIENTE],[1]!ESTADO_CUENTA[TOTAL SALDOS],0,0,-1)</f>
        <v>0</v>
      </c>
      <c r="V114" s="1">
        <f>_xlfn.XLOOKUP(C114,[1]!ESTADO_CUENTA[ID_CLIENTE],[1]!ESTADO_CUENTA[TOTAL DEUDAS],0,0,-1)</f>
        <v>0</v>
      </c>
    </row>
    <row r="115" spans="1:22" x14ac:dyDescent="0.25">
      <c r="A115" s="4">
        <v>46059</v>
      </c>
      <c r="B115" t="s">
        <v>32</v>
      </c>
      <c r="C115">
        <v>122</v>
      </c>
      <c r="D115" t="s">
        <v>472</v>
      </c>
      <c r="E115" t="s">
        <v>472</v>
      </c>
      <c r="G115" t="s">
        <v>473</v>
      </c>
      <c r="H115">
        <v>3226140150</v>
      </c>
      <c r="I115">
        <v>250</v>
      </c>
      <c r="J115">
        <v>250</v>
      </c>
      <c r="K115">
        <v>11000</v>
      </c>
      <c r="L115">
        <v>44</v>
      </c>
      <c r="M115">
        <v>44</v>
      </c>
      <c r="N115">
        <v>46103</v>
      </c>
      <c r="O115">
        <v>122</v>
      </c>
      <c r="P115">
        <v>22500</v>
      </c>
      <c r="Q115">
        <v>11000</v>
      </c>
      <c r="R115">
        <v>247500</v>
      </c>
      <c r="S115" t="s">
        <v>474</v>
      </c>
      <c r="T115" t="s">
        <v>475</v>
      </c>
      <c r="U115" s="1">
        <f>+_xlfn.XLOOKUP(C115,[1]!ESTADO_CUENTA[ID_CLIENTE],[1]!ESTADO_CUENTA[TOTAL SALDOS],0,0,-1)</f>
        <v>0</v>
      </c>
      <c r="V115" s="1">
        <f>_xlfn.XLOOKUP(C115,[1]!ESTADO_CUENTA[ID_CLIENTE],[1]!ESTADO_CUENTA[TOTAL DEUDAS],0,0,-1)</f>
        <v>0</v>
      </c>
    </row>
    <row r="116" spans="1:22" x14ac:dyDescent="0.25">
      <c r="A116" s="4">
        <v>0</v>
      </c>
      <c r="B116" t="s">
        <v>20</v>
      </c>
      <c r="C116">
        <v>123</v>
      </c>
      <c r="D116" t="s">
        <v>476</v>
      </c>
      <c r="E116" t="s">
        <v>477</v>
      </c>
      <c r="G116" t="s">
        <v>6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123</v>
      </c>
      <c r="P116">
        <v>0</v>
      </c>
      <c r="Q116">
        <v>0</v>
      </c>
      <c r="T116" t="s">
        <v>478</v>
      </c>
      <c r="U116" s="1">
        <f>+_xlfn.XLOOKUP(C116,[1]!ESTADO_CUENTA[ID_CLIENTE],[1]!ESTADO_CUENTA[TOTAL SALDOS],0,0,-1)</f>
        <v>0</v>
      </c>
      <c r="V116" s="1">
        <f>_xlfn.XLOOKUP(C116,[1]!ESTADO_CUENTA[ID_CLIENTE],[1]!ESTADO_CUENTA[TOTAL DEUDAS],0,0,-1)</f>
        <v>0</v>
      </c>
    </row>
    <row r="117" spans="1:22" x14ac:dyDescent="0.25">
      <c r="B117" t="s">
        <v>28</v>
      </c>
      <c r="C117">
        <v>124</v>
      </c>
      <c r="D117" t="s">
        <v>479</v>
      </c>
      <c r="E117" t="s">
        <v>479</v>
      </c>
      <c r="G117" t="s">
        <v>480</v>
      </c>
      <c r="H117">
        <v>3219967349</v>
      </c>
      <c r="I117">
        <v>53</v>
      </c>
      <c r="J117">
        <v>106</v>
      </c>
      <c r="K117">
        <v>1590</v>
      </c>
      <c r="L117">
        <v>30</v>
      </c>
      <c r="M117">
        <v>15</v>
      </c>
      <c r="O117">
        <v>124</v>
      </c>
      <c r="P117">
        <v>43144.654088050323</v>
      </c>
      <c r="Q117">
        <v>1590</v>
      </c>
      <c r="R117">
        <v>68600</v>
      </c>
      <c r="S117" t="s">
        <v>481</v>
      </c>
      <c r="U117" s="1">
        <f>+_xlfn.XLOOKUP(C117,[1]!ESTADO_CUENTA[ID_CLIENTE],[1]!ESTADO_CUENTA[TOTAL SALDOS],0,0,-1)</f>
        <v>0</v>
      </c>
      <c r="V117" s="1">
        <f>_xlfn.XLOOKUP(C117,[1]!ESTADO_CUENTA[ID_CLIENTE],[1]!ESTADO_CUENTA[TOTAL DEUDAS],0,0,-1)</f>
        <v>0</v>
      </c>
    </row>
    <row r="118" spans="1:22" x14ac:dyDescent="0.25">
      <c r="B118" t="s">
        <v>28</v>
      </c>
      <c r="C118">
        <v>125</v>
      </c>
      <c r="D118" t="s">
        <v>482</v>
      </c>
      <c r="E118" t="s">
        <v>482</v>
      </c>
      <c r="G118" t="s">
        <v>483</v>
      </c>
      <c r="H118">
        <v>3208941892</v>
      </c>
      <c r="I118">
        <v>215</v>
      </c>
      <c r="J118">
        <v>430</v>
      </c>
      <c r="K118">
        <v>3010</v>
      </c>
      <c r="L118">
        <v>14</v>
      </c>
      <c r="M118">
        <v>7</v>
      </c>
      <c r="O118">
        <v>125</v>
      </c>
      <c r="P118">
        <v>3322.2591362126245</v>
      </c>
      <c r="Q118">
        <v>3010</v>
      </c>
      <c r="R118">
        <v>10000</v>
      </c>
      <c r="S118" t="s">
        <v>484</v>
      </c>
      <c r="U118" s="1">
        <f>+_xlfn.XLOOKUP(C118,[1]!ESTADO_CUENTA[ID_CLIENTE],[1]!ESTADO_CUENTA[TOTAL SALDOS],0,0,-1)</f>
        <v>0</v>
      </c>
      <c r="V118" s="1">
        <f>_xlfn.XLOOKUP(C118,[1]!ESTADO_CUENTA[ID_CLIENTE],[1]!ESTADO_CUENTA[TOTAL DEUDAS],0,0,-1)</f>
        <v>0</v>
      </c>
    </row>
    <row r="119" spans="1:22" x14ac:dyDescent="0.25">
      <c r="B119" t="s">
        <v>28</v>
      </c>
      <c r="C119">
        <v>126</v>
      </c>
      <c r="D119" t="s">
        <v>485</v>
      </c>
      <c r="E119" t="s">
        <v>485</v>
      </c>
      <c r="G119" t="s">
        <v>486</v>
      </c>
      <c r="H119">
        <v>3153597347</v>
      </c>
      <c r="I119">
        <v>260</v>
      </c>
      <c r="J119">
        <v>520</v>
      </c>
      <c r="K119">
        <v>7800</v>
      </c>
      <c r="L119">
        <v>30</v>
      </c>
      <c r="M119">
        <v>15</v>
      </c>
      <c r="O119">
        <v>126</v>
      </c>
      <c r="P119">
        <v>27000</v>
      </c>
      <c r="Q119">
        <v>7800</v>
      </c>
      <c r="R119">
        <v>210600</v>
      </c>
      <c r="S119" t="s">
        <v>487</v>
      </c>
      <c r="T119" t="s">
        <v>488</v>
      </c>
      <c r="U119" s="1">
        <f>+_xlfn.XLOOKUP(C119,[1]!ESTADO_CUENTA[ID_CLIENTE],[1]!ESTADO_CUENTA[TOTAL SALDOS],0,0,-1)</f>
        <v>0</v>
      </c>
      <c r="V119" s="1">
        <f>_xlfn.XLOOKUP(C119,[1]!ESTADO_CUENTA[ID_CLIENTE],[1]!ESTADO_CUENTA[TOTAL DEUDAS],0,0,-1)</f>
        <v>421200</v>
      </c>
    </row>
    <row r="120" spans="1:22" x14ac:dyDescent="0.25">
      <c r="A120" s="4">
        <v>46078</v>
      </c>
      <c r="B120" t="s">
        <v>32</v>
      </c>
      <c r="C120">
        <v>127</v>
      </c>
      <c r="D120" t="s">
        <v>489</v>
      </c>
      <c r="E120" t="s">
        <v>489</v>
      </c>
      <c r="G120" t="s">
        <v>490</v>
      </c>
      <c r="H120">
        <v>3046420936</v>
      </c>
      <c r="I120">
        <v>250</v>
      </c>
      <c r="J120">
        <v>500</v>
      </c>
      <c r="K120">
        <v>7500</v>
      </c>
      <c r="L120">
        <v>30</v>
      </c>
      <c r="M120">
        <v>15</v>
      </c>
      <c r="N120">
        <v>46093</v>
      </c>
      <c r="O120">
        <v>127</v>
      </c>
      <c r="P120">
        <v>27000</v>
      </c>
      <c r="Q120">
        <v>7500</v>
      </c>
      <c r="R120">
        <v>202500</v>
      </c>
      <c r="S120" t="s">
        <v>491</v>
      </c>
      <c r="T120" t="s">
        <v>492</v>
      </c>
      <c r="U120" s="1">
        <f>+_xlfn.XLOOKUP(C120,[1]!ESTADO_CUENTA[ID_CLIENTE],[1]!ESTADO_CUENTA[TOTAL SALDOS],0,0,-1)</f>
        <v>0</v>
      </c>
      <c r="V120" s="1">
        <f>_xlfn.XLOOKUP(C120,[1]!ESTADO_CUENTA[ID_CLIENTE],[1]!ESTADO_CUENTA[TOTAL DEUDAS],0,0,-1)</f>
        <v>0</v>
      </c>
    </row>
    <row r="121" spans="1:22" x14ac:dyDescent="0.25">
      <c r="B121" t="s">
        <v>28</v>
      </c>
      <c r="C121">
        <v>130</v>
      </c>
      <c r="D121" t="s">
        <v>493</v>
      </c>
      <c r="E121" t="s">
        <v>493</v>
      </c>
      <c r="G121" t="s">
        <v>494</v>
      </c>
      <c r="H121">
        <v>3103019618</v>
      </c>
      <c r="I121">
        <v>280</v>
      </c>
      <c r="J121">
        <v>280</v>
      </c>
      <c r="K121">
        <v>1960</v>
      </c>
      <c r="L121">
        <v>7</v>
      </c>
      <c r="M121">
        <v>7</v>
      </c>
      <c r="O121">
        <v>130</v>
      </c>
      <c r="P121">
        <v>5102.0408163265301</v>
      </c>
      <c r="Q121">
        <v>1960</v>
      </c>
      <c r="R121">
        <v>10000</v>
      </c>
      <c r="S121" t="s">
        <v>495</v>
      </c>
      <c r="T121" t="s">
        <v>496</v>
      </c>
      <c r="U121" s="1">
        <f>+_xlfn.XLOOKUP(C121,[1]!ESTADO_CUENTA[ID_CLIENTE],[1]!ESTADO_CUENTA[TOTAL SALDOS],0,0,-1)</f>
        <v>0</v>
      </c>
      <c r="V121" s="1">
        <f>_xlfn.XLOOKUP(C121,[1]!ESTADO_CUENTA[ID_CLIENTE],[1]!ESTADO_CUENTA[TOTAL DEUDAS],0,0,-1)</f>
        <v>0</v>
      </c>
    </row>
    <row r="122" spans="1:22" x14ac:dyDescent="0.25">
      <c r="A122" s="4">
        <v>46059</v>
      </c>
      <c r="B122" t="s">
        <v>32</v>
      </c>
      <c r="C122">
        <v>131</v>
      </c>
      <c r="D122" t="s">
        <v>497</v>
      </c>
      <c r="E122" t="s">
        <v>497</v>
      </c>
      <c r="G122" t="s">
        <v>498</v>
      </c>
      <c r="H122">
        <v>3123775027</v>
      </c>
      <c r="I122">
        <v>100</v>
      </c>
      <c r="J122">
        <v>200</v>
      </c>
      <c r="K122">
        <v>3000</v>
      </c>
      <c r="L122">
        <v>30</v>
      </c>
      <c r="M122">
        <v>15</v>
      </c>
      <c r="N122">
        <v>46074</v>
      </c>
      <c r="O122">
        <v>131</v>
      </c>
      <c r="P122">
        <v>40000</v>
      </c>
      <c r="Q122">
        <v>3000</v>
      </c>
      <c r="R122">
        <v>120000</v>
      </c>
      <c r="S122" t="s">
        <v>499</v>
      </c>
      <c r="T122" t="s">
        <v>500</v>
      </c>
      <c r="U122" s="1">
        <f>+_xlfn.XLOOKUP(C122,[1]!ESTADO_CUENTA[ID_CLIENTE],[1]!ESTADO_CUENTA[TOTAL SALDOS],0,0,-1)</f>
        <v>0</v>
      </c>
      <c r="V122" s="1">
        <f>_xlfn.XLOOKUP(C122,[1]!ESTADO_CUENTA[ID_CLIENTE],[1]!ESTADO_CUENTA[TOTAL DEUDAS],0,0,-1)</f>
        <v>0</v>
      </c>
    </row>
    <row r="123" spans="1:22" x14ac:dyDescent="0.25">
      <c r="A123" s="4">
        <v>46069</v>
      </c>
      <c r="B123" t="s">
        <v>32</v>
      </c>
      <c r="C123">
        <v>132</v>
      </c>
      <c r="D123" t="s">
        <v>501</v>
      </c>
      <c r="E123" t="s">
        <v>501</v>
      </c>
      <c r="F123" t="s">
        <v>164</v>
      </c>
      <c r="G123" t="s">
        <v>502</v>
      </c>
      <c r="H123">
        <v>3053122534</v>
      </c>
      <c r="I123">
        <v>200</v>
      </c>
      <c r="J123">
        <v>400</v>
      </c>
      <c r="K123">
        <v>6000</v>
      </c>
      <c r="L123">
        <v>30</v>
      </c>
      <c r="M123">
        <v>15</v>
      </c>
      <c r="N123">
        <v>46084</v>
      </c>
      <c r="O123">
        <v>132</v>
      </c>
      <c r="P123">
        <v>30000</v>
      </c>
      <c r="Q123">
        <v>6000</v>
      </c>
      <c r="R123">
        <v>180000</v>
      </c>
      <c r="S123" t="s">
        <v>503</v>
      </c>
      <c r="T123" t="s">
        <v>504</v>
      </c>
      <c r="U123" s="1">
        <f>+_xlfn.XLOOKUP(C123,[1]!ESTADO_CUENTA[ID_CLIENTE],[1]!ESTADO_CUENTA[TOTAL SALDOS],0,0,-1)</f>
        <v>0</v>
      </c>
      <c r="V123" s="1">
        <f>_xlfn.XLOOKUP(C123,[1]!ESTADO_CUENTA[ID_CLIENTE],[1]!ESTADO_CUENTA[TOTAL DEUDAS],0,0,-1)</f>
        <v>180000</v>
      </c>
    </row>
    <row r="124" spans="1:22" x14ac:dyDescent="0.25">
      <c r="A124" s="4">
        <v>46078</v>
      </c>
      <c r="B124" t="s">
        <v>32</v>
      </c>
      <c r="C124">
        <v>133</v>
      </c>
      <c r="D124" t="s">
        <v>505</v>
      </c>
      <c r="E124" t="s">
        <v>505</v>
      </c>
      <c r="G124" t="s">
        <v>506</v>
      </c>
      <c r="H124">
        <v>3205179480</v>
      </c>
      <c r="I124">
        <v>80</v>
      </c>
      <c r="J124">
        <v>240</v>
      </c>
      <c r="K124">
        <v>1680</v>
      </c>
      <c r="L124">
        <v>21</v>
      </c>
      <c r="M124">
        <v>7</v>
      </c>
      <c r="N124">
        <v>46085</v>
      </c>
      <c r="O124">
        <v>133</v>
      </c>
      <c r="P124">
        <v>41964.285714285717</v>
      </c>
      <c r="Q124">
        <v>1680</v>
      </c>
      <c r="R124">
        <v>70500</v>
      </c>
      <c r="S124" t="s">
        <v>507</v>
      </c>
      <c r="T124" t="s">
        <v>508</v>
      </c>
      <c r="U124" s="1">
        <f>+_xlfn.XLOOKUP(C124,[1]!ESTADO_CUENTA[ID_CLIENTE],[1]!ESTADO_CUENTA[TOTAL SALDOS],0,0,-1)</f>
        <v>0</v>
      </c>
      <c r="V124" s="1">
        <f>_xlfn.XLOOKUP(C124,[1]!ESTADO_CUENTA[ID_CLIENTE],[1]!ESTADO_CUENTA[TOTAL DEUDAS],0,0,-1)</f>
        <v>70500</v>
      </c>
    </row>
    <row r="125" spans="1:22" x14ac:dyDescent="0.25">
      <c r="A125" s="4">
        <v>46073</v>
      </c>
      <c r="B125" t="s">
        <v>32</v>
      </c>
      <c r="C125">
        <v>134</v>
      </c>
      <c r="D125" t="s">
        <v>509</v>
      </c>
      <c r="E125" t="s">
        <v>510</v>
      </c>
      <c r="G125" t="s">
        <v>511</v>
      </c>
      <c r="H125">
        <v>3133669967</v>
      </c>
      <c r="I125">
        <v>113</v>
      </c>
      <c r="J125">
        <v>339</v>
      </c>
      <c r="K125">
        <v>10170</v>
      </c>
      <c r="L125">
        <v>90</v>
      </c>
      <c r="M125">
        <v>30</v>
      </c>
      <c r="N125">
        <v>46103</v>
      </c>
      <c r="O125">
        <v>134</v>
      </c>
      <c r="P125">
        <v>38112.094395280241</v>
      </c>
      <c r="Q125">
        <v>10170</v>
      </c>
      <c r="R125">
        <v>387600</v>
      </c>
      <c r="S125" t="s">
        <v>512</v>
      </c>
      <c r="T125" t="s">
        <v>513</v>
      </c>
      <c r="U125" s="1">
        <f>+_xlfn.XLOOKUP(C125,[1]!ESTADO_CUENTA[ID_CLIENTE],[1]!ESTADO_CUENTA[TOTAL SALDOS],0,0,-1)</f>
        <v>0</v>
      </c>
      <c r="V125" s="1">
        <f>_xlfn.XLOOKUP(C125,[1]!ESTADO_CUENTA[ID_CLIENTE],[1]!ESTADO_CUENTA[TOTAL DEUDAS],0,0,-1)</f>
        <v>0</v>
      </c>
    </row>
    <row r="126" spans="1:22" x14ac:dyDescent="0.25">
      <c r="A126" s="4">
        <v>46069</v>
      </c>
      <c r="B126" t="s">
        <v>32</v>
      </c>
      <c r="C126">
        <v>135</v>
      </c>
      <c r="D126" t="s">
        <v>514</v>
      </c>
      <c r="E126" t="s">
        <v>515</v>
      </c>
      <c r="G126" t="s">
        <v>516</v>
      </c>
      <c r="H126">
        <v>3203909420</v>
      </c>
      <c r="I126">
        <v>50</v>
      </c>
      <c r="J126">
        <v>150</v>
      </c>
      <c r="K126">
        <v>2250</v>
      </c>
      <c r="L126">
        <v>45</v>
      </c>
      <c r="M126">
        <v>15</v>
      </c>
      <c r="N126">
        <v>46084</v>
      </c>
      <c r="O126">
        <v>135</v>
      </c>
      <c r="P126">
        <v>15000</v>
      </c>
      <c r="Q126">
        <v>2250</v>
      </c>
      <c r="R126">
        <v>33750</v>
      </c>
      <c r="S126" t="s">
        <v>517</v>
      </c>
      <c r="T126" t="s">
        <v>440</v>
      </c>
      <c r="U126" s="1">
        <f>+_xlfn.XLOOKUP(C126,[1]!ESTADO_CUENTA[ID_CLIENTE],[1]!ESTADO_CUENTA[TOTAL SALDOS],0,0,-1)</f>
        <v>0</v>
      </c>
      <c r="V126" s="1">
        <f>_xlfn.XLOOKUP(C126,[1]!ESTADO_CUENTA[ID_CLIENTE],[1]!ESTADO_CUENTA[TOTAL DEUDAS],0,0,-1)</f>
        <v>91500</v>
      </c>
    </row>
    <row r="127" spans="1:22" x14ac:dyDescent="0.25">
      <c r="A127" s="4">
        <v>46066</v>
      </c>
      <c r="B127" t="s">
        <v>32</v>
      </c>
      <c r="C127">
        <v>136</v>
      </c>
      <c r="D127" t="s">
        <v>518</v>
      </c>
      <c r="E127" t="s">
        <v>518</v>
      </c>
      <c r="G127" t="s">
        <v>519</v>
      </c>
      <c r="H127">
        <v>3012828335</v>
      </c>
      <c r="I127">
        <v>250</v>
      </c>
      <c r="J127">
        <v>250</v>
      </c>
      <c r="K127">
        <v>3750</v>
      </c>
      <c r="L127">
        <v>15</v>
      </c>
      <c r="M127">
        <v>15</v>
      </c>
      <c r="N127">
        <v>46081</v>
      </c>
      <c r="O127">
        <v>136</v>
      </c>
      <c r="P127">
        <v>32000</v>
      </c>
      <c r="Q127">
        <v>3750</v>
      </c>
      <c r="R127">
        <v>120000</v>
      </c>
      <c r="S127" t="s">
        <v>520</v>
      </c>
      <c r="T127" t="s">
        <v>521</v>
      </c>
      <c r="U127" s="1">
        <f>+_xlfn.XLOOKUP(C127,[1]!ESTADO_CUENTA[ID_CLIENTE],[1]!ESTADO_CUENTA[TOTAL SALDOS],0,0,-1)</f>
        <v>0</v>
      </c>
      <c r="V127" s="1">
        <f>_xlfn.XLOOKUP(C127,[1]!ESTADO_CUENTA[ID_CLIENTE],[1]!ESTADO_CUENTA[TOTAL DEUDAS],0,0,-1)</f>
        <v>0</v>
      </c>
    </row>
    <row r="128" spans="1:22" x14ac:dyDescent="0.25">
      <c r="A128" s="4">
        <v>46069</v>
      </c>
      <c r="B128" t="s">
        <v>32</v>
      </c>
      <c r="C128">
        <v>81</v>
      </c>
      <c r="D128" t="s">
        <v>1368</v>
      </c>
      <c r="E128" t="s">
        <v>316</v>
      </c>
      <c r="G128" t="s">
        <v>317</v>
      </c>
      <c r="H128">
        <v>3187091632</v>
      </c>
      <c r="I128">
        <v>170</v>
      </c>
      <c r="J128">
        <v>170</v>
      </c>
      <c r="K128">
        <v>2380</v>
      </c>
      <c r="L128">
        <v>14</v>
      </c>
      <c r="M128">
        <v>14</v>
      </c>
      <c r="N128">
        <v>46083</v>
      </c>
      <c r="O128">
        <v>81</v>
      </c>
      <c r="P128">
        <v>39495.798319327725</v>
      </c>
      <c r="Q128">
        <v>2380</v>
      </c>
      <c r="R128">
        <v>94000</v>
      </c>
      <c r="S128" t="s">
        <v>318</v>
      </c>
      <c r="U128" s="1">
        <f>+_xlfn.XLOOKUP(C128,[1]!ESTADO_CUENTA[ID_CLIENTE],[1]!ESTADO_CUENTA[TOTAL SALDOS],0,0,-1)</f>
        <v>0</v>
      </c>
      <c r="V128" s="1">
        <f>_xlfn.XLOOKUP(C128,[1]!ESTADO_CUENTA[ID_CLIENTE],[1]!ESTADO_CUENTA[TOTAL DEUDAS],0,0,-1)</f>
        <v>107100</v>
      </c>
    </row>
    <row r="129" spans="1:22" x14ac:dyDescent="0.25">
      <c r="A129" s="4">
        <v>46036</v>
      </c>
      <c r="B129" t="s">
        <v>20</v>
      </c>
      <c r="C129">
        <v>138</v>
      </c>
      <c r="D129" t="s">
        <v>526</v>
      </c>
      <c r="E129" t="s">
        <v>526</v>
      </c>
      <c r="G129" t="s">
        <v>527</v>
      </c>
      <c r="H129">
        <v>3227137325</v>
      </c>
      <c r="I129">
        <v>70</v>
      </c>
      <c r="J129">
        <v>140</v>
      </c>
      <c r="K129">
        <v>2100</v>
      </c>
      <c r="L129">
        <v>30</v>
      </c>
      <c r="M129">
        <v>15</v>
      </c>
      <c r="N129">
        <v>46051</v>
      </c>
      <c r="O129">
        <v>138</v>
      </c>
      <c r="P129">
        <v>40000</v>
      </c>
      <c r="Q129">
        <v>2100</v>
      </c>
      <c r="R129">
        <v>84000</v>
      </c>
      <c r="S129" t="s">
        <v>528</v>
      </c>
      <c r="T129" t="s">
        <v>529</v>
      </c>
      <c r="U129" s="1">
        <f>+_xlfn.XLOOKUP(C129,[1]!ESTADO_CUENTA[ID_CLIENTE],[1]!ESTADO_CUENTA[TOTAL SALDOS],0,0,-1)</f>
        <v>0</v>
      </c>
      <c r="V129" s="1">
        <f>_xlfn.XLOOKUP(C129,[1]!ESTADO_CUENTA[ID_CLIENTE],[1]!ESTADO_CUENTA[TOTAL DEUDAS],0,0,-1)</f>
        <v>0</v>
      </c>
    </row>
    <row r="130" spans="1:22" x14ac:dyDescent="0.25">
      <c r="B130" t="s">
        <v>28</v>
      </c>
      <c r="C130">
        <v>139</v>
      </c>
      <c r="D130" t="s">
        <v>530</v>
      </c>
      <c r="E130" t="s">
        <v>531</v>
      </c>
      <c r="G130" t="s">
        <v>532</v>
      </c>
      <c r="H130">
        <v>3144472686</v>
      </c>
      <c r="I130">
        <v>64</v>
      </c>
      <c r="J130">
        <v>190</v>
      </c>
      <c r="K130">
        <v>2850</v>
      </c>
      <c r="L130">
        <v>44.53125</v>
      </c>
      <c r="M130">
        <v>15</v>
      </c>
      <c r="O130">
        <v>139</v>
      </c>
      <c r="P130">
        <v>46877.192982456138</v>
      </c>
      <c r="Q130">
        <v>2850</v>
      </c>
      <c r="R130">
        <v>133600</v>
      </c>
      <c r="S130" t="s">
        <v>533</v>
      </c>
      <c r="U130" s="1">
        <f>+_xlfn.XLOOKUP(C130,[1]!ESTADO_CUENTA[ID_CLIENTE],[1]!ESTADO_CUENTA[TOTAL SALDOS],0,0,-1)</f>
        <v>0</v>
      </c>
      <c r="V130" s="1">
        <f>_xlfn.XLOOKUP(C130,[1]!ESTADO_CUENTA[ID_CLIENTE],[1]!ESTADO_CUENTA[TOTAL DEUDAS],0,0,-1)</f>
        <v>0</v>
      </c>
    </row>
    <row r="131" spans="1:22" x14ac:dyDescent="0.25">
      <c r="A131" s="4">
        <v>46065</v>
      </c>
      <c r="B131" t="s">
        <v>32</v>
      </c>
      <c r="C131">
        <v>140</v>
      </c>
      <c r="D131" t="s">
        <v>534</v>
      </c>
      <c r="E131" t="s">
        <v>534</v>
      </c>
      <c r="G131" t="s">
        <v>535</v>
      </c>
      <c r="H131">
        <v>3123577008</v>
      </c>
      <c r="I131">
        <v>150</v>
      </c>
      <c r="J131">
        <v>150</v>
      </c>
      <c r="K131">
        <v>4950</v>
      </c>
      <c r="L131">
        <v>33</v>
      </c>
      <c r="M131">
        <v>33</v>
      </c>
      <c r="N131">
        <v>46098</v>
      </c>
      <c r="O131">
        <v>140</v>
      </c>
      <c r="P131">
        <v>28000</v>
      </c>
      <c r="Q131">
        <v>4950</v>
      </c>
      <c r="R131">
        <v>138600</v>
      </c>
      <c r="S131" t="s">
        <v>536</v>
      </c>
      <c r="T131" t="s">
        <v>537</v>
      </c>
      <c r="U131" s="1">
        <f>+_xlfn.XLOOKUP(C131,[1]!ESTADO_CUENTA[ID_CLIENTE],[1]!ESTADO_CUENTA[TOTAL SALDOS],0,0,-1)</f>
        <v>0</v>
      </c>
      <c r="V131" s="1">
        <f>_xlfn.XLOOKUP(C131,[1]!ESTADO_CUENTA[ID_CLIENTE],[1]!ESTADO_CUENTA[TOTAL DEUDAS],0,0,-1)</f>
        <v>0</v>
      </c>
    </row>
    <row r="132" spans="1:22" x14ac:dyDescent="0.25">
      <c r="A132" s="4">
        <v>46065</v>
      </c>
      <c r="B132" t="s">
        <v>32</v>
      </c>
      <c r="C132">
        <v>141</v>
      </c>
      <c r="D132" t="s">
        <v>538</v>
      </c>
      <c r="E132" t="s">
        <v>538</v>
      </c>
      <c r="F132" t="s">
        <v>164</v>
      </c>
      <c r="G132" t="s">
        <v>539</v>
      </c>
      <c r="H132">
        <v>3142244660</v>
      </c>
      <c r="I132">
        <v>200</v>
      </c>
      <c r="J132">
        <v>400</v>
      </c>
      <c r="K132">
        <v>5000</v>
      </c>
      <c r="L132">
        <v>25</v>
      </c>
      <c r="M132">
        <v>12.5</v>
      </c>
      <c r="N132">
        <v>46077.5</v>
      </c>
      <c r="O132">
        <v>141</v>
      </c>
      <c r="P132">
        <v>25000</v>
      </c>
      <c r="Q132">
        <v>5000</v>
      </c>
      <c r="R132">
        <v>125000</v>
      </c>
      <c r="S132" t="s">
        <v>540</v>
      </c>
      <c r="T132" t="s">
        <v>541</v>
      </c>
      <c r="U132" s="1">
        <f>+_xlfn.XLOOKUP(C132,[1]!ESTADO_CUENTA[ID_CLIENTE],[1]!ESTADO_CUENTA[TOTAL SALDOS],0,0,-1)</f>
        <v>0</v>
      </c>
      <c r="V132" s="1">
        <f>_xlfn.XLOOKUP(C132,[1]!ESTADO_CUENTA[ID_CLIENTE],[1]!ESTADO_CUENTA[TOTAL DEUDAS],0,0,-1)</f>
        <v>125000</v>
      </c>
    </row>
    <row r="133" spans="1:22" x14ac:dyDescent="0.25">
      <c r="A133" s="4">
        <v>46070</v>
      </c>
      <c r="B133" t="s">
        <v>32</v>
      </c>
      <c r="C133">
        <v>142</v>
      </c>
      <c r="D133" t="s">
        <v>542</v>
      </c>
      <c r="E133" t="s">
        <v>542</v>
      </c>
      <c r="G133" t="s">
        <v>543</v>
      </c>
      <c r="H133">
        <v>3193174586</v>
      </c>
      <c r="I133">
        <v>110</v>
      </c>
      <c r="J133">
        <v>220</v>
      </c>
      <c r="K133">
        <v>3300</v>
      </c>
      <c r="L133">
        <v>30</v>
      </c>
      <c r="M133">
        <v>15</v>
      </c>
      <c r="N133">
        <v>46085</v>
      </c>
      <c r="O133">
        <v>142</v>
      </c>
      <c r="P133">
        <v>36000</v>
      </c>
      <c r="Q133">
        <v>3300</v>
      </c>
      <c r="R133">
        <v>128700</v>
      </c>
      <c r="S133" t="s">
        <v>544</v>
      </c>
      <c r="T133" t="s">
        <v>545</v>
      </c>
      <c r="U133" s="1">
        <f>+_xlfn.XLOOKUP(C133,[1]!ESTADO_CUENTA[ID_CLIENTE],[1]!ESTADO_CUENTA[TOTAL SALDOS],0,0,-1)</f>
        <v>0</v>
      </c>
      <c r="V133" s="1">
        <f>_xlfn.XLOOKUP(C133,[1]!ESTADO_CUENTA[ID_CLIENTE],[1]!ESTADO_CUENTA[TOTAL DEUDAS],0,0,-1)</f>
        <v>200</v>
      </c>
    </row>
    <row r="134" spans="1:22" x14ac:dyDescent="0.25">
      <c r="A134" s="4">
        <v>46079</v>
      </c>
      <c r="B134" t="s">
        <v>32</v>
      </c>
      <c r="C134">
        <v>84</v>
      </c>
      <c r="D134" t="s">
        <v>1369</v>
      </c>
      <c r="E134" t="s">
        <v>327</v>
      </c>
      <c r="G134" t="s">
        <v>328</v>
      </c>
      <c r="H134">
        <v>3153084029</v>
      </c>
      <c r="I134">
        <v>205</v>
      </c>
      <c r="J134">
        <v>205</v>
      </c>
      <c r="K134">
        <v>3075</v>
      </c>
      <c r="L134">
        <v>15</v>
      </c>
      <c r="M134">
        <v>15</v>
      </c>
      <c r="N134">
        <v>46094</v>
      </c>
      <c r="O134">
        <v>84</v>
      </c>
      <c r="P134">
        <v>32666.666666666664</v>
      </c>
      <c r="Q134">
        <v>3075</v>
      </c>
      <c r="R134">
        <v>100450</v>
      </c>
      <c r="S134" t="s">
        <v>329</v>
      </c>
      <c r="T134" t="s">
        <v>330</v>
      </c>
      <c r="U134" s="1">
        <f>+_xlfn.XLOOKUP(C134,[1]!ESTADO_CUENTA[ID_CLIENTE],[1]!ESTADO_CUENTA[TOTAL SALDOS],0,0,-1)</f>
        <v>0</v>
      </c>
      <c r="V134" s="1">
        <f>_xlfn.XLOOKUP(C134,[1]!ESTADO_CUENTA[ID_CLIENTE],[1]!ESTADO_CUENTA[TOTAL DEUDAS],0,0,-1)</f>
        <v>146300</v>
      </c>
    </row>
    <row r="135" spans="1:22" x14ac:dyDescent="0.25">
      <c r="A135" s="4">
        <v>46037</v>
      </c>
      <c r="B135" t="s">
        <v>20</v>
      </c>
      <c r="C135">
        <v>144</v>
      </c>
      <c r="D135" t="s">
        <v>550</v>
      </c>
      <c r="E135" t="s">
        <v>551</v>
      </c>
      <c r="G135" t="s">
        <v>552</v>
      </c>
      <c r="H135">
        <v>3209504332</v>
      </c>
      <c r="I135">
        <v>70</v>
      </c>
      <c r="J135">
        <v>140</v>
      </c>
      <c r="K135">
        <v>2100</v>
      </c>
      <c r="L135">
        <v>30</v>
      </c>
      <c r="M135">
        <v>15</v>
      </c>
      <c r="N135">
        <v>46052</v>
      </c>
      <c r="O135">
        <v>144</v>
      </c>
      <c r="P135">
        <v>41000</v>
      </c>
      <c r="Q135">
        <v>2100</v>
      </c>
      <c r="R135">
        <v>86100</v>
      </c>
      <c r="S135" t="s">
        <v>553</v>
      </c>
      <c r="U135" s="1">
        <f>+_xlfn.XLOOKUP(C135,[1]!ESTADO_CUENTA[ID_CLIENTE],[1]!ESTADO_CUENTA[TOTAL SALDOS],0,0,-1)</f>
        <v>0</v>
      </c>
      <c r="V135" s="1">
        <f>_xlfn.XLOOKUP(C135,[1]!ESTADO_CUENTA[ID_CLIENTE],[1]!ESTADO_CUENTA[TOTAL DEUDAS],0,0,-1)</f>
        <v>0</v>
      </c>
    </row>
    <row r="136" spans="1:22" x14ac:dyDescent="0.25">
      <c r="B136" t="s">
        <v>28</v>
      </c>
      <c r="C136">
        <v>145</v>
      </c>
      <c r="D136" t="s">
        <v>554</v>
      </c>
      <c r="E136" t="s">
        <v>554</v>
      </c>
      <c r="G136" t="s">
        <v>555</v>
      </c>
      <c r="H136">
        <v>3011360508</v>
      </c>
      <c r="I136">
        <v>95</v>
      </c>
      <c r="J136">
        <v>190</v>
      </c>
      <c r="K136">
        <v>1330</v>
      </c>
      <c r="L136">
        <v>14</v>
      </c>
      <c r="M136">
        <v>7</v>
      </c>
      <c r="O136">
        <v>145</v>
      </c>
      <c r="P136">
        <v>7518.7969924812032</v>
      </c>
      <c r="Q136">
        <v>1330</v>
      </c>
      <c r="R136">
        <v>10000</v>
      </c>
      <c r="S136" t="s">
        <v>556</v>
      </c>
      <c r="U136" s="1">
        <f>+_xlfn.XLOOKUP(C136,[1]!ESTADO_CUENTA[ID_CLIENTE],[1]!ESTADO_CUENTA[TOTAL SALDOS],0,0,-1)</f>
        <v>0</v>
      </c>
      <c r="V136" s="1">
        <f>_xlfn.XLOOKUP(C136,[1]!ESTADO_CUENTA[ID_CLIENTE],[1]!ESTADO_CUENTA[TOTAL DEUDAS],0,0,-1)</f>
        <v>0</v>
      </c>
    </row>
    <row r="137" spans="1:22" x14ac:dyDescent="0.25">
      <c r="B137" t="s">
        <v>28</v>
      </c>
      <c r="C137">
        <v>146</v>
      </c>
      <c r="D137" t="s">
        <v>557</v>
      </c>
      <c r="E137" t="s">
        <v>557</v>
      </c>
      <c r="G137" t="s">
        <v>558</v>
      </c>
      <c r="H137">
        <v>3142555974</v>
      </c>
      <c r="I137">
        <v>500</v>
      </c>
      <c r="J137">
        <v>1500</v>
      </c>
      <c r="K137">
        <v>1500</v>
      </c>
      <c r="L137">
        <v>3</v>
      </c>
      <c r="M137">
        <v>1</v>
      </c>
      <c r="O137">
        <v>146</v>
      </c>
      <c r="P137">
        <v>46666.666666666664</v>
      </c>
      <c r="Q137">
        <v>1500</v>
      </c>
      <c r="R137">
        <v>70000</v>
      </c>
      <c r="S137" t="s">
        <v>559</v>
      </c>
      <c r="T137" t="s">
        <v>560</v>
      </c>
      <c r="U137" s="1">
        <f>+_xlfn.XLOOKUP(C137,[1]!ESTADO_CUENTA[ID_CLIENTE],[1]!ESTADO_CUENTA[TOTAL SALDOS],0,0,-1)</f>
        <v>0</v>
      </c>
      <c r="V137" s="1">
        <f>_xlfn.XLOOKUP(C137,[1]!ESTADO_CUENTA[ID_CLIENTE],[1]!ESTADO_CUENTA[TOTAL DEUDAS],0,0,-1)</f>
        <v>0</v>
      </c>
    </row>
    <row r="138" spans="1:22" x14ac:dyDescent="0.25">
      <c r="A138" s="4">
        <v>46042</v>
      </c>
      <c r="B138" t="s">
        <v>20</v>
      </c>
      <c r="C138">
        <v>147</v>
      </c>
      <c r="D138" t="s">
        <v>561</v>
      </c>
      <c r="E138" t="s">
        <v>562</v>
      </c>
      <c r="G138" t="s">
        <v>563</v>
      </c>
      <c r="H138">
        <v>3015619872</v>
      </c>
      <c r="I138">
        <v>58</v>
      </c>
      <c r="J138">
        <v>58</v>
      </c>
      <c r="K138">
        <v>870</v>
      </c>
      <c r="L138">
        <v>15</v>
      </c>
      <c r="M138">
        <v>15</v>
      </c>
      <c r="N138">
        <v>46057</v>
      </c>
      <c r="O138">
        <v>147</v>
      </c>
      <c r="P138">
        <v>55000</v>
      </c>
      <c r="Q138">
        <v>870</v>
      </c>
      <c r="R138">
        <v>47850</v>
      </c>
      <c r="S138" t="s">
        <v>564</v>
      </c>
      <c r="T138" t="s">
        <v>565</v>
      </c>
      <c r="U138" s="1">
        <f>+_xlfn.XLOOKUP(C138,[1]!ESTADO_CUENTA[ID_CLIENTE],[1]!ESTADO_CUENTA[TOTAL SALDOS],0,0,-1)</f>
        <v>0</v>
      </c>
      <c r="V138" s="1">
        <f>_xlfn.XLOOKUP(C138,[1]!ESTADO_CUENTA[ID_CLIENTE],[1]!ESTADO_CUENTA[TOTAL DEUDAS],0,0,-1)</f>
        <v>36000</v>
      </c>
    </row>
    <row r="139" spans="1:22" x14ac:dyDescent="0.25">
      <c r="A139" s="4">
        <v>46073</v>
      </c>
      <c r="B139" t="s">
        <v>32</v>
      </c>
      <c r="C139">
        <v>148</v>
      </c>
      <c r="D139" t="s">
        <v>566</v>
      </c>
      <c r="E139" t="s">
        <v>566</v>
      </c>
      <c r="G139" t="s">
        <v>567</v>
      </c>
      <c r="H139">
        <v>3132549221</v>
      </c>
      <c r="I139">
        <v>210</v>
      </c>
      <c r="J139">
        <v>420</v>
      </c>
      <c r="K139">
        <v>4200</v>
      </c>
      <c r="L139">
        <v>20</v>
      </c>
      <c r="M139">
        <v>10</v>
      </c>
      <c r="N139">
        <v>46083</v>
      </c>
      <c r="O139">
        <v>148</v>
      </c>
      <c r="P139">
        <v>39071.428571428572</v>
      </c>
      <c r="Q139">
        <v>4200</v>
      </c>
      <c r="R139">
        <v>164100</v>
      </c>
      <c r="S139" t="s">
        <v>568</v>
      </c>
      <c r="U139" s="1">
        <f>+_xlfn.XLOOKUP(C139,[1]!ESTADO_CUENTA[ID_CLIENTE],[1]!ESTADO_CUENTA[TOTAL SALDOS],0,0,-1)</f>
        <v>0</v>
      </c>
      <c r="V139" s="1">
        <f>_xlfn.XLOOKUP(C139,[1]!ESTADO_CUENTA[ID_CLIENTE],[1]!ESTADO_CUENTA[TOTAL DEUDAS],0,0,-1)</f>
        <v>0</v>
      </c>
    </row>
    <row r="140" spans="1:22" x14ac:dyDescent="0.25">
      <c r="A140" s="4">
        <v>46069</v>
      </c>
      <c r="B140" t="s">
        <v>32</v>
      </c>
      <c r="C140">
        <v>149</v>
      </c>
      <c r="D140" t="s">
        <v>569</v>
      </c>
      <c r="E140" t="s">
        <v>570</v>
      </c>
      <c r="G140" t="s">
        <v>571</v>
      </c>
      <c r="H140" t="s">
        <v>572</v>
      </c>
      <c r="I140">
        <v>50</v>
      </c>
      <c r="J140">
        <v>150</v>
      </c>
      <c r="K140">
        <v>2250</v>
      </c>
      <c r="L140">
        <v>45</v>
      </c>
      <c r="M140">
        <v>15</v>
      </c>
      <c r="N140">
        <v>46084</v>
      </c>
      <c r="O140">
        <v>149</v>
      </c>
      <c r="P140">
        <v>42000</v>
      </c>
      <c r="Q140">
        <v>2250</v>
      </c>
      <c r="R140">
        <v>94500</v>
      </c>
      <c r="S140" t="s">
        <v>573</v>
      </c>
      <c r="T140" t="s">
        <v>574</v>
      </c>
      <c r="U140" s="1">
        <f>+_xlfn.XLOOKUP(C140,[1]!ESTADO_CUENTA[ID_CLIENTE],[1]!ESTADO_CUENTA[TOTAL SALDOS],0,0,-1)</f>
        <v>0</v>
      </c>
      <c r="V140" s="1">
        <f>_xlfn.XLOOKUP(C140,[1]!ESTADO_CUENTA[ID_CLIENTE],[1]!ESTADO_CUENTA[TOTAL DEUDAS],0,0,-1)</f>
        <v>0</v>
      </c>
    </row>
    <row r="141" spans="1:22" x14ac:dyDescent="0.25">
      <c r="A141" s="4">
        <v>46052</v>
      </c>
      <c r="B141" t="s">
        <v>20</v>
      </c>
      <c r="C141">
        <v>150</v>
      </c>
      <c r="D141" t="s">
        <v>575</v>
      </c>
      <c r="E141" t="s">
        <v>575</v>
      </c>
      <c r="G141" t="s">
        <v>576</v>
      </c>
      <c r="H141">
        <v>3002431647</v>
      </c>
      <c r="I141">
        <v>155</v>
      </c>
      <c r="J141">
        <v>310</v>
      </c>
      <c r="K141">
        <v>4650</v>
      </c>
      <c r="L141">
        <v>30</v>
      </c>
      <c r="M141">
        <v>15</v>
      </c>
      <c r="N141">
        <v>46067</v>
      </c>
      <c r="O141">
        <v>150</v>
      </c>
      <c r="P141">
        <v>35000</v>
      </c>
      <c r="Q141">
        <v>4650</v>
      </c>
      <c r="R141">
        <v>162750</v>
      </c>
      <c r="S141" t="s">
        <v>577</v>
      </c>
      <c r="T141" t="s">
        <v>578</v>
      </c>
      <c r="U141" s="1">
        <f>+_xlfn.XLOOKUP(C141,[1]!ESTADO_CUENTA[ID_CLIENTE],[1]!ESTADO_CUENTA[TOTAL SALDOS],0,0,-1)</f>
        <v>162750</v>
      </c>
      <c r="V141" s="1">
        <f>_xlfn.XLOOKUP(C141,[1]!ESTADO_CUENTA[ID_CLIENTE],[1]!ESTADO_CUENTA[TOTAL DEUDAS],0,0,-1)</f>
        <v>0</v>
      </c>
    </row>
    <row r="142" spans="1:22" x14ac:dyDescent="0.25">
      <c r="B142" t="s">
        <v>28</v>
      </c>
      <c r="C142">
        <v>151</v>
      </c>
      <c r="D142" t="s">
        <v>579</v>
      </c>
      <c r="E142" t="s">
        <v>579</v>
      </c>
      <c r="G142" t="s">
        <v>558</v>
      </c>
      <c r="H142">
        <v>3142555974</v>
      </c>
      <c r="I142">
        <v>90</v>
      </c>
      <c r="J142">
        <v>180</v>
      </c>
      <c r="K142">
        <v>5400</v>
      </c>
      <c r="L142">
        <v>60</v>
      </c>
      <c r="M142">
        <v>30</v>
      </c>
      <c r="O142">
        <v>151</v>
      </c>
      <c r="P142">
        <v>22000</v>
      </c>
      <c r="Q142">
        <v>5400</v>
      </c>
      <c r="R142">
        <v>118800</v>
      </c>
      <c r="S142" t="s">
        <v>559</v>
      </c>
      <c r="T142" t="s">
        <v>580</v>
      </c>
      <c r="U142" s="1">
        <f>+_xlfn.XLOOKUP(C142,[1]!ESTADO_CUENTA[ID_CLIENTE],[1]!ESTADO_CUENTA[TOTAL SALDOS],0,0,-1)</f>
        <v>0</v>
      </c>
      <c r="V142" s="1">
        <f>_xlfn.XLOOKUP(C142,[1]!ESTADO_CUENTA[ID_CLIENTE],[1]!ESTADO_CUENTA[TOTAL DEUDAS],0,0,-1)</f>
        <v>0</v>
      </c>
    </row>
    <row r="143" spans="1:22" x14ac:dyDescent="0.25">
      <c r="A143" s="4">
        <v>46069</v>
      </c>
      <c r="B143" t="s">
        <v>32</v>
      </c>
      <c r="C143">
        <v>152</v>
      </c>
      <c r="D143" t="s">
        <v>581</v>
      </c>
      <c r="E143" t="s">
        <v>581</v>
      </c>
      <c r="G143" t="s">
        <v>582</v>
      </c>
      <c r="H143">
        <v>3158647677</v>
      </c>
      <c r="I143">
        <v>210</v>
      </c>
      <c r="J143">
        <v>210</v>
      </c>
      <c r="K143">
        <v>3150</v>
      </c>
      <c r="L143">
        <v>15</v>
      </c>
      <c r="M143">
        <v>15</v>
      </c>
      <c r="N143">
        <v>46084</v>
      </c>
      <c r="O143">
        <v>152</v>
      </c>
      <c r="P143">
        <v>31714.285714285714</v>
      </c>
      <c r="Q143">
        <v>3150</v>
      </c>
      <c r="R143">
        <v>99900</v>
      </c>
      <c r="S143" t="s">
        <v>583</v>
      </c>
      <c r="T143" t="s">
        <v>584</v>
      </c>
      <c r="U143" s="1">
        <f>+_xlfn.XLOOKUP(C143,[1]!ESTADO_CUENTA[ID_CLIENTE],[1]!ESTADO_CUENTA[TOTAL SALDOS],0,0,-1)</f>
        <v>0</v>
      </c>
      <c r="V143" s="1">
        <f>_xlfn.XLOOKUP(C143,[1]!ESTADO_CUENTA[ID_CLIENTE],[1]!ESTADO_CUENTA[TOTAL DEUDAS],0,0,-1)</f>
        <v>99900</v>
      </c>
    </row>
    <row r="144" spans="1:22" x14ac:dyDescent="0.25">
      <c r="A144" s="4">
        <v>46069</v>
      </c>
      <c r="B144" t="s">
        <v>32</v>
      </c>
      <c r="C144">
        <v>153</v>
      </c>
      <c r="D144" t="s">
        <v>585</v>
      </c>
      <c r="E144" t="s">
        <v>585</v>
      </c>
      <c r="G144" t="s">
        <v>586</v>
      </c>
      <c r="H144">
        <v>3182279041</v>
      </c>
      <c r="I144">
        <v>150</v>
      </c>
      <c r="J144">
        <v>150</v>
      </c>
      <c r="K144">
        <v>2250</v>
      </c>
      <c r="L144">
        <v>15</v>
      </c>
      <c r="M144">
        <v>15</v>
      </c>
      <c r="N144">
        <v>46084</v>
      </c>
      <c r="O144">
        <v>153</v>
      </c>
      <c r="P144">
        <v>30000</v>
      </c>
      <c r="Q144">
        <v>2250</v>
      </c>
      <c r="R144">
        <v>67500</v>
      </c>
      <c r="S144" t="s">
        <v>587</v>
      </c>
      <c r="T144" t="s">
        <v>588</v>
      </c>
      <c r="U144" s="1">
        <f>+_xlfn.XLOOKUP(C144,[1]!ESTADO_CUENTA[ID_CLIENTE],[1]!ESTADO_CUENTA[TOTAL SALDOS],0,0,-1)</f>
        <v>0</v>
      </c>
      <c r="V144" s="1">
        <f>_xlfn.XLOOKUP(C144,[1]!ESTADO_CUENTA[ID_CLIENTE],[1]!ESTADO_CUENTA[TOTAL DEUDAS],0,0,-1)</f>
        <v>0</v>
      </c>
    </row>
    <row r="145" spans="1:22" x14ac:dyDescent="0.25">
      <c r="A145" s="4">
        <v>46059</v>
      </c>
      <c r="B145" t="s">
        <v>32</v>
      </c>
      <c r="C145">
        <v>305</v>
      </c>
      <c r="D145" t="s">
        <v>1370</v>
      </c>
      <c r="E145" t="s">
        <v>1157</v>
      </c>
      <c r="G145" t="s">
        <v>1158</v>
      </c>
      <c r="H145">
        <v>3238165614</v>
      </c>
      <c r="I145">
        <v>230</v>
      </c>
      <c r="J145">
        <v>460</v>
      </c>
      <c r="K145">
        <v>6900</v>
      </c>
      <c r="L145">
        <v>30</v>
      </c>
      <c r="M145">
        <v>15</v>
      </c>
      <c r="N145">
        <v>46074</v>
      </c>
      <c r="O145">
        <v>305</v>
      </c>
      <c r="P145">
        <v>28000</v>
      </c>
      <c r="Q145">
        <v>6900</v>
      </c>
      <c r="R145">
        <v>193200</v>
      </c>
      <c r="S145" t="s">
        <v>1159</v>
      </c>
      <c r="T145" t="s">
        <v>1160</v>
      </c>
      <c r="U145" s="1">
        <f>+_xlfn.XLOOKUP(C145,[1]!ESTADO_CUENTA[ID_CLIENTE],[1]!ESTADO_CUENTA[TOTAL SALDOS],0,0,-1)</f>
        <v>0</v>
      </c>
      <c r="V145" s="1">
        <f>_xlfn.XLOOKUP(C145,[1]!ESTADO_CUENTA[ID_CLIENTE],[1]!ESTADO_CUENTA[TOTAL DEUDAS],0,0,-1)</f>
        <v>0</v>
      </c>
    </row>
    <row r="146" spans="1:22" x14ac:dyDescent="0.25">
      <c r="A146" s="4">
        <v>46066</v>
      </c>
      <c r="B146" t="s">
        <v>32</v>
      </c>
      <c r="C146">
        <v>155</v>
      </c>
      <c r="D146" t="s">
        <v>593</v>
      </c>
      <c r="E146" t="s">
        <v>593</v>
      </c>
      <c r="G146" t="s">
        <v>594</v>
      </c>
      <c r="H146">
        <v>3223299809</v>
      </c>
      <c r="I146">
        <v>85</v>
      </c>
      <c r="J146">
        <v>170</v>
      </c>
      <c r="K146">
        <v>1190</v>
      </c>
      <c r="L146">
        <v>14</v>
      </c>
      <c r="M146">
        <v>7</v>
      </c>
      <c r="N146">
        <v>46073</v>
      </c>
      <c r="O146">
        <v>155</v>
      </c>
      <c r="P146">
        <v>41092.436974789918</v>
      </c>
      <c r="Q146">
        <v>1190</v>
      </c>
      <c r="R146">
        <v>48900</v>
      </c>
      <c r="S146" t="s">
        <v>595</v>
      </c>
      <c r="T146" t="s">
        <v>596</v>
      </c>
      <c r="U146" s="1">
        <f>+_xlfn.XLOOKUP(C146,[1]!ESTADO_CUENTA[ID_CLIENTE],[1]!ESTADO_CUENTA[TOTAL SALDOS],0,0,-1)</f>
        <v>0</v>
      </c>
      <c r="V146" s="1">
        <f>_xlfn.XLOOKUP(C146,[1]!ESTADO_CUENTA[ID_CLIENTE],[1]!ESTADO_CUENTA[TOTAL DEUDAS],0,0,-1)</f>
        <v>0</v>
      </c>
    </row>
    <row r="147" spans="1:22" x14ac:dyDescent="0.25">
      <c r="A147" s="4">
        <v>46066</v>
      </c>
      <c r="B147" t="s">
        <v>32</v>
      </c>
      <c r="C147">
        <v>157</v>
      </c>
      <c r="D147" t="s">
        <v>597</v>
      </c>
      <c r="E147" t="s">
        <v>598</v>
      </c>
      <c r="G147" t="s">
        <v>599</v>
      </c>
      <c r="H147">
        <v>3022930654</v>
      </c>
      <c r="I147">
        <v>70</v>
      </c>
      <c r="J147">
        <v>140</v>
      </c>
      <c r="K147">
        <v>4200</v>
      </c>
      <c r="L147">
        <v>60</v>
      </c>
      <c r="M147">
        <v>30</v>
      </c>
      <c r="N147">
        <v>46096</v>
      </c>
      <c r="O147">
        <v>157</v>
      </c>
      <c r="P147">
        <v>0</v>
      </c>
      <c r="Q147">
        <v>4200</v>
      </c>
      <c r="R147">
        <v>0</v>
      </c>
      <c r="S147" t="s">
        <v>600</v>
      </c>
      <c r="T147" t="s">
        <v>126</v>
      </c>
      <c r="U147" s="1">
        <f>+_xlfn.XLOOKUP(C147,[1]!ESTADO_CUENTA[ID_CLIENTE],[1]!ESTADO_CUENTA[TOTAL SALDOS],0,0,-1)</f>
        <v>0</v>
      </c>
      <c r="V147" s="1">
        <f>_xlfn.XLOOKUP(C147,[1]!ESTADO_CUENTA[ID_CLIENTE],[1]!ESTADO_CUENTA[TOTAL DEUDAS],0,0,-1)</f>
        <v>0</v>
      </c>
    </row>
    <row r="148" spans="1:22" x14ac:dyDescent="0.25">
      <c r="A148" s="4">
        <v>46063</v>
      </c>
      <c r="B148" t="s">
        <v>32</v>
      </c>
      <c r="C148">
        <v>158</v>
      </c>
      <c r="D148" t="s">
        <v>601</v>
      </c>
      <c r="E148" t="s">
        <v>601</v>
      </c>
      <c r="G148" t="s">
        <v>602</v>
      </c>
      <c r="H148">
        <v>3132848302</v>
      </c>
      <c r="I148">
        <v>250</v>
      </c>
      <c r="J148">
        <v>500</v>
      </c>
      <c r="K148">
        <v>15000</v>
      </c>
      <c r="L148">
        <v>60</v>
      </c>
      <c r="M148">
        <v>30</v>
      </c>
      <c r="N148">
        <v>46093</v>
      </c>
      <c r="O148">
        <v>158</v>
      </c>
      <c r="P148">
        <v>26000</v>
      </c>
      <c r="Q148">
        <v>15000</v>
      </c>
      <c r="R148">
        <v>390000</v>
      </c>
      <c r="S148" t="s">
        <v>603</v>
      </c>
      <c r="T148" t="s">
        <v>126</v>
      </c>
      <c r="U148" s="1">
        <f>+_xlfn.XLOOKUP(C148,[1]!ESTADO_CUENTA[ID_CLIENTE],[1]!ESTADO_CUENTA[TOTAL SALDOS],0,0,-1)</f>
        <v>0</v>
      </c>
      <c r="V148" s="1">
        <f>_xlfn.XLOOKUP(C148,[1]!ESTADO_CUENTA[ID_CLIENTE],[1]!ESTADO_CUENTA[TOTAL DEUDAS],0,0,-1)</f>
        <v>390000</v>
      </c>
    </row>
    <row r="149" spans="1:22" x14ac:dyDescent="0.25">
      <c r="A149" s="4">
        <v>46064</v>
      </c>
      <c r="B149" t="s">
        <v>32</v>
      </c>
      <c r="C149">
        <v>1000344</v>
      </c>
      <c r="D149" t="s">
        <v>1371</v>
      </c>
      <c r="E149" t="s">
        <v>1264</v>
      </c>
      <c r="G149" t="s">
        <v>1265</v>
      </c>
      <c r="H149">
        <v>3150555549</v>
      </c>
      <c r="I149">
        <v>270</v>
      </c>
      <c r="J149">
        <v>540</v>
      </c>
      <c r="K149">
        <v>3780</v>
      </c>
      <c r="L149">
        <v>14</v>
      </c>
      <c r="M149">
        <v>7</v>
      </c>
      <c r="N149">
        <v>46071</v>
      </c>
      <c r="O149">
        <v>1000344</v>
      </c>
      <c r="P149">
        <v>22000</v>
      </c>
      <c r="Q149">
        <v>3780</v>
      </c>
      <c r="R149">
        <v>83160</v>
      </c>
      <c r="S149" t="s">
        <v>1266</v>
      </c>
      <c r="U149" s="1">
        <f>+_xlfn.XLOOKUP(C149,[1]!ESTADO_CUENTA[ID_CLIENTE],[1]!ESTADO_CUENTA[TOTAL SALDOS],0,0,-1)</f>
        <v>0</v>
      </c>
      <c r="V149" s="1">
        <f>_xlfn.XLOOKUP(C149,[1]!ESTADO_CUENTA[ID_CLIENTE],[1]!ESTADO_CUENTA[TOTAL DEUDAS],0,0,-1)</f>
        <v>0</v>
      </c>
    </row>
    <row r="150" spans="1:22" x14ac:dyDescent="0.25">
      <c r="B150" t="s">
        <v>28</v>
      </c>
      <c r="C150">
        <v>117</v>
      </c>
      <c r="D150" t="s">
        <v>1372</v>
      </c>
      <c r="E150" t="s">
        <v>453</v>
      </c>
      <c r="G150" t="s">
        <v>454</v>
      </c>
      <c r="H150">
        <v>493608991</v>
      </c>
      <c r="I150">
        <v>100</v>
      </c>
      <c r="J150">
        <v>200</v>
      </c>
      <c r="K150">
        <v>1400</v>
      </c>
      <c r="L150">
        <v>14</v>
      </c>
      <c r="M150">
        <v>7</v>
      </c>
      <c r="O150">
        <v>117</v>
      </c>
      <c r="P150">
        <v>0</v>
      </c>
      <c r="Q150">
        <v>1400</v>
      </c>
      <c r="S150" t="s">
        <v>455</v>
      </c>
      <c r="U150" s="1">
        <f>+_xlfn.XLOOKUP(C150,[1]!ESTADO_CUENTA[ID_CLIENTE],[1]!ESTADO_CUENTA[TOTAL SALDOS],0,0,-1)</f>
        <v>0</v>
      </c>
      <c r="V150" s="1">
        <f>_xlfn.XLOOKUP(C150,[1]!ESTADO_CUENTA[ID_CLIENTE],[1]!ESTADO_CUENTA[TOTAL DEUDAS],0,0,-1)</f>
        <v>0</v>
      </c>
    </row>
    <row r="151" spans="1:22" x14ac:dyDescent="0.25">
      <c r="A151" s="4">
        <v>46059</v>
      </c>
      <c r="B151" t="s">
        <v>32</v>
      </c>
      <c r="C151">
        <v>161</v>
      </c>
      <c r="D151" t="s">
        <v>610</v>
      </c>
      <c r="E151" t="s">
        <v>611</v>
      </c>
      <c r="G151" t="s">
        <v>612</v>
      </c>
      <c r="H151">
        <v>3158943240</v>
      </c>
      <c r="I151">
        <v>165</v>
      </c>
      <c r="J151">
        <v>165</v>
      </c>
      <c r="K151">
        <v>4950</v>
      </c>
      <c r="L151">
        <v>30</v>
      </c>
      <c r="M151">
        <v>30</v>
      </c>
      <c r="N151">
        <v>46089</v>
      </c>
      <c r="O151">
        <v>161</v>
      </c>
      <c r="P151">
        <v>38000</v>
      </c>
      <c r="Q151">
        <v>4950</v>
      </c>
      <c r="R151">
        <v>188100</v>
      </c>
      <c r="S151" t="s">
        <v>613</v>
      </c>
      <c r="T151" t="s">
        <v>614</v>
      </c>
      <c r="U151" s="1">
        <f>+_xlfn.XLOOKUP(C151,[1]!ESTADO_CUENTA[ID_CLIENTE],[1]!ESTADO_CUENTA[TOTAL SALDOS],0,0,-1)</f>
        <v>0</v>
      </c>
      <c r="V151" s="1">
        <f>_xlfn.XLOOKUP(C151,[1]!ESTADO_CUENTA[ID_CLIENTE],[1]!ESTADO_CUENTA[TOTAL DEUDAS],0,0,-1)</f>
        <v>100</v>
      </c>
    </row>
    <row r="152" spans="1:22" x14ac:dyDescent="0.25">
      <c r="A152" s="4">
        <v>46071</v>
      </c>
      <c r="B152" t="s">
        <v>32</v>
      </c>
      <c r="C152">
        <v>162</v>
      </c>
      <c r="D152" t="s">
        <v>615</v>
      </c>
      <c r="E152" t="s">
        <v>615</v>
      </c>
      <c r="G152" t="s">
        <v>616</v>
      </c>
      <c r="H152">
        <v>3155947421</v>
      </c>
      <c r="I152">
        <v>250</v>
      </c>
      <c r="J152">
        <v>250</v>
      </c>
      <c r="K152">
        <v>3750</v>
      </c>
      <c r="L152">
        <v>15</v>
      </c>
      <c r="M152">
        <v>15</v>
      </c>
      <c r="N152">
        <v>46086</v>
      </c>
      <c r="O152">
        <v>162</v>
      </c>
      <c r="P152">
        <v>34000</v>
      </c>
      <c r="Q152">
        <v>3750</v>
      </c>
      <c r="R152">
        <v>127500</v>
      </c>
      <c r="S152" t="s">
        <v>617</v>
      </c>
      <c r="T152" t="s">
        <v>618</v>
      </c>
      <c r="U152" s="1">
        <f>+_xlfn.XLOOKUP(C152,[1]!ESTADO_CUENTA[ID_CLIENTE],[1]!ESTADO_CUENTA[TOTAL SALDOS],0,0,-1)</f>
        <v>0</v>
      </c>
      <c r="V152" s="1">
        <f>_xlfn.XLOOKUP(C152,[1]!ESTADO_CUENTA[ID_CLIENTE],[1]!ESTADO_CUENTA[TOTAL DEUDAS],0,0,-1)</f>
        <v>127500</v>
      </c>
    </row>
    <row r="153" spans="1:22" x14ac:dyDescent="0.25">
      <c r="A153" s="4">
        <v>46056</v>
      </c>
      <c r="B153" t="s">
        <v>32</v>
      </c>
      <c r="C153">
        <v>121</v>
      </c>
      <c r="D153" t="s">
        <v>1373</v>
      </c>
      <c r="E153" t="s">
        <v>468</v>
      </c>
      <c r="G153" t="s">
        <v>469</v>
      </c>
      <c r="H153">
        <v>3008676283</v>
      </c>
      <c r="I153">
        <v>250</v>
      </c>
      <c r="J153">
        <v>500</v>
      </c>
      <c r="K153">
        <v>6000</v>
      </c>
      <c r="L153">
        <v>24</v>
      </c>
      <c r="M153">
        <v>12</v>
      </c>
      <c r="N153">
        <v>46068</v>
      </c>
      <c r="O153">
        <v>121</v>
      </c>
      <c r="P153">
        <v>30000</v>
      </c>
      <c r="Q153">
        <v>6000</v>
      </c>
      <c r="R153">
        <v>180000</v>
      </c>
      <c r="S153" t="s">
        <v>470</v>
      </c>
      <c r="T153" t="s">
        <v>471</v>
      </c>
      <c r="U153" s="1">
        <f>+_xlfn.XLOOKUP(C153,[1]!ESTADO_CUENTA[ID_CLIENTE],[1]!ESTADO_CUENTA[TOTAL SALDOS],0,0,-1)</f>
        <v>0</v>
      </c>
      <c r="V153" s="1">
        <f>_xlfn.XLOOKUP(C153,[1]!ESTADO_CUENTA[ID_CLIENTE],[1]!ESTADO_CUENTA[TOTAL DEUDAS],0,0,-1)</f>
        <v>0</v>
      </c>
    </row>
    <row r="154" spans="1:22" x14ac:dyDescent="0.25">
      <c r="A154" s="4">
        <v>46069</v>
      </c>
      <c r="B154" t="s">
        <v>32</v>
      </c>
      <c r="C154">
        <v>164</v>
      </c>
      <c r="D154" t="s">
        <v>623</v>
      </c>
      <c r="E154" t="s">
        <v>623</v>
      </c>
      <c r="G154" t="s">
        <v>624</v>
      </c>
      <c r="H154">
        <v>3232204888</v>
      </c>
      <c r="I154">
        <v>200</v>
      </c>
      <c r="J154">
        <v>400</v>
      </c>
      <c r="K154">
        <v>2800</v>
      </c>
      <c r="L154">
        <v>14</v>
      </c>
      <c r="M154">
        <v>7</v>
      </c>
      <c r="N154">
        <v>46076</v>
      </c>
      <c r="O154">
        <v>164</v>
      </c>
      <c r="P154">
        <v>39000</v>
      </c>
      <c r="Q154">
        <v>2800</v>
      </c>
      <c r="R154">
        <v>109200</v>
      </c>
      <c r="S154" t="s">
        <v>625</v>
      </c>
      <c r="T154" t="s">
        <v>626</v>
      </c>
      <c r="U154" s="1">
        <f>+_xlfn.XLOOKUP(C154,[1]!ESTADO_CUENTA[ID_CLIENTE],[1]!ESTADO_CUENTA[TOTAL SALDOS],0,0,-1)</f>
        <v>0</v>
      </c>
      <c r="V154" s="1">
        <f>_xlfn.XLOOKUP(C154,[1]!ESTADO_CUENTA[ID_CLIENTE],[1]!ESTADO_CUENTA[TOTAL DEUDAS],0,0,-1)</f>
        <v>0</v>
      </c>
    </row>
    <row r="155" spans="1:22" x14ac:dyDescent="0.25">
      <c r="A155" s="4">
        <v>46070</v>
      </c>
      <c r="B155" t="s">
        <v>32</v>
      </c>
      <c r="C155">
        <v>165</v>
      </c>
      <c r="D155" t="s">
        <v>627</v>
      </c>
      <c r="E155" t="s">
        <v>628</v>
      </c>
      <c r="G155" t="s">
        <v>629</v>
      </c>
      <c r="H155">
        <v>3054066396</v>
      </c>
      <c r="I155">
        <v>150</v>
      </c>
      <c r="J155">
        <v>300</v>
      </c>
      <c r="K155">
        <v>4500</v>
      </c>
      <c r="L155">
        <v>30</v>
      </c>
      <c r="M155">
        <v>15</v>
      </c>
      <c r="N155">
        <v>46085</v>
      </c>
      <c r="O155">
        <v>165</v>
      </c>
      <c r="P155">
        <v>19000</v>
      </c>
      <c r="Q155">
        <v>4500</v>
      </c>
      <c r="R155">
        <v>85500</v>
      </c>
      <c r="S155" t="s">
        <v>630</v>
      </c>
      <c r="T155" t="s">
        <v>631</v>
      </c>
      <c r="U155" s="1">
        <f>+_xlfn.XLOOKUP(C155,[1]!ESTADO_CUENTA[ID_CLIENTE],[1]!ESTADO_CUENTA[TOTAL SALDOS],0,0,-1)</f>
        <v>0</v>
      </c>
      <c r="V155" s="1">
        <f>_xlfn.XLOOKUP(C155,[1]!ESTADO_CUENTA[ID_CLIENTE],[1]!ESTADO_CUENTA[TOTAL DEUDAS],0,0,-1)</f>
        <v>0</v>
      </c>
    </row>
    <row r="156" spans="1:22" x14ac:dyDescent="0.25">
      <c r="B156" t="s">
        <v>28</v>
      </c>
      <c r="C156">
        <v>166</v>
      </c>
      <c r="D156" t="s">
        <v>632</v>
      </c>
      <c r="E156" t="s">
        <v>633</v>
      </c>
      <c r="G156" t="s">
        <v>634</v>
      </c>
      <c r="H156">
        <v>3014259952</v>
      </c>
      <c r="I156">
        <v>45</v>
      </c>
      <c r="J156">
        <v>90</v>
      </c>
      <c r="K156">
        <v>630</v>
      </c>
      <c r="L156">
        <v>14</v>
      </c>
      <c r="M156">
        <v>7</v>
      </c>
      <c r="O156">
        <v>166</v>
      </c>
      <c r="P156">
        <v>15873.015873015873</v>
      </c>
      <c r="Q156">
        <v>630</v>
      </c>
      <c r="R156">
        <v>10000</v>
      </c>
      <c r="S156" t="s">
        <v>635</v>
      </c>
      <c r="U156" s="1">
        <f>+_xlfn.XLOOKUP(C156,[1]!ESTADO_CUENTA[ID_CLIENTE],[1]!ESTADO_CUENTA[TOTAL SALDOS],0,0,-1)</f>
        <v>0</v>
      </c>
      <c r="V156" s="1">
        <f>_xlfn.XLOOKUP(C156,[1]!ESTADO_CUENTA[ID_CLIENTE],[1]!ESTADO_CUENTA[TOTAL DEUDAS],0,0,-1)</f>
        <v>0</v>
      </c>
    </row>
    <row r="157" spans="1:22" x14ac:dyDescent="0.25">
      <c r="A157" s="4">
        <v>46073</v>
      </c>
      <c r="B157" t="s">
        <v>32</v>
      </c>
      <c r="C157">
        <v>167</v>
      </c>
      <c r="D157" t="s">
        <v>636</v>
      </c>
      <c r="E157" t="s">
        <v>637</v>
      </c>
      <c r="G157" t="s">
        <v>638</v>
      </c>
      <c r="H157">
        <v>3124784496</v>
      </c>
      <c r="I157">
        <v>100</v>
      </c>
      <c r="J157">
        <v>200</v>
      </c>
      <c r="K157">
        <v>3000</v>
      </c>
      <c r="L157">
        <v>30</v>
      </c>
      <c r="M157">
        <v>15</v>
      </c>
      <c r="N157">
        <v>46088</v>
      </c>
      <c r="O157">
        <v>167</v>
      </c>
      <c r="P157">
        <v>42000</v>
      </c>
      <c r="Q157">
        <v>3000</v>
      </c>
      <c r="R157">
        <v>126000</v>
      </c>
      <c r="S157" t="s">
        <v>639</v>
      </c>
      <c r="T157" t="s">
        <v>640</v>
      </c>
      <c r="U157" s="1">
        <f>+_xlfn.XLOOKUP(C157,[1]!ESTADO_CUENTA[ID_CLIENTE],[1]!ESTADO_CUENTA[TOTAL SALDOS],0,0,-1)</f>
        <v>0</v>
      </c>
      <c r="V157" s="1">
        <f>_xlfn.XLOOKUP(C157,[1]!ESTADO_CUENTA[ID_CLIENTE],[1]!ESTADO_CUENTA[TOTAL DEUDAS],0,0,-1)</f>
        <v>0</v>
      </c>
    </row>
    <row r="158" spans="1:22" x14ac:dyDescent="0.25">
      <c r="A158" s="4">
        <v>46049</v>
      </c>
      <c r="B158" t="s">
        <v>20</v>
      </c>
      <c r="C158">
        <v>168</v>
      </c>
      <c r="D158" t="s">
        <v>641</v>
      </c>
      <c r="E158" t="s">
        <v>641</v>
      </c>
      <c r="F158" t="s">
        <v>164</v>
      </c>
      <c r="G158" t="s">
        <v>642</v>
      </c>
      <c r="H158">
        <v>3125933078</v>
      </c>
      <c r="I158">
        <v>131</v>
      </c>
      <c r="J158">
        <v>131</v>
      </c>
      <c r="K158">
        <v>1965</v>
      </c>
      <c r="L158">
        <v>15</v>
      </c>
      <c r="M158">
        <v>15</v>
      </c>
      <c r="N158">
        <v>46064</v>
      </c>
      <c r="O158">
        <v>168</v>
      </c>
      <c r="P158">
        <v>40000</v>
      </c>
      <c r="Q158">
        <v>1965</v>
      </c>
      <c r="R158">
        <v>78600</v>
      </c>
      <c r="S158" t="s">
        <v>643</v>
      </c>
      <c r="T158" t="s">
        <v>644</v>
      </c>
      <c r="U158" s="1">
        <f>+_xlfn.XLOOKUP(C158,[1]!ESTADO_CUENTA[ID_CLIENTE],[1]!ESTADO_CUENTA[TOTAL SALDOS],0,0,-1)</f>
        <v>0</v>
      </c>
      <c r="V158" s="1">
        <f>_xlfn.XLOOKUP(C158,[1]!ESTADO_CUENTA[ID_CLIENTE],[1]!ESTADO_CUENTA[TOTAL DEUDAS],0,0,-1)</f>
        <v>78600</v>
      </c>
    </row>
    <row r="159" spans="1:22" x14ac:dyDescent="0.25">
      <c r="B159" t="s">
        <v>28</v>
      </c>
      <c r="C159">
        <v>170</v>
      </c>
      <c r="D159" t="s">
        <v>645</v>
      </c>
      <c r="E159" t="s">
        <v>645</v>
      </c>
      <c r="G159" t="s">
        <v>646</v>
      </c>
      <c r="H159">
        <v>3004999882</v>
      </c>
      <c r="I159">
        <v>40</v>
      </c>
      <c r="J159">
        <v>40</v>
      </c>
      <c r="K159">
        <v>280</v>
      </c>
      <c r="L159">
        <v>7</v>
      </c>
      <c r="M159">
        <v>7</v>
      </c>
      <c r="O159">
        <v>170</v>
      </c>
      <c r="P159">
        <v>35714.285714285717</v>
      </c>
      <c r="Q159">
        <v>280</v>
      </c>
      <c r="R159">
        <v>10000</v>
      </c>
      <c r="S159" t="s">
        <v>647</v>
      </c>
      <c r="U159" s="1">
        <f>+_xlfn.XLOOKUP(C159,[1]!ESTADO_CUENTA[ID_CLIENTE],[1]!ESTADO_CUENTA[TOTAL SALDOS],0,0,-1)</f>
        <v>0</v>
      </c>
      <c r="V159" s="1">
        <f>_xlfn.XLOOKUP(C159,[1]!ESTADO_CUENTA[ID_CLIENTE],[1]!ESTADO_CUENTA[TOTAL DEUDAS],0,0,-1)</f>
        <v>0</v>
      </c>
    </row>
    <row r="160" spans="1:22" x14ac:dyDescent="0.25">
      <c r="A160" s="4">
        <v>46045</v>
      </c>
      <c r="B160" t="s">
        <v>20</v>
      </c>
      <c r="C160">
        <v>171</v>
      </c>
      <c r="D160" t="s">
        <v>648</v>
      </c>
      <c r="E160" t="s">
        <v>648</v>
      </c>
      <c r="G160" t="s">
        <v>649</v>
      </c>
      <c r="H160">
        <v>3197167416</v>
      </c>
      <c r="I160">
        <v>215</v>
      </c>
      <c r="J160">
        <v>430</v>
      </c>
      <c r="K160">
        <v>6450</v>
      </c>
      <c r="L160">
        <v>30</v>
      </c>
      <c r="M160">
        <v>15</v>
      </c>
      <c r="N160">
        <v>46060</v>
      </c>
      <c r="O160">
        <v>171</v>
      </c>
      <c r="P160">
        <v>34000</v>
      </c>
      <c r="Q160">
        <v>6450</v>
      </c>
      <c r="R160">
        <v>219300</v>
      </c>
      <c r="S160" t="s">
        <v>650</v>
      </c>
      <c r="T160" t="s">
        <v>651</v>
      </c>
      <c r="U160" s="1">
        <f>+_xlfn.XLOOKUP(C160,[1]!ESTADO_CUENTA[ID_CLIENTE],[1]!ESTADO_CUENTA[TOTAL SALDOS],0,0,-1)</f>
        <v>0</v>
      </c>
      <c r="V160" s="1">
        <f>_xlfn.XLOOKUP(C160,[1]!ESTADO_CUENTA[ID_CLIENTE],[1]!ESTADO_CUENTA[TOTAL DEUDAS],0,0,-1)</f>
        <v>0</v>
      </c>
    </row>
    <row r="161" spans="1:22" x14ac:dyDescent="0.25">
      <c r="A161" s="4">
        <v>46038</v>
      </c>
      <c r="B161" t="s">
        <v>20</v>
      </c>
      <c r="C161">
        <v>172</v>
      </c>
      <c r="D161" t="s">
        <v>652</v>
      </c>
      <c r="E161" t="s">
        <v>652</v>
      </c>
      <c r="G161" t="s">
        <v>653</v>
      </c>
      <c r="H161">
        <v>3118065313</v>
      </c>
      <c r="I161">
        <v>1000</v>
      </c>
      <c r="J161">
        <v>1000</v>
      </c>
      <c r="K161">
        <v>1000</v>
      </c>
      <c r="L161">
        <v>1</v>
      </c>
      <c r="M161">
        <v>1</v>
      </c>
      <c r="N161">
        <v>46039</v>
      </c>
      <c r="O161">
        <v>172</v>
      </c>
      <c r="P161">
        <v>57000</v>
      </c>
      <c r="Q161">
        <v>1000</v>
      </c>
      <c r="R161">
        <v>57000</v>
      </c>
      <c r="S161" t="s">
        <v>654</v>
      </c>
      <c r="U161" s="1">
        <f>+_xlfn.XLOOKUP(C161,[1]!ESTADO_CUENTA[ID_CLIENTE],[1]!ESTADO_CUENTA[TOTAL SALDOS],0,0,-1)</f>
        <v>0</v>
      </c>
      <c r="V161" s="1">
        <f>_xlfn.XLOOKUP(C161,[1]!ESTADO_CUENTA[ID_CLIENTE],[1]!ESTADO_CUENTA[TOTAL DEUDAS],0,0,-1)</f>
        <v>0</v>
      </c>
    </row>
    <row r="162" spans="1:22" x14ac:dyDescent="0.25">
      <c r="B162" t="s">
        <v>28</v>
      </c>
      <c r="C162">
        <v>173</v>
      </c>
      <c r="D162" t="s">
        <v>655</v>
      </c>
      <c r="E162" t="s">
        <v>656</v>
      </c>
      <c r="G162" t="s">
        <v>657</v>
      </c>
      <c r="H162">
        <v>3204999066</v>
      </c>
      <c r="I162">
        <v>75</v>
      </c>
      <c r="J162">
        <v>150</v>
      </c>
      <c r="K162">
        <v>4500</v>
      </c>
      <c r="L162">
        <v>60</v>
      </c>
      <c r="M162">
        <v>30</v>
      </c>
      <c r="O162">
        <v>173</v>
      </c>
      <c r="P162">
        <v>38666.666666666664</v>
      </c>
      <c r="Q162">
        <v>4500</v>
      </c>
      <c r="R162">
        <v>174000</v>
      </c>
      <c r="S162" t="s">
        <v>658</v>
      </c>
      <c r="U162" s="1">
        <f>+_xlfn.XLOOKUP(C162,[1]!ESTADO_CUENTA[ID_CLIENTE],[1]!ESTADO_CUENTA[TOTAL SALDOS],0,0,-1)</f>
        <v>0</v>
      </c>
      <c r="V162" s="1">
        <f>_xlfn.XLOOKUP(C162,[1]!ESTADO_CUENTA[ID_CLIENTE],[1]!ESTADO_CUENTA[TOTAL DEUDAS],0,0,-1)</f>
        <v>0</v>
      </c>
    </row>
    <row r="163" spans="1:22" x14ac:dyDescent="0.25">
      <c r="B163" t="s">
        <v>28</v>
      </c>
      <c r="C163">
        <v>174</v>
      </c>
      <c r="D163" t="s">
        <v>659</v>
      </c>
      <c r="E163" t="s">
        <v>659</v>
      </c>
      <c r="G163" t="s">
        <v>660</v>
      </c>
      <c r="H163">
        <v>3175270866</v>
      </c>
      <c r="I163">
        <v>160</v>
      </c>
      <c r="J163">
        <v>160</v>
      </c>
      <c r="K163">
        <v>2400</v>
      </c>
      <c r="L163">
        <v>15</v>
      </c>
      <c r="M163">
        <v>15</v>
      </c>
      <c r="O163">
        <v>174</v>
      </c>
      <c r="P163">
        <v>29000</v>
      </c>
      <c r="Q163">
        <v>2400</v>
      </c>
      <c r="R163">
        <v>69600</v>
      </c>
      <c r="S163" t="s">
        <v>661</v>
      </c>
      <c r="T163" t="s">
        <v>662</v>
      </c>
      <c r="U163" s="1">
        <f>+_xlfn.XLOOKUP(C163,[1]!ESTADO_CUENTA[ID_CLIENTE],[1]!ESTADO_CUENTA[TOTAL SALDOS],0,0,-1)</f>
        <v>0</v>
      </c>
      <c r="V163" s="1">
        <f>_xlfn.XLOOKUP(C163,[1]!ESTADO_CUENTA[ID_CLIENTE],[1]!ESTADO_CUENTA[TOTAL DEUDAS],0,0,-1)</f>
        <v>0</v>
      </c>
    </row>
    <row r="164" spans="1:22" x14ac:dyDescent="0.25">
      <c r="A164" s="4">
        <v>46073</v>
      </c>
      <c r="B164" t="s">
        <v>32</v>
      </c>
      <c r="C164">
        <v>175</v>
      </c>
      <c r="D164" t="s">
        <v>663</v>
      </c>
      <c r="E164" t="s">
        <v>664</v>
      </c>
      <c r="G164" t="s">
        <v>665</v>
      </c>
      <c r="H164" t="s">
        <v>666</v>
      </c>
      <c r="I164">
        <v>35</v>
      </c>
      <c r="J164">
        <v>105</v>
      </c>
      <c r="K164">
        <v>1575</v>
      </c>
      <c r="L164">
        <v>45</v>
      </c>
      <c r="M164">
        <v>15</v>
      </c>
      <c r="N164">
        <v>46088</v>
      </c>
      <c r="O164">
        <v>175</v>
      </c>
      <c r="P164">
        <v>52000</v>
      </c>
      <c r="Q164">
        <v>1575</v>
      </c>
      <c r="R164">
        <v>81900</v>
      </c>
      <c r="S164" t="s">
        <v>667</v>
      </c>
      <c r="T164" t="s">
        <v>668</v>
      </c>
      <c r="U164" s="1">
        <f>+_xlfn.XLOOKUP(C164,[1]!ESTADO_CUENTA[ID_CLIENTE],[1]!ESTADO_CUENTA[TOTAL SALDOS],0,0,-1)</f>
        <v>107600</v>
      </c>
      <c r="V164" s="1">
        <f>_xlfn.XLOOKUP(C164,[1]!ESTADO_CUENTA[ID_CLIENTE],[1]!ESTADO_CUENTA[TOTAL DEUDAS],0,0,-1)</f>
        <v>0</v>
      </c>
    </row>
    <row r="165" spans="1:22" x14ac:dyDescent="0.25">
      <c r="A165" s="4">
        <v>46062</v>
      </c>
      <c r="B165" t="s">
        <v>32</v>
      </c>
      <c r="C165">
        <v>176</v>
      </c>
      <c r="D165" t="s">
        <v>669</v>
      </c>
      <c r="E165" t="s">
        <v>669</v>
      </c>
      <c r="G165" t="s">
        <v>670</v>
      </c>
      <c r="H165">
        <v>3118404563</v>
      </c>
      <c r="I165">
        <v>450</v>
      </c>
      <c r="J165">
        <v>450</v>
      </c>
      <c r="K165">
        <v>13500</v>
      </c>
      <c r="L165">
        <v>30</v>
      </c>
      <c r="M165">
        <v>30</v>
      </c>
      <c r="N165">
        <v>46092</v>
      </c>
      <c r="O165">
        <v>176</v>
      </c>
      <c r="P165">
        <v>33000</v>
      </c>
      <c r="Q165">
        <v>13500</v>
      </c>
      <c r="R165">
        <v>445500</v>
      </c>
      <c r="S165" t="s">
        <v>671</v>
      </c>
      <c r="T165" t="s">
        <v>672</v>
      </c>
      <c r="U165" s="1">
        <f>+_xlfn.XLOOKUP(C165,[1]!ESTADO_CUENTA[ID_CLIENTE],[1]!ESTADO_CUENTA[TOTAL SALDOS],0,0,-1)</f>
        <v>0</v>
      </c>
      <c r="V165" s="1">
        <f>_xlfn.XLOOKUP(C165,[1]!ESTADO_CUENTA[ID_CLIENTE],[1]!ESTADO_CUENTA[TOTAL DEUDAS],0,0,-1)</f>
        <v>0</v>
      </c>
    </row>
    <row r="166" spans="1:22" x14ac:dyDescent="0.25">
      <c r="A166" s="4">
        <v>46065</v>
      </c>
      <c r="B166" t="s">
        <v>32</v>
      </c>
      <c r="C166">
        <v>177</v>
      </c>
      <c r="D166" t="s">
        <v>673</v>
      </c>
      <c r="E166" t="s">
        <v>673</v>
      </c>
      <c r="G166" t="s">
        <v>674</v>
      </c>
      <c r="H166">
        <v>3213564596</v>
      </c>
      <c r="I166">
        <v>350</v>
      </c>
      <c r="J166">
        <v>350</v>
      </c>
      <c r="K166">
        <v>4900</v>
      </c>
      <c r="L166">
        <v>14</v>
      </c>
      <c r="M166">
        <v>14</v>
      </c>
      <c r="N166">
        <v>46079</v>
      </c>
      <c r="O166">
        <v>177</v>
      </c>
      <c r="P166">
        <v>26000</v>
      </c>
      <c r="Q166">
        <v>4900</v>
      </c>
      <c r="R166">
        <v>127400</v>
      </c>
      <c r="S166" t="s">
        <v>675</v>
      </c>
      <c r="T166" t="s">
        <v>676</v>
      </c>
      <c r="U166" s="1">
        <f>+_xlfn.XLOOKUP(C166,[1]!ESTADO_CUENTA[ID_CLIENTE],[1]!ESTADO_CUENTA[TOTAL SALDOS],0,0,-1)</f>
        <v>0</v>
      </c>
      <c r="V166" s="1">
        <f>_xlfn.XLOOKUP(C166,[1]!ESTADO_CUENTA[ID_CLIENTE],[1]!ESTADO_CUENTA[TOTAL DEUDAS],0,0,-1)</f>
        <v>0</v>
      </c>
    </row>
    <row r="167" spans="1:22" x14ac:dyDescent="0.25">
      <c r="A167" s="4">
        <v>46059</v>
      </c>
      <c r="B167" t="s">
        <v>32</v>
      </c>
      <c r="C167">
        <v>178</v>
      </c>
      <c r="D167" t="s">
        <v>677</v>
      </c>
      <c r="E167" t="s">
        <v>677</v>
      </c>
      <c r="G167" t="s">
        <v>678</v>
      </c>
      <c r="H167">
        <v>3214792026</v>
      </c>
      <c r="I167">
        <v>200</v>
      </c>
      <c r="J167">
        <v>200</v>
      </c>
      <c r="K167">
        <v>3000</v>
      </c>
      <c r="L167">
        <v>15</v>
      </c>
      <c r="M167">
        <v>15</v>
      </c>
      <c r="N167">
        <v>46074</v>
      </c>
      <c r="O167">
        <v>178</v>
      </c>
      <c r="P167">
        <v>30000</v>
      </c>
      <c r="Q167">
        <v>3000</v>
      </c>
      <c r="R167">
        <v>90000</v>
      </c>
      <c r="S167" t="s">
        <v>679</v>
      </c>
      <c r="T167" t="s">
        <v>680</v>
      </c>
      <c r="U167" s="1">
        <f>+_xlfn.XLOOKUP(C167,[1]!ESTADO_CUENTA[ID_CLIENTE],[1]!ESTADO_CUENTA[TOTAL SALDOS],0,0,-1)</f>
        <v>0</v>
      </c>
      <c r="V167" s="1">
        <f>_xlfn.XLOOKUP(C167,[1]!ESTADO_CUENTA[ID_CLIENTE],[1]!ESTADO_CUENTA[TOTAL DEUDAS],0,0,-1)</f>
        <v>141000</v>
      </c>
    </row>
    <row r="168" spans="1:22" x14ac:dyDescent="0.25">
      <c r="A168" s="4">
        <v>46069</v>
      </c>
      <c r="B168" t="s">
        <v>32</v>
      </c>
      <c r="C168">
        <v>179</v>
      </c>
      <c r="D168" t="s">
        <v>681</v>
      </c>
      <c r="E168" t="s">
        <v>681</v>
      </c>
      <c r="G168" t="s">
        <v>682</v>
      </c>
      <c r="H168">
        <v>3146640759</v>
      </c>
      <c r="I168">
        <v>110</v>
      </c>
      <c r="J168">
        <v>220</v>
      </c>
      <c r="K168">
        <v>3300</v>
      </c>
      <c r="L168">
        <v>30</v>
      </c>
      <c r="M168">
        <v>15</v>
      </c>
      <c r="N168">
        <v>46084</v>
      </c>
      <c r="O168">
        <v>179</v>
      </c>
      <c r="P168">
        <v>38000</v>
      </c>
      <c r="Q168">
        <v>3300</v>
      </c>
      <c r="R168">
        <v>125400</v>
      </c>
      <c r="S168" t="s">
        <v>683</v>
      </c>
      <c r="T168" t="s">
        <v>684</v>
      </c>
      <c r="U168" s="1">
        <f>+_xlfn.XLOOKUP(C168,[1]!ESTADO_CUENTA[ID_CLIENTE],[1]!ESTADO_CUENTA[TOTAL SALDOS],0,0,-1)</f>
        <v>0</v>
      </c>
      <c r="V168" s="1">
        <f>_xlfn.XLOOKUP(C168,[1]!ESTADO_CUENTA[ID_CLIENTE],[1]!ESTADO_CUENTA[TOTAL DEUDAS],0,0,-1)</f>
        <v>0</v>
      </c>
    </row>
    <row r="169" spans="1:22" x14ac:dyDescent="0.25">
      <c r="A169" s="4">
        <v>46073</v>
      </c>
      <c r="B169" t="s">
        <v>32</v>
      </c>
      <c r="C169">
        <v>180</v>
      </c>
      <c r="D169" t="s">
        <v>685</v>
      </c>
      <c r="E169" t="s">
        <v>685</v>
      </c>
      <c r="G169" t="s">
        <v>686</v>
      </c>
      <c r="H169">
        <v>3215752195</v>
      </c>
      <c r="I169">
        <v>180</v>
      </c>
      <c r="J169">
        <v>360</v>
      </c>
      <c r="K169">
        <v>5400</v>
      </c>
      <c r="L169">
        <v>30</v>
      </c>
      <c r="M169">
        <v>15</v>
      </c>
      <c r="N169">
        <v>46088</v>
      </c>
      <c r="O169">
        <v>180</v>
      </c>
      <c r="P169">
        <v>25185.185185185182</v>
      </c>
      <c r="Q169">
        <v>5400</v>
      </c>
      <c r="R169">
        <v>136000</v>
      </c>
      <c r="S169" t="s">
        <v>687</v>
      </c>
      <c r="T169" t="s">
        <v>688</v>
      </c>
      <c r="U169" s="1">
        <f>+_xlfn.XLOOKUP(C169,[1]!ESTADO_CUENTA[ID_CLIENTE],[1]!ESTADO_CUENTA[TOTAL SALDOS],0,0,-1)</f>
        <v>0</v>
      </c>
      <c r="V169" s="1">
        <f>_xlfn.XLOOKUP(C169,[1]!ESTADO_CUENTA[ID_CLIENTE],[1]!ESTADO_CUENTA[TOTAL DEUDAS],0,0,-1)</f>
        <v>0</v>
      </c>
    </row>
    <row r="170" spans="1:22" x14ac:dyDescent="0.25">
      <c r="A170" s="4">
        <v>46066</v>
      </c>
      <c r="B170" t="s">
        <v>32</v>
      </c>
      <c r="C170">
        <v>181</v>
      </c>
      <c r="D170" t="s">
        <v>689</v>
      </c>
      <c r="E170" t="s">
        <v>690</v>
      </c>
      <c r="G170" t="s">
        <v>691</v>
      </c>
      <c r="H170">
        <v>3165157961</v>
      </c>
      <c r="I170">
        <v>230</v>
      </c>
      <c r="J170">
        <v>230</v>
      </c>
      <c r="K170">
        <v>3450</v>
      </c>
      <c r="L170">
        <v>15</v>
      </c>
      <c r="M170">
        <v>15</v>
      </c>
      <c r="N170">
        <v>46081</v>
      </c>
      <c r="O170">
        <v>181</v>
      </c>
      <c r="P170">
        <v>34000</v>
      </c>
      <c r="Q170">
        <v>3450</v>
      </c>
      <c r="R170">
        <v>117300</v>
      </c>
      <c r="S170" t="s">
        <v>692</v>
      </c>
      <c r="T170" t="s">
        <v>693</v>
      </c>
      <c r="U170" s="1">
        <f>+_xlfn.XLOOKUP(C170,[1]!ESTADO_CUENTA[ID_CLIENTE],[1]!ESTADO_CUENTA[TOTAL SALDOS],0,0,-1)</f>
        <v>0</v>
      </c>
      <c r="V170" s="1">
        <f>_xlfn.XLOOKUP(C170,[1]!ESTADO_CUENTA[ID_CLIENTE],[1]!ESTADO_CUENTA[TOTAL DEUDAS],0,0,-1)</f>
        <v>0</v>
      </c>
    </row>
    <row r="171" spans="1:22" x14ac:dyDescent="0.25">
      <c r="A171" s="4">
        <v>46070</v>
      </c>
      <c r="B171" t="s">
        <v>32</v>
      </c>
      <c r="C171">
        <v>182</v>
      </c>
      <c r="D171" t="s">
        <v>694</v>
      </c>
      <c r="E171" t="s">
        <v>695</v>
      </c>
      <c r="G171" t="s">
        <v>696</v>
      </c>
      <c r="H171">
        <v>3003622282</v>
      </c>
      <c r="I171">
        <v>60</v>
      </c>
      <c r="J171">
        <v>180</v>
      </c>
      <c r="K171">
        <v>2700</v>
      </c>
      <c r="L171">
        <v>45</v>
      </c>
      <c r="M171">
        <v>15</v>
      </c>
      <c r="N171">
        <v>46085</v>
      </c>
      <c r="O171">
        <v>182</v>
      </c>
      <c r="P171">
        <v>40185.185185185182</v>
      </c>
      <c r="Q171">
        <v>2700</v>
      </c>
      <c r="R171">
        <v>108500</v>
      </c>
      <c r="S171" t="s">
        <v>697</v>
      </c>
      <c r="T171" t="s">
        <v>698</v>
      </c>
      <c r="U171" s="1">
        <f>+_xlfn.XLOOKUP(C171,[1]!ESTADO_CUENTA[ID_CLIENTE],[1]!ESTADO_CUENTA[TOTAL SALDOS],0,0,-1)</f>
        <v>0</v>
      </c>
      <c r="V171" s="1">
        <f>_xlfn.XLOOKUP(C171,[1]!ESTADO_CUENTA[ID_CLIENTE],[1]!ESTADO_CUENTA[TOTAL DEUDAS],0,0,-1)</f>
        <v>217000</v>
      </c>
    </row>
    <row r="172" spans="1:22" x14ac:dyDescent="0.25">
      <c r="A172" s="4">
        <v>46062</v>
      </c>
      <c r="B172" t="s">
        <v>32</v>
      </c>
      <c r="C172">
        <v>183</v>
      </c>
      <c r="D172" t="s">
        <v>699</v>
      </c>
      <c r="E172" t="s">
        <v>699</v>
      </c>
      <c r="G172" t="s">
        <v>700</v>
      </c>
      <c r="H172">
        <v>3125248122</v>
      </c>
      <c r="I172">
        <v>100</v>
      </c>
      <c r="J172">
        <v>300</v>
      </c>
      <c r="K172">
        <v>2100</v>
      </c>
      <c r="L172">
        <v>21</v>
      </c>
      <c r="M172">
        <v>7</v>
      </c>
      <c r="N172">
        <v>46069</v>
      </c>
      <c r="O172">
        <v>183</v>
      </c>
      <c r="P172">
        <v>34000</v>
      </c>
      <c r="Q172">
        <v>2100</v>
      </c>
      <c r="R172">
        <v>71400</v>
      </c>
      <c r="S172" t="s">
        <v>701</v>
      </c>
      <c r="T172" t="s">
        <v>702</v>
      </c>
      <c r="U172" s="1">
        <f>+_xlfn.XLOOKUP(C172,[1]!ESTADO_CUENTA[ID_CLIENTE],[1]!ESTADO_CUENTA[TOTAL SALDOS],0,0,-1)</f>
        <v>0</v>
      </c>
      <c r="V172" s="1">
        <f>_xlfn.XLOOKUP(C172,[1]!ESTADO_CUENTA[ID_CLIENTE],[1]!ESTADO_CUENTA[TOTAL DEUDAS],0,0,-1)</f>
        <v>0</v>
      </c>
    </row>
    <row r="173" spans="1:22" x14ac:dyDescent="0.25">
      <c r="B173" t="s">
        <v>28</v>
      </c>
      <c r="C173">
        <v>184</v>
      </c>
      <c r="D173" t="s">
        <v>703</v>
      </c>
      <c r="E173" t="s">
        <v>703</v>
      </c>
      <c r="G173" t="s">
        <v>704</v>
      </c>
      <c r="H173">
        <v>3186910791</v>
      </c>
      <c r="I173">
        <v>200</v>
      </c>
      <c r="J173">
        <v>400</v>
      </c>
      <c r="K173">
        <v>6000</v>
      </c>
      <c r="L173">
        <v>30</v>
      </c>
      <c r="M173">
        <v>15</v>
      </c>
      <c r="O173">
        <v>184</v>
      </c>
      <c r="P173">
        <v>36000</v>
      </c>
      <c r="Q173">
        <v>6000</v>
      </c>
      <c r="R173">
        <v>216000</v>
      </c>
      <c r="S173" t="s">
        <v>705</v>
      </c>
      <c r="T173" t="s">
        <v>706</v>
      </c>
      <c r="U173" s="1">
        <f>+_xlfn.XLOOKUP(C173,[1]!ESTADO_CUENTA[ID_CLIENTE],[1]!ESTADO_CUENTA[TOTAL SALDOS],0,0,-1)</f>
        <v>0</v>
      </c>
      <c r="V173" s="1">
        <f>_xlfn.XLOOKUP(C173,[1]!ESTADO_CUENTA[ID_CLIENTE],[1]!ESTADO_CUENTA[TOTAL DEUDAS],0,0,-1)</f>
        <v>0</v>
      </c>
    </row>
    <row r="174" spans="1:22" x14ac:dyDescent="0.25">
      <c r="A174" s="4">
        <v>46070</v>
      </c>
      <c r="B174" t="s">
        <v>32</v>
      </c>
      <c r="C174">
        <v>185</v>
      </c>
      <c r="D174" t="s">
        <v>707</v>
      </c>
      <c r="E174" t="s">
        <v>707</v>
      </c>
      <c r="G174" t="s">
        <v>708</v>
      </c>
      <c r="H174">
        <v>3106848762</v>
      </c>
      <c r="I174">
        <v>60</v>
      </c>
      <c r="J174">
        <v>120</v>
      </c>
      <c r="K174">
        <v>1800</v>
      </c>
      <c r="L174">
        <v>30</v>
      </c>
      <c r="M174">
        <v>15</v>
      </c>
      <c r="N174">
        <v>46085</v>
      </c>
      <c r="O174">
        <v>185</v>
      </c>
      <c r="P174">
        <v>43000</v>
      </c>
      <c r="Q174">
        <v>1800</v>
      </c>
      <c r="R174">
        <v>77400</v>
      </c>
      <c r="S174" t="s">
        <v>234</v>
      </c>
      <c r="T174" t="s">
        <v>235</v>
      </c>
      <c r="U174" s="1">
        <f>+_xlfn.XLOOKUP(C174,[1]!ESTADO_CUENTA[ID_CLIENTE],[1]!ESTADO_CUENTA[TOTAL SALDOS],0,0,-1)</f>
        <v>0</v>
      </c>
      <c r="V174" s="1">
        <f>_xlfn.XLOOKUP(C174,[1]!ESTADO_CUENTA[ID_CLIENTE],[1]!ESTADO_CUENTA[TOTAL DEUDAS],0,0,-1)</f>
        <v>38700</v>
      </c>
    </row>
    <row r="175" spans="1:22" x14ac:dyDescent="0.25">
      <c r="A175" s="4">
        <v>46078</v>
      </c>
      <c r="B175" t="s">
        <v>32</v>
      </c>
      <c r="C175">
        <v>186</v>
      </c>
      <c r="D175" t="s">
        <v>709</v>
      </c>
      <c r="E175" t="s">
        <v>710</v>
      </c>
      <c r="G175" t="s">
        <v>711</v>
      </c>
      <c r="H175">
        <v>3232336182</v>
      </c>
      <c r="I175">
        <v>150</v>
      </c>
      <c r="J175">
        <v>450</v>
      </c>
      <c r="K175">
        <v>3150</v>
      </c>
      <c r="L175">
        <v>21</v>
      </c>
      <c r="M175">
        <v>7</v>
      </c>
      <c r="N175">
        <v>46085</v>
      </c>
      <c r="O175">
        <v>186</v>
      </c>
      <c r="P175">
        <v>29841.269841269841</v>
      </c>
      <c r="Q175">
        <v>3150</v>
      </c>
      <c r="R175">
        <v>94000</v>
      </c>
      <c r="S175" t="s">
        <v>712</v>
      </c>
      <c r="T175" t="s">
        <v>713</v>
      </c>
      <c r="U175" s="1">
        <f>+_xlfn.XLOOKUP(C175,[1]!ESTADO_CUENTA[ID_CLIENTE],[1]!ESTADO_CUENTA[TOTAL SALDOS],0,0,-1)</f>
        <v>0</v>
      </c>
      <c r="V175" s="1">
        <f>_xlfn.XLOOKUP(C175,[1]!ESTADO_CUENTA[ID_CLIENTE],[1]!ESTADO_CUENTA[TOTAL DEUDAS],0,0,-1)</f>
        <v>282000</v>
      </c>
    </row>
    <row r="176" spans="1:22" x14ac:dyDescent="0.25">
      <c r="A176" s="4">
        <v>46062</v>
      </c>
      <c r="B176" t="s">
        <v>32</v>
      </c>
      <c r="C176">
        <v>137</v>
      </c>
      <c r="D176" t="s">
        <v>1374</v>
      </c>
      <c r="E176" t="s">
        <v>522</v>
      </c>
      <c r="G176" t="s">
        <v>523</v>
      </c>
      <c r="H176">
        <v>3505658503</v>
      </c>
      <c r="I176">
        <v>48</v>
      </c>
      <c r="J176">
        <v>144</v>
      </c>
      <c r="K176">
        <v>2160</v>
      </c>
      <c r="L176">
        <v>45</v>
      </c>
      <c r="M176">
        <v>15</v>
      </c>
      <c r="N176">
        <v>46077</v>
      </c>
      <c r="O176">
        <v>137</v>
      </c>
      <c r="P176">
        <v>49537.037037037036</v>
      </c>
      <c r="Q176">
        <v>2160</v>
      </c>
      <c r="R176">
        <v>107000</v>
      </c>
      <c r="S176" t="s">
        <v>524</v>
      </c>
      <c r="T176" t="s">
        <v>525</v>
      </c>
      <c r="U176" s="1">
        <f>+_xlfn.XLOOKUP(C176,[1]!ESTADO_CUENTA[ID_CLIENTE],[1]!ESTADO_CUENTA[TOTAL SALDOS],0,0,-1)</f>
        <v>0</v>
      </c>
      <c r="V176" s="1">
        <f>_xlfn.XLOOKUP(C176,[1]!ESTADO_CUENTA[ID_CLIENTE],[1]!ESTADO_CUENTA[TOTAL DEUDAS],0,0,-1)</f>
        <v>0</v>
      </c>
    </row>
    <row r="177" spans="1:22" x14ac:dyDescent="0.25">
      <c r="A177" s="4">
        <v>46062</v>
      </c>
      <c r="B177" t="s">
        <v>32</v>
      </c>
      <c r="C177">
        <v>189</v>
      </c>
      <c r="D177" t="s">
        <v>717</v>
      </c>
      <c r="E177" t="s">
        <v>717</v>
      </c>
      <c r="G177" t="s">
        <v>718</v>
      </c>
      <c r="H177">
        <v>3174193520</v>
      </c>
      <c r="I177">
        <v>60</v>
      </c>
      <c r="J177">
        <v>180</v>
      </c>
      <c r="K177">
        <v>2700</v>
      </c>
      <c r="L177">
        <v>45</v>
      </c>
      <c r="M177">
        <v>15</v>
      </c>
      <c r="N177">
        <v>46077</v>
      </c>
      <c r="O177">
        <v>189</v>
      </c>
      <c r="P177">
        <v>40000</v>
      </c>
      <c r="Q177">
        <v>2700</v>
      </c>
      <c r="R177">
        <v>108000</v>
      </c>
      <c r="S177" t="s">
        <v>719</v>
      </c>
      <c r="T177" t="s">
        <v>720</v>
      </c>
      <c r="U177" s="1">
        <f>+_xlfn.XLOOKUP(C177,[1]!ESTADO_CUENTA[ID_CLIENTE],[1]!ESTADO_CUENTA[TOTAL SALDOS],0,0,-1)</f>
        <v>0</v>
      </c>
      <c r="V177" s="1">
        <f>_xlfn.XLOOKUP(C177,[1]!ESTADO_CUENTA[ID_CLIENTE],[1]!ESTADO_CUENTA[TOTAL DEUDAS],0,0,-1)</f>
        <v>0</v>
      </c>
    </row>
    <row r="178" spans="1:22" x14ac:dyDescent="0.25">
      <c r="B178" t="s">
        <v>28</v>
      </c>
      <c r="C178">
        <v>190</v>
      </c>
      <c r="D178" t="s">
        <v>721</v>
      </c>
      <c r="E178" t="s">
        <v>721</v>
      </c>
      <c r="G178" t="s">
        <v>722</v>
      </c>
      <c r="H178">
        <v>3115050821</v>
      </c>
      <c r="I178">
        <v>220</v>
      </c>
      <c r="J178">
        <v>660</v>
      </c>
      <c r="K178">
        <v>4620</v>
      </c>
      <c r="L178">
        <v>21</v>
      </c>
      <c r="M178">
        <v>7</v>
      </c>
      <c r="O178">
        <v>190</v>
      </c>
      <c r="P178">
        <v>28928.571428571428</v>
      </c>
      <c r="Q178">
        <v>4620</v>
      </c>
      <c r="R178">
        <v>133650</v>
      </c>
      <c r="S178" t="s">
        <v>723</v>
      </c>
      <c r="T178" t="s">
        <v>724</v>
      </c>
      <c r="U178" s="1">
        <f>+_xlfn.XLOOKUP(C178,[1]!ESTADO_CUENTA[ID_CLIENTE],[1]!ESTADO_CUENTA[TOTAL SALDOS],0,0,-1)</f>
        <v>0</v>
      </c>
      <c r="V178" s="1">
        <f>_xlfn.XLOOKUP(C178,[1]!ESTADO_CUENTA[ID_CLIENTE],[1]!ESTADO_CUENTA[TOTAL DEUDAS],0,0,-1)</f>
        <v>0</v>
      </c>
    </row>
    <row r="179" spans="1:22" x14ac:dyDescent="0.25">
      <c r="B179" t="s">
        <v>28</v>
      </c>
      <c r="C179">
        <v>191</v>
      </c>
      <c r="D179" t="s">
        <v>725</v>
      </c>
      <c r="E179" t="s">
        <v>725</v>
      </c>
      <c r="G179" t="s">
        <v>726</v>
      </c>
      <c r="H179">
        <v>3208398555</v>
      </c>
      <c r="I179">
        <v>60</v>
      </c>
      <c r="J179">
        <v>120</v>
      </c>
      <c r="K179">
        <v>1800</v>
      </c>
      <c r="L179">
        <v>30</v>
      </c>
      <c r="M179">
        <v>15</v>
      </c>
      <c r="O179">
        <v>191</v>
      </c>
      <c r="P179">
        <v>30000</v>
      </c>
      <c r="Q179">
        <v>1800</v>
      </c>
      <c r="R179">
        <v>54000</v>
      </c>
      <c r="S179" t="s">
        <v>727</v>
      </c>
      <c r="T179" t="s">
        <v>728</v>
      </c>
      <c r="U179" s="1">
        <f>+_xlfn.XLOOKUP(C179,[1]!ESTADO_CUENTA[ID_CLIENTE],[1]!ESTADO_CUENTA[TOTAL SALDOS],0,0,-1)</f>
        <v>0</v>
      </c>
      <c r="V179" s="1">
        <f>_xlfn.XLOOKUP(C179,[1]!ESTADO_CUENTA[ID_CLIENTE],[1]!ESTADO_CUENTA[TOTAL DEUDAS],0,0,-1)</f>
        <v>0</v>
      </c>
    </row>
    <row r="180" spans="1:22" x14ac:dyDescent="0.25">
      <c r="A180" s="4">
        <v>46066</v>
      </c>
      <c r="B180" t="s">
        <v>32</v>
      </c>
      <c r="C180">
        <v>192</v>
      </c>
      <c r="D180" t="s">
        <v>729</v>
      </c>
      <c r="E180" t="s">
        <v>729</v>
      </c>
      <c r="G180" t="s">
        <v>730</v>
      </c>
      <c r="H180">
        <v>3114755232</v>
      </c>
      <c r="I180">
        <v>90</v>
      </c>
      <c r="J180">
        <v>270</v>
      </c>
      <c r="K180">
        <v>4050</v>
      </c>
      <c r="L180">
        <v>45</v>
      </c>
      <c r="M180">
        <v>15</v>
      </c>
      <c r="N180">
        <v>46081</v>
      </c>
      <c r="O180">
        <v>192</v>
      </c>
      <c r="P180">
        <v>25000</v>
      </c>
      <c r="Q180">
        <v>4050</v>
      </c>
      <c r="R180">
        <v>101250</v>
      </c>
      <c r="S180" t="s">
        <v>731</v>
      </c>
      <c r="T180" t="s">
        <v>732</v>
      </c>
      <c r="U180" s="1">
        <f>+_xlfn.XLOOKUP(C180,[1]!ESTADO_CUENTA[ID_CLIENTE],[1]!ESTADO_CUENTA[TOTAL SALDOS],0,0,-1)</f>
        <v>0</v>
      </c>
      <c r="V180" s="1">
        <f>_xlfn.XLOOKUP(C180,[1]!ESTADO_CUENTA[ID_CLIENTE],[1]!ESTADO_CUENTA[TOTAL DEUDAS],0,0,-1)</f>
        <v>0</v>
      </c>
    </row>
    <row r="181" spans="1:22" x14ac:dyDescent="0.25">
      <c r="A181" s="4">
        <v>46073</v>
      </c>
      <c r="B181" t="s">
        <v>32</v>
      </c>
      <c r="C181">
        <v>143</v>
      </c>
      <c r="D181" t="s">
        <v>1375</v>
      </c>
      <c r="E181" t="s">
        <v>546</v>
      </c>
      <c r="G181" t="s">
        <v>547</v>
      </c>
      <c r="H181">
        <v>3106892868</v>
      </c>
      <c r="I181">
        <v>230</v>
      </c>
      <c r="J181">
        <v>230</v>
      </c>
      <c r="K181">
        <v>2300</v>
      </c>
      <c r="L181">
        <v>10</v>
      </c>
      <c r="M181">
        <v>10</v>
      </c>
      <c r="N181">
        <v>46083</v>
      </c>
      <c r="O181">
        <v>143</v>
      </c>
      <c r="P181">
        <v>27000</v>
      </c>
      <c r="Q181">
        <v>2300</v>
      </c>
      <c r="R181">
        <v>62100</v>
      </c>
      <c r="S181" t="s">
        <v>548</v>
      </c>
      <c r="T181" t="s">
        <v>549</v>
      </c>
      <c r="U181" s="1">
        <f>+_xlfn.XLOOKUP(C181,[1]!ESTADO_CUENTA[ID_CLIENTE],[1]!ESTADO_CUENTA[TOTAL SALDOS],0,0,-1)</f>
        <v>0</v>
      </c>
      <c r="V181" s="1">
        <f>_xlfn.XLOOKUP(C181,[1]!ESTADO_CUENTA[ID_CLIENTE],[1]!ESTADO_CUENTA[TOTAL DEUDAS],0,0,-1)</f>
        <v>124200</v>
      </c>
    </row>
    <row r="182" spans="1:22" x14ac:dyDescent="0.25">
      <c r="A182" s="4">
        <v>46080</v>
      </c>
      <c r="B182" t="s">
        <v>32</v>
      </c>
      <c r="C182">
        <v>195</v>
      </c>
      <c r="D182" t="s">
        <v>737</v>
      </c>
      <c r="E182" t="s">
        <v>737</v>
      </c>
      <c r="G182" t="s">
        <v>738</v>
      </c>
      <c r="H182">
        <v>3007458537</v>
      </c>
      <c r="I182">
        <v>90</v>
      </c>
      <c r="J182">
        <v>180</v>
      </c>
      <c r="K182">
        <v>1260</v>
      </c>
      <c r="L182">
        <v>14</v>
      </c>
      <c r="M182">
        <v>7</v>
      </c>
      <c r="N182">
        <v>46087</v>
      </c>
      <c r="O182">
        <v>195</v>
      </c>
      <c r="P182">
        <v>45000</v>
      </c>
      <c r="Q182">
        <v>1260</v>
      </c>
      <c r="R182">
        <v>56700</v>
      </c>
      <c r="S182" t="s">
        <v>739</v>
      </c>
      <c r="T182" t="s">
        <v>740</v>
      </c>
      <c r="U182" s="1">
        <f>+_xlfn.XLOOKUP(C182,[1]!ESTADO_CUENTA[ID_CLIENTE],[1]!ESTADO_CUENTA[TOTAL SALDOS],0,0,-1)</f>
        <v>0</v>
      </c>
      <c r="V182" s="1">
        <f>_xlfn.XLOOKUP(C182,[1]!ESTADO_CUENTA[ID_CLIENTE],[1]!ESTADO_CUENTA[TOTAL DEUDAS],0,0,-1)</f>
        <v>0</v>
      </c>
    </row>
    <row r="183" spans="1:22" x14ac:dyDescent="0.25">
      <c r="A183" s="4">
        <v>46034</v>
      </c>
      <c r="B183" t="s">
        <v>20</v>
      </c>
      <c r="C183">
        <v>196</v>
      </c>
      <c r="D183" t="s">
        <v>741</v>
      </c>
      <c r="E183" t="s">
        <v>742</v>
      </c>
      <c r="G183" t="s">
        <v>743</v>
      </c>
      <c r="H183">
        <v>3170661732</v>
      </c>
      <c r="I183">
        <v>64</v>
      </c>
      <c r="J183">
        <v>190</v>
      </c>
      <c r="K183">
        <v>1330</v>
      </c>
      <c r="L183">
        <v>20.78125</v>
      </c>
      <c r="M183">
        <v>7</v>
      </c>
      <c r="N183">
        <v>46041</v>
      </c>
      <c r="O183">
        <v>196</v>
      </c>
      <c r="P183">
        <v>7518.7969924812032</v>
      </c>
      <c r="Q183">
        <v>1330</v>
      </c>
      <c r="R183">
        <v>10000</v>
      </c>
      <c r="S183" t="s">
        <v>744</v>
      </c>
      <c r="U183" s="1">
        <f>+_xlfn.XLOOKUP(C183,[1]!ESTADO_CUENTA[ID_CLIENTE],[1]!ESTADO_CUENTA[TOTAL SALDOS],0,0,-1)</f>
        <v>0</v>
      </c>
      <c r="V183" s="1">
        <f>_xlfn.XLOOKUP(C183,[1]!ESTADO_CUENTA[ID_CLIENTE],[1]!ESTADO_CUENTA[TOTAL DEUDAS],0,0,-1)</f>
        <v>0</v>
      </c>
    </row>
    <row r="184" spans="1:22" x14ac:dyDescent="0.25">
      <c r="B184" t="s">
        <v>28</v>
      </c>
      <c r="C184">
        <v>197</v>
      </c>
      <c r="D184" t="s">
        <v>745</v>
      </c>
      <c r="E184" t="s">
        <v>745</v>
      </c>
      <c r="G184" t="s">
        <v>746</v>
      </c>
      <c r="H184">
        <v>3223951234</v>
      </c>
      <c r="I184">
        <v>130</v>
      </c>
      <c r="J184">
        <v>390</v>
      </c>
      <c r="K184">
        <v>2730</v>
      </c>
      <c r="L184">
        <v>21</v>
      </c>
      <c r="M184">
        <v>7</v>
      </c>
      <c r="O184">
        <v>197</v>
      </c>
      <c r="P184">
        <v>39120.879120879123</v>
      </c>
      <c r="Q184">
        <v>2730</v>
      </c>
      <c r="R184">
        <v>106800</v>
      </c>
      <c r="S184" t="s">
        <v>747</v>
      </c>
      <c r="T184" t="s">
        <v>748</v>
      </c>
      <c r="U184" s="1">
        <f>+_xlfn.XLOOKUP(C184,[1]!ESTADO_CUENTA[ID_CLIENTE],[1]!ESTADO_CUENTA[TOTAL SALDOS],0,0,-1)</f>
        <v>0</v>
      </c>
      <c r="V184" s="1">
        <f>_xlfn.XLOOKUP(C184,[1]!ESTADO_CUENTA[ID_CLIENTE],[1]!ESTADO_CUENTA[TOTAL DEUDAS],0,0,-1)</f>
        <v>0</v>
      </c>
    </row>
    <row r="185" spans="1:22" x14ac:dyDescent="0.25">
      <c r="A185" s="4">
        <v>46079</v>
      </c>
      <c r="B185" t="s">
        <v>32</v>
      </c>
      <c r="C185">
        <v>198</v>
      </c>
      <c r="D185" t="s">
        <v>749</v>
      </c>
      <c r="E185" t="s">
        <v>749</v>
      </c>
      <c r="G185" t="s">
        <v>750</v>
      </c>
      <c r="H185">
        <v>3123218364</v>
      </c>
      <c r="I185">
        <v>300</v>
      </c>
      <c r="J185">
        <v>600</v>
      </c>
      <c r="K185">
        <v>9000</v>
      </c>
      <c r="L185">
        <v>30</v>
      </c>
      <c r="M185">
        <v>15</v>
      </c>
      <c r="N185">
        <v>46094</v>
      </c>
      <c r="O185">
        <v>198</v>
      </c>
      <c r="P185">
        <v>25000</v>
      </c>
      <c r="Q185">
        <v>9000</v>
      </c>
      <c r="R185">
        <v>225000</v>
      </c>
      <c r="S185" t="s">
        <v>751</v>
      </c>
      <c r="T185" t="s">
        <v>752</v>
      </c>
      <c r="U185" s="1">
        <f>+_xlfn.XLOOKUP(C185,[1]!ESTADO_CUENTA[ID_CLIENTE],[1]!ESTADO_CUENTA[TOTAL SALDOS],0,0,-1)</f>
        <v>0</v>
      </c>
      <c r="V185" s="1">
        <f>_xlfn.XLOOKUP(C185,[1]!ESTADO_CUENTA[ID_CLIENTE],[1]!ESTADO_CUENTA[TOTAL DEUDAS],0,0,-1)</f>
        <v>225000</v>
      </c>
    </row>
    <row r="186" spans="1:22" x14ac:dyDescent="0.25">
      <c r="A186" s="4">
        <v>46072</v>
      </c>
      <c r="B186" t="s">
        <v>32</v>
      </c>
      <c r="C186">
        <v>199</v>
      </c>
      <c r="D186" t="s">
        <v>753</v>
      </c>
      <c r="E186" t="s">
        <v>754</v>
      </c>
      <c r="G186" t="s">
        <v>755</v>
      </c>
      <c r="H186">
        <v>3229473612</v>
      </c>
      <c r="I186">
        <v>150</v>
      </c>
      <c r="J186">
        <v>150</v>
      </c>
      <c r="K186">
        <v>2250</v>
      </c>
      <c r="L186">
        <v>15</v>
      </c>
      <c r="M186">
        <v>15</v>
      </c>
      <c r="N186">
        <v>46087</v>
      </c>
      <c r="O186">
        <v>199</v>
      </c>
      <c r="P186">
        <v>32000</v>
      </c>
      <c r="Q186">
        <v>2250</v>
      </c>
      <c r="R186">
        <v>72000</v>
      </c>
      <c r="S186" t="s">
        <v>756</v>
      </c>
      <c r="T186" t="s">
        <v>757</v>
      </c>
      <c r="U186" s="1">
        <f>+_xlfn.XLOOKUP(C186,[1]!ESTADO_CUENTA[ID_CLIENTE],[1]!ESTADO_CUENTA[TOTAL SALDOS],0,0,-1)</f>
        <v>0</v>
      </c>
      <c r="V186" s="1">
        <f>_xlfn.XLOOKUP(C186,[1]!ESTADO_CUENTA[ID_CLIENTE],[1]!ESTADO_CUENTA[TOTAL DEUDAS],0,0,-1)</f>
        <v>0</v>
      </c>
    </row>
    <row r="187" spans="1:22" x14ac:dyDescent="0.25">
      <c r="A187" s="4">
        <v>46071</v>
      </c>
      <c r="B187" t="s">
        <v>32</v>
      </c>
      <c r="C187">
        <v>200</v>
      </c>
      <c r="D187" t="s">
        <v>758</v>
      </c>
      <c r="E187" t="s">
        <v>759</v>
      </c>
      <c r="G187" t="s">
        <v>760</v>
      </c>
      <c r="H187">
        <v>3128951233</v>
      </c>
      <c r="I187">
        <v>60</v>
      </c>
      <c r="J187">
        <v>120</v>
      </c>
      <c r="K187">
        <v>1800</v>
      </c>
      <c r="L187">
        <v>30</v>
      </c>
      <c r="M187">
        <v>15</v>
      </c>
      <c r="N187">
        <v>46086</v>
      </c>
      <c r="O187">
        <v>200</v>
      </c>
      <c r="P187">
        <v>43000</v>
      </c>
      <c r="Q187">
        <v>1800</v>
      </c>
      <c r="R187">
        <v>77400</v>
      </c>
      <c r="S187" t="s">
        <v>761</v>
      </c>
      <c r="T187" t="s">
        <v>762</v>
      </c>
      <c r="U187" s="1">
        <f>+_xlfn.XLOOKUP(C187,[1]!ESTADO_CUENTA[ID_CLIENTE],[1]!ESTADO_CUENTA[TOTAL SALDOS],0,0,-1)</f>
        <v>0</v>
      </c>
      <c r="V187" s="1">
        <f>_xlfn.XLOOKUP(C187,[1]!ESTADO_CUENTA[ID_CLIENTE],[1]!ESTADO_CUENTA[TOTAL DEUDAS],0,0,-1)</f>
        <v>77400</v>
      </c>
    </row>
    <row r="188" spans="1:22" x14ac:dyDescent="0.25">
      <c r="A188" s="4">
        <v>46073</v>
      </c>
      <c r="B188" t="s">
        <v>32</v>
      </c>
      <c r="C188">
        <v>201</v>
      </c>
      <c r="D188" t="s">
        <v>763</v>
      </c>
      <c r="E188" t="s">
        <v>763</v>
      </c>
      <c r="G188" t="s">
        <v>764</v>
      </c>
      <c r="H188">
        <v>3057671212</v>
      </c>
      <c r="I188">
        <v>60</v>
      </c>
      <c r="J188">
        <v>180</v>
      </c>
      <c r="K188">
        <v>2700</v>
      </c>
      <c r="L188">
        <v>45</v>
      </c>
      <c r="M188">
        <v>15</v>
      </c>
      <c r="N188">
        <v>46088</v>
      </c>
      <c r="O188">
        <v>201</v>
      </c>
      <c r="P188">
        <v>48148.148148148146</v>
      </c>
      <c r="Q188">
        <v>2700</v>
      </c>
      <c r="R188">
        <v>130000</v>
      </c>
      <c r="S188" t="s">
        <v>765</v>
      </c>
      <c r="T188" t="s">
        <v>766</v>
      </c>
      <c r="U188" s="1">
        <f>+_xlfn.XLOOKUP(C188,[1]!ESTADO_CUENTA[ID_CLIENTE],[1]!ESTADO_CUENTA[TOTAL SALDOS],0,0,-1)</f>
        <v>0</v>
      </c>
      <c r="V188" s="1">
        <f>_xlfn.XLOOKUP(C188,[1]!ESTADO_CUENTA[ID_CLIENTE],[1]!ESTADO_CUENTA[TOTAL DEUDAS],0,0,-1)</f>
        <v>0</v>
      </c>
    </row>
    <row r="189" spans="1:22" x14ac:dyDescent="0.25">
      <c r="B189" t="s">
        <v>28</v>
      </c>
      <c r="C189">
        <v>202</v>
      </c>
      <c r="D189" t="s">
        <v>767</v>
      </c>
      <c r="E189" t="s">
        <v>767</v>
      </c>
      <c r="G189" t="s">
        <v>768</v>
      </c>
      <c r="H189">
        <v>3138406465</v>
      </c>
      <c r="I189">
        <v>58</v>
      </c>
      <c r="J189">
        <v>116</v>
      </c>
      <c r="K189">
        <v>812</v>
      </c>
      <c r="L189">
        <v>14</v>
      </c>
      <c r="M189">
        <v>7</v>
      </c>
      <c r="O189">
        <v>202</v>
      </c>
      <c r="P189">
        <v>12315.270935960592</v>
      </c>
      <c r="Q189">
        <v>812</v>
      </c>
      <c r="R189">
        <v>10000</v>
      </c>
      <c r="S189" t="s">
        <v>769</v>
      </c>
      <c r="T189" t="s">
        <v>770</v>
      </c>
      <c r="U189" s="1">
        <f>+_xlfn.XLOOKUP(C189,[1]!ESTADO_CUENTA[ID_CLIENTE],[1]!ESTADO_CUENTA[TOTAL SALDOS],0,0,-1)</f>
        <v>0</v>
      </c>
      <c r="V189" s="1">
        <f>_xlfn.XLOOKUP(C189,[1]!ESTADO_CUENTA[ID_CLIENTE],[1]!ESTADO_CUENTA[TOTAL DEUDAS],0,0,-1)</f>
        <v>0</v>
      </c>
    </row>
    <row r="190" spans="1:22" x14ac:dyDescent="0.25">
      <c r="A190" s="4">
        <v>46070</v>
      </c>
      <c r="B190" t="s">
        <v>32</v>
      </c>
      <c r="C190">
        <v>154</v>
      </c>
      <c r="D190" t="s">
        <v>1376</v>
      </c>
      <c r="E190" t="s">
        <v>589</v>
      </c>
      <c r="G190" t="s">
        <v>590</v>
      </c>
      <c r="H190">
        <v>3160496529</v>
      </c>
      <c r="I190">
        <v>140</v>
      </c>
      <c r="J190">
        <v>140</v>
      </c>
      <c r="K190">
        <v>4200</v>
      </c>
      <c r="L190">
        <v>30</v>
      </c>
      <c r="M190">
        <v>30</v>
      </c>
      <c r="N190">
        <v>46100</v>
      </c>
      <c r="O190">
        <v>154</v>
      </c>
      <c r="P190">
        <v>30000</v>
      </c>
      <c r="Q190">
        <v>4200</v>
      </c>
      <c r="R190">
        <v>126000</v>
      </c>
      <c r="S190" t="s">
        <v>591</v>
      </c>
      <c r="T190" t="s">
        <v>592</v>
      </c>
      <c r="U190" s="1">
        <f>+_xlfn.XLOOKUP(C190,[1]!ESTADO_CUENTA[ID_CLIENTE],[1]!ESTADO_CUENTA[TOTAL SALDOS],0,0,-1)</f>
        <v>6000</v>
      </c>
      <c r="V190" s="1">
        <f>_xlfn.XLOOKUP(C190,[1]!ESTADO_CUENTA[ID_CLIENTE],[1]!ESTADO_CUENTA[TOTAL DEUDAS],0,0,-1)</f>
        <v>0</v>
      </c>
    </row>
    <row r="191" spans="1:22" x14ac:dyDescent="0.25">
      <c r="A191" s="4">
        <v>46066</v>
      </c>
      <c r="B191" t="s">
        <v>32</v>
      </c>
      <c r="C191">
        <v>159</v>
      </c>
      <c r="D191" t="s">
        <v>1377</v>
      </c>
      <c r="E191" t="s">
        <v>604</v>
      </c>
      <c r="G191" t="s">
        <v>605</v>
      </c>
      <c r="H191">
        <v>3154918270</v>
      </c>
      <c r="I191">
        <v>115</v>
      </c>
      <c r="J191">
        <v>115</v>
      </c>
      <c r="K191">
        <v>3450</v>
      </c>
      <c r="L191">
        <v>30</v>
      </c>
      <c r="M191">
        <v>30</v>
      </c>
      <c r="N191">
        <v>46096</v>
      </c>
      <c r="O191">
        <v>159</v>
      </c>
      <c r="P191">
        <v>34000</v>
      </c>
      <c r="Q191">
        <v>3450</v>
      </c>
      <c r="R191">
        <v>117300</v>
      </c>
      <c r="S191" t="s">
        <v>606</v>
      </c>
      <c r="T191" t="s">
        <v>126</v>
      </c>
      <c r="U191" s="1">
        <f>+_xlfn.XLOOKUP(C191,[1]!ESTADO_CUENTA[ID_CLIENTE],[1]!ESTADO_CUENTA[TOTAL SALDOS],0,0,-1)</f>
        <v>0</v>
      </c>
      <c r="V191" s="1">
        <f>_xlfn.XLOOKUP(C191,[1]!ESTADO_CUENTA[ID_CLIENTE],[1]!ESTADO_CUENTA[TOTAL DEUDAS],0,0,-1)</f>
        <v>0</v>
      </c>
    </row>
    <row r="192" spans="1:22" x14ac:dyDescent="0.25">
      <c r="A192" s="4">
        <v>46073</v>
      </c>
      <c r="B192" t="s">
        <v>32</v>
      </c>
      <c r="C192">
        <v>205</v>
      </c>
      <c r="D192" t="s">
        <v>780</v>
      </c>
      <c r="E192" t="s">
        <v>780</v>
      </c>
      <c r="G192" t="s">
        <v>781</v>
      </c>
      <c r="H192">
        <v>3143484505</v>
      </c>
      <c r="I192">
        <v>190</v>
      </c>
      <c r="J192">
        <v>190</v>
      </c>
      <c r="K192">
        <v>5700</v>
      </c>
      <c r="L192">
        <v>30</v>
      </c>
      <c r="M192">
        <v>30</v>
      </c>
      <c r="N192">
        <v>46103</v>
      </c>
      <c r="O192">
        <v>205</v>
      </c>
      <c r="P192">
        <v>30000</v>
      </c>
      <c r="Q192">
        <v>5700</v>
      </c>
      <c r="R192">
        <v>171000</v>
      </c>
      <c r="S192" t="s">
        <v>782</v>
      </c>
      <c r="T192" t="s">
        <v>783</v>
      </c>
      <c r="U192" s="1">
        <f>+_xlfn.XLOOKUP(C192,[1]!ESTADO_CUENTA[ID_CLIENTE],[1]!ESTADO_CUENTA[TOTAL SALDOS],0,0,-1)</f>
        <v>0</v>
      </c>
      <c r="V192" s="1">
        <f>_xlfn.XLOOKUP(C192,[1]!ESTADO_CUENTA[ID_CLIENTE],[1]!ESTADO_CUENTA[TOTAL DEUDAS],0,0,-1)</f>
        <v>0</v>
      </c>
    </row>
    <row r="193" spans="1:22" x14ac:dyDescent="0.25">
      <c r="A193" s="4">
        <v>46034</v>
      </c>
      <c r="B193" t="s">
        <v>20</v>
      </c>
      <c r="C193">
        <v>206</v>
      </c>
      <c r="D193" t="s">
        <v>784</v>
      </c>
      <c r="E193" t="s">
        <v>785</v>
      </c>
      <c r="G193" t="s">
        <v>786</v>
      </c>
      <c r="H193">
        <v>3204477576</v>
      </c>
      <c r="I193">
        <v>80</v>
      </c>
      <c r="J193">
        <v>160</v>
      </c>
      <c r="K193">
        <v>2400</v>
      </c>
      <c r="L193">
        <v>30</v>
      </c>
      <c r="M193">
        <v>15</v>
      </c>
      <c r="N193">
        <v>46049</v>
      </c>
      <c r="O193">
        <v>206</v>
      </c>
      <c r="P193">
        <v>44750</v>
      </c>
      <c r="Q193">
        <v>2400</v>
      </c>
      <c r="R193">
        <v>107400</v>
      </c>
      <c r="S193" t="s">
        <v>787</v>
      </c>
      <c r="T193" t="s">
        <v>788</v>
      </c>
      <c r="U193" s="1">
        <f>+_xlfn.XLOOKUP(C193,[1]!ESTADO_CUENTA[ID_CLIENTE],[1]!ESTADO_CUENTA[TOTAL SALDOS],0,0,-1)</f>
        <v>0</v>
      </c>
      <c r="V193" s="1">
        <f>_xlfn.XLOOKUP(C193,[1]!ESTADO_CUENTA[ID_CLIENTE],[1]!ESTADO_CUENTA[TOTAL DEUDAS],0,0,-1)</f>
        <v>0</v>
      </c>
    </row>
    <row r="194" spans="1:22" x14ac:dyDescent="0.25">
      <c r="A194" s="4">
        <v>46062</v>
      </c>
      <c r="B194" t="s">
        <v>32</v>
      </c>
      <c r="C194">
        <v>207</v>
      </c>
      <c r="D194" t="s">
        <v>789</v>
      </c>
      <c r="E194" t="s">
        <v>789</v>
      </c>
      <c r="G194" t="s">
        <v>790</v>
      </c>
      <c r="H194">
        <v>3123176445</v>
      </c>
      <c r="I194">
        <v>140</v>
      </c>
      <c r="J194">
        <v>420</v>
      </c>
      <c r="K194">
        <v>4200</v>
      </c>
      <c r="L194">
        <v>30</v>
      </c>
      <c r="M194">
        <v>10</v>
      </c>
      <c r="N194">
        <v>46072</v>
      </c>
      <c r="O194">
        <v>207</v>
      </c>
      <c r="P194">
        <v>25000</v>
      </c>
      <c r="Q194">
        <v>4200</v>
      </c>
      <c r="R194">
        <v>105000</v>
      </c>
      <c r="S194" t="s">
        <v>791</v>
      </c>
      <c r="T194" t="s">
        <v>792</v>
      </c>
      <c r="U194" s="1">
        <f>+_xlfn.XLOOKUP(C194,[1]!ESTADO_CUENTA[ID_CLIENTE],[1]!ESTADO_CUENTA[TOTAL SALDOS],0,0,-1)</f>
        <v>105000</v>
      </c>
      <c r="V194" s="1">
        <f>_xlfn.XLOOKUP(C194,[1]!ESTADO_CUENTA[ID_CLIENTE],[1]!ESTADO_CUENTA[TOTAL DEUDAS],0,0,-1)</f>
        <v>0</v>
      </c>
    </row>
    <row r="195" spans="1:22" x14ac:dyDescent="0.25">
      <c r="A195" s="4">
        <v>46069</v>
      </c>
      <c r="B195" t="s">
        <v>32</v>
      </c>
      <c r="C195">
        <v>208</v>
      </c>
      <c r="D195" t="s">
        <v>793</v>
      </c>
      <c r="E195" t="s">
        <v>793</v>
      </c>
      <c r="G195" t="s">
        <v>794</v>
      </c>
      <c r="H195">
        <v>3194584587</v>
      </c>
      <c r="I195">
        <v>220</v>
      </c>
      <c r="J195">
        <v>220</v>
      </c>
      <c r="K195">
        <v>5060</v>
      </c>
      <c r="L195">
        <v>23</v>
      </c>
      <c r="M195">
        <v>23</v>
      </c>
      <c r="N195">
        <v>46092</v>
      </c>
      <c r="O195">
        <v>208</v>
      </c>
      <c r="P195">
        <v>25000</v>
      </c>
      <c r="Q195">
        <v>5060</v>
      </c>
      <c r="R195">
        <v>126500</v>
      </c>
      <c r="S195" t="s">
        <v>559</v>
      </c>
      <c r="T195" t="s">
        <v>560</v>
      </c>
      <c r="U195" s="1">
        <f>+_xlfn.XLOOKUP(C195,[1]!ESTADO_CUENTA[ID_CLIENTE],[1]!ESTADO_CUENTA[TOTAL SALDOS],0,0,-1)</f>
        <v>0</v>
      </c>
      <c r="V195" s="1">
        <f>_xlfn.XLOOKUP(C195,[1]!ESTADO_CUENTA[ID_CLIENTE],[1]!ESTADO_CUENTA[TOTAL DEUDAS],0,0,-1)</f>
        <v>126500</v>
      </c>
    </row>
    <row r="196" spans="1:22" x14ac:dyDescent="0.25">
      <c r="A196" s="4">
        <v>46055</v>
      </c>
      <c r="B196" t="s">
        <v>32</v>
      </c>
      <c r="C196">
        <v>209</v>
      </c>
      <c r="D196" t="s">
        <v>795</v>
      </c>
      <c r="E196" t="s">
        <v>795</v>
      </c>
      <c r="G196" t="s">
        <v>796</v>
      </c>
      <c r="H196">
        <v>3144789566</v>
      </c>
      <c r="I196">
        <v>150</v>
      </c>
      <c r="J196">
        <v>150</v>
      </c>
      <c r="K196">
        <v>2250</v>
      </c>
      <c r="L196">
        <v>15</v>
      </c>
      <c r="M196">
        <v>15</v>
      </c>
      <c r="N196">
        <v>46070</v>
      </c>
      <c r="O196">
        <v>209</v>
      </c>
      <c r="P196">
        <v>42000</v>
      </c>
      <c r="Q196">
        <v>2250</v>
      </c>
      <c r="R196">
        <v>94500</v>
      </c>
      <c r="S196" t="s">
        <v>797</v>
      </c>
      <c r="T196" t="s">
        <v>798</v>
      </c>
      <c r="U196" s="1">
        <f>+_xlfn.XLOOKUP(C196,[1]!ESTADO_CUENTA[ID_CLIENTE],[1]!ESTADO_CUENTA[TOTAL SALDOS],0,0,-1)</f>
        <v>0</v>
      </c>
      <c r="V196" s="1">
        <f>_xlfn.XLOOKUP(C196,[1]!ESTADO_CUENTA[ID_CLIENTE],[1]!ESTADO_CUENTA[TOTAL DEUDAS],0,0,-1)</f>
        <v>0</v>
      </c>
    </row>
    <row r="197" spans="1:22" x14ac:dyDescent="0.25">
      <c r="A197" s="4">
        <v>46073</v>
      </c>
      <c r="B197" t="s">
        <v>32</v>
      </c>
      <c r="C197">
        <v>160</v>
      </c>
      <c r="D197" t="s">
        <v>1378</v>
      </c>
      <c r="E197" t="s">
        <v>607</v>
      </c>
      <c r="G197" t="s">
        <v>608</v>
      </c>
      <c r="H197">
        <v>3102397760</v>
      </c>
      <c r="I197">
        <v>30</v>
      </c>
      <c r="J197">
        <v>60</v>
      </c>
      <c r="K197">
        <v>900</v>
      </c>
      <c r="L197">
        <v>30</v>
      </c>
      <c r="M197">
        <v>15</v>
      </c>
      <c r="N197">
        <v>46088</v>
      </c>
      <c r="O197">
        <v>160</v>
      </c>
      <c r="P197">
        <v>56444.444444444445</v>
      </c>
      <c r="Q197">
        <v>900</v>
      </c>
      <c r="R197">
        <v>50800</v>
      </c>
      <c r="S197" t="s">
        <v>609</v>
      </c>
      <c r="U197" s="1">
        <f>+_xlfn.XLOOKUP(C197,[1]!ESTADO_CUENTA[ID_CLIENTE],[1]!ESTADO_CUENTA[TOTAL SALDOS],0,0,-1)</f>
        <v>200</v>
      </c>
      <c r="V197" s="1">
        <f>_xlfn.XLOOKUP(C197,[1]!ESTADO_CUENTA[ID_CLIENTE],[1]!ESTADO_CUENTA[TOTAL DEUDAS],0,0,-1)</f>
        <v>0</v>
      </c>
    </row>
    <row r="198" spans="1:22" x14ac:dyDescent="0.25">
      <c r="A198" s="4">
        <v>46066</v>
      </c>
      <c r="B198" t="s">
        <v>32</v>
      </c>
      <c r="C198">
        <v>211</v>
      </c>
      <c r="D198" t="s">
        <v>803</v>
      </c>
      <c r="E198" t="s">
        <v>803</v>
      </c>
      <c r="G198" t="s">
        <v>804</v>
      </c>
      <c r="H198">
        <v>3176712724</v>
      </c>
      <c r="I198">
        <v>115</v>
      </c>
      <c r="J198">
        <v>230</v>
      </c>
      <c r="K198">
        <v>1610</v>
      </c>
      <c r="L198">
        <v>14</v>
      </c>
      <c r="M198">
        <v>7</v>
      </c>
      <c r="N198">
        <v>46073</v>
      </c>
      <c r="O198">
        <v>211</v>
      </c>
      <c r="P198">
        <v>44472.049689440995</v>
      </c>
      <c r="Q198">
        <v>1610</v>
      </c>
      <c r="R198">
        <v>71600</v>
      </c>
      <c r="S198" t="s">
        <v>805</v>
      </c>
      <c r="T198" t="s">
        <v>806</v>
      </c>
      <c r="U198" s="1">
        <f>+_xlfn.XLOOKUP(C198,[1]!ESTADO_CUENTA[ID_CLIENTE],[1]!ESTADO_CUENTA[TOTAL SALDOS],0,0,-1)</f>
        <v>0</v>
      </c>
      <c r="V198" s="1">
        <f>_xlfn.XLOOKUP(C198,[1]!ESTADO_CUENTA[ID_CLIENTE],[1]!ESTADO_CUENTA[TOTAL DEUDAS],0,0,-1)</f>
        <v>0</v>
      </c>
    </row>
    <row r="199" spans="1:22" x14ac:dyDescent="0.25">
      <c r="A199" s="4">
        <v>46049</v>
      </c>
      <c r="B199" t="s">
        <v>20</v>
      </c>
      <c r="C199">
        <v>212</v>
      </c>
      <c r="D199" t="s">
        <v>807</v>
      </c>
      <c r="E199" t="s">
        <v>807</v>
      </c>
      <c r="F199" t="s">
        <v>164</v>
      </c>
      <c r="G199" t="s">
        <v>808</v>
      </c>
      <c r="H199">
        <v>3105587843</v>
      </c>
      <c r="I199">
        <v>500</v>
      </c>
      <c r="J199">
        <v>1000</v>
      </c>
      <c r="K199">
        <v>15000</v>
      </c>
      <c r="L199">
        <v>30</v>
      </c>
      <c r="M199">
        <v>15</v>
      </c>
      <c r="N199">
        <v>46064</v>
      </c>
      <c r="O199">
        <v>212</v>
      </c>
      <c r="P199">
        <v>25000</v>
      </c>
      <c r="Q199">
        <v>15000</v>
      </c>
      <c r="R199">
        <v>375000</v>
      </c>
      <c r="S199" t="s">
        <v>809</v>
      </c>
      <c r="T199" t="s">
        <v>810</v>
      </c>
      <c r="U199" s="1">
        <f>+_xlfn.XLOOKUP(C199,[1]!ESTADO_CUENTA[ID_CLIENTE],[1]!ESTADO_CUENTA[TOTAL SALDOS],0,0,-1)</f>
        <v>0</v>
      </c>
      <c r="V199" s="1">
        <f>_xlfn.XLOOKUP(C199,[1]!ESTADO_CUENTA[ID_CLIENTE],[1]!ESTADO_CUENTA[TOTAL DEUDAS],0,0,-1)</f>
        <v>0</v>
      </c>
    </row>
    <row r="200" spans="1:22" x14ac:dyDescent="0.25">
      <c r="A200" s="4">
        <v>46069</v>
      </c>
      <c r="B200" t="s">
        <v>32</v>
      </c>
      <c r="C200">
        <v>213</v>
      </c>
      <c r="D200" t="s">
        <v>811</v>
      </c>
      <c r="E200" t="s">
        <v>811</v>
      </c>
      <c r="G200" t="s">
        <v>812</v>
      </c>
      <c r="H200">
        <v>3108677744</v>
      </c>
      <c r="I200">
        <v>60</v>
      </c>
      <c r="J200">
        <v>120</v>
      </c>
      <c r="K200">
        <v>1800</v>
      </c>
      <c r="L200">
        <v>30</v>
      </c>
      <c r="M200">
        <v>15</v>
      </c>
      <c r="N200">
        <v>46084</v>
      </c>
      <c r="O200">
        <v>213</v>
      </c>
      <c r="P200">
        <v>44000</v>
      </c>
      <c r="Q200">
        <v>1800</v>
      </c>
      <c r="R200">
        <v>79200</v>
      </c>
      <c r="S200" t="s">
        <v>813</v>
      </c>
      <c r="T200" t="s">
        <v>814</v>
      </c>
      <c r="U200" s="1">
        <f>+_xlfn.XLOOKUP(C200,[1]!ESTADO_CUENTA[ID_CLIENTE],[1]!ESTADO_CUENTA[TOTAL SALDOS],0,0,-1)</f>
        <v>1600</v>
      </c>
      <c r="V200" s="1">
        <f>_xlfn.XLOOKUP(C200,[1]!ESTADO_CUENTA[ID_CLIENTE],[1]!ESTADO_CUENTA[TOTAL DEUDAS],0,0,-1)</f>
        <v>0</v>
      </c>
    </row>
    <row r="201" spans="1:22" x14ac:dyDescent="0.25">
      <c r="A201" s="4">
        <v>46069</v>
      </c>
      <c r="B201" t="s">
        <v>32</v>
      </c>
      <c r="C201">
        <v>214</v>
      </c>
      <c r="D201" t="s">
        <v>815</v>
      </c>
      <c r="E201" t="s">
        <v>816</v>
      </c>
      <c r="G201" t="s">
        <v>817</v>
      </c>
      <c r="H201">
        <v>3208834012</v>
      </c>
      <c r="I201">
        <v>150</v>
      </c>
      <c r="J201">
        <v>450</v>
      </c>
      <c r="K201">
        <v>6750</v>
      </c>
      <c r="L201">
        <v>45</v>
      </c>
      <c r="M201">
        <v>15</v>
      </c>
      <c r="N201">
        <v>46084</v>
      </c>
      <c r="O201">
        <v>214</v>
      </c>
      <c r="P201">
        <v>24000</v>
      </c>
      <c r="Q201">
        <v>6750</v>
      </c>
      <c r="R201">
        <v>162000</v>
      </c>
      <c r="S201" t="s">
        <v>818</v>
      </c>
      <c r="T201" t="s">
        <v>819</v>
      </c>
      <c r="U201" s="1">
        <f>+_xlfn.XLOOKUP(C201,[1]!ESTADO_CUENTA[ID_CLIENTE],[1]!ESTADO_CUENTA[TOTAL SALDOS],0,0,-1)</f>
        <v>0</v>
      </c>
      <c r="V201" s="1">
        <f>_xlfn.XLOOKUP(C201,[1]!ESTADO_CUENTA[ID_CLIENTE],[1]!ESTADO_CUENTA[TOTAL DEUDAS],0,0,-1)</f>
        <v>425000</v>
      </c>
    </row>
    <row r="202" spans="1:22" x14ac:dyDescent="0.25">
      <c r="A202" s="4">
        <v>46070</v>
      </c>
      <c r="B202" t="s">
        <v>32</v>
      </c>
      <c r="C202">
        <v>215</v>
      </c>
      <c r="D202" t="s">
        <v>820</v>
      </c>
      <c r="E202" t="s">
        <v>820</v>
      </c>
      <c r="G202" t="s">
        <v>821</v>
      </c>
      <c r="H202">
        <v>3133252005</v>
      </c>
      <c r="I202">
        <v>85</v>
      </c>
      <c r="J202">
        <v>170</v>
      </c>
      <c r="K202">
        <v>2550</v>
      </c>
      <c r="L202">
        <v>30</v>
      </c>
      <c r="M202">
        <v>15</v>
      </c>
      <c r="N202">
        <v>46085</v>
      </c>
      <c r="O202">
        <v>215</v>
      </c>
      <c r="P202">
        <v>30000</v>
      </c>
      <c r="Q202">
        <v>2550</v>
      </c>
      <c r="R202">
        <v>76500</v>
      </c>
      <c r="S202" t="s">
        <v>822</v>
      </c>
      <c r="T202" t="s">
        <v>823</v>
      </c>
      <c r="U202" s="1">
        <f>+_xlfn.XLOOKUP(C202,[1]!ESTADO_CUENTA[ID_CLIENTE],[1]!ESTADO_CUENTA[TOTAL SALDOS],0,0,-1)</f>
        <v>0</v>
      </c>
      <c r="V202" s="1">
        <f>_xlfn.XLOOKUP(C202,[1]!ESTADO_CUENTA[ID_CLIENTE],[1]!ESTADO_CUENTA[TOTAL DEUDAS],0,0,-1)</f>
        <v>0</v>
      </c>
    </row>
    <row r="203" spans="1:22" x14ac:dyDescent="0.25">
      <c r="B203" t="s">
        <v>28</v>
      </c>
      <c r="C203">
        <v>216</v>
      </c>
      <c r="D203" t="s">
        <v>824</v>
      </c>
      <c r="E203" t="s">
        <v>824</v>
      </c>
      <c r="G203" t="s">
        <v>825</v>
      </c>
      <c r="H203">
        <v>3023480211</v>
      </c>
      <c r="I203">
        <v>330</v>
      </c>
      <c r="J203">
        <v>330</v>
      </c>
      <c r="K203">
        <v>4950</v>
      </c>
      <c r="L203">
        <v>15</v>
      </c>
      <c r="M203">
        <v>15</v>
      </c>
      <c r="O203">
        <v>216</v>
      </c>
      <c r="P203">
        <v>26000</v>
      </c>
      <c r="Q203">
        <v>4950</v>
      </c>
      <c r="R203">
        <v>128700</v>
      </c>
      <c r="S203" t="s">
        <v>826</v>
      </c>
      <c r="T203" t="s">
        <v>827</v>
      </c>
      <c r="U203" s="1">
        <f>+_xlfn.XLOOKUP(C203,[1]!ESTADO_CUENTA[ID_CLIENTE],[1]!ESTADO_CUENTA[TOTAL SALDOS],0,0,-1)</f>
        <v>0</v>
      </c>
      <c r="V203" s="1">
        <f>_xlfn.XLOOKUP(C203,[1]!ESTADO_CUENTA[ID_CLIENTE],[1]!ESTADO_CUENTA[TOTAL DEUDAS],0,0,-1)</f>
        <v>0</v>
      </c>
    </row>
    <row r="204" spans="1:22" x14ac:dyDescent="0.25">
      <c r="A204" s="4">
        <v>46071</v>
      </c>
      <c r="B204" t="s">
        <v>32</v>
      </c>
      <c r="C204">
        <v>217</v>
      </c>
      <c r="D204" t="s">
        <v>828</v>
      </c>
      <c r="E204" t="s">
        <v>828</v>
      </c>
      <c r="G204" t="s">
        <v>829</v>
      </c>
      <c r="H204">
        <v>3175162267</v>
      </c>
      <c r="I204">
        <v>300</v>
      </c>
      <c r="J204">
        <v>300</v>
      </c>
      <c r="K204">
        <v>5100</v>
      </c>
      <c r="L204">
        <v>17</v>
      </c>
      <c r="M204">
        <v>17</v>
      </c>
      <c r="N204">
        <v>46088</v>
      </c>
      <c r="O204">
        <v>217</v>
      </c>
      <c r="P204">
        <v>25000</v>
      </c>
      <c r="Q204">
        <v>5100</v>
      </c>
      <c r="R204">
        <v>127500</v>
      </c>
      <c r="S204" t="s">
        <v>830</v>
      </c>
      <c r="T204" t="s">
        <v>831</v>
      </c>
      <c r="U204" s="1">
        <f>+_xlfn.XLOOKUP(C204,[1]!ESTADO_CUENTA[ID_CLIENTE],[1]!ESTADO_CUENTA[TOTAL SALDOS],0,0,-1)</f>
        <v>0</v>
      </c>
      <c r="V204" s="1">
        <f>_xlfn.XLOOKUP(C204,[1]!ESTADO_CUENTA[ID_CLIENTE],[1]!ESTADO_CUENTA[TOTAL DEUDAS],0,0,-1)</f>
        <v>127500</v>
      </c>
    </row>
    <row r="205" spans="1:22" x14ac:dyDescent="0.25">
      <c r="A205" s="4">
        <v>46056</v>
      </c>
      <c r="B205" t="s">
        <v>32</v>
      </c>
      <c r="C205">
        <v>218</v>
      </c>
      <c r="D205" t="s">
        <v>832</v>
      </c>
      <c r="E205" t="s">
        <v>833</v>
      </c>
      <c r="G205" t="s">
        <v>834</v>
      </c>
      <c r="H205">
        <v>3134097706</v>
      </c>
      <c r="I205">
        <v>330</v>
      </c>
      <c r="J205">
        <v>330</v>
      </c>
      <c r="K205">
        <v>9900</v>
      </c>
      <c r="L205">
        <v>30</v>
      </c>
      <c r="M205">
        <v>30</v>
      </c>
      <c r="N205">
        <v>46086</v>
      </c>
      <c r="O205">
        <v>218</v>
      </c>
      <c r="P205">
        <v>33939.393939393936</v>
      </c>
      <c r="Q205">
        <v>9900</v>
      </c>
      <c r="R205">
        <v>336000</v>
      </c>
      <c r="S205" t="s">
        <v>835</v>
      </c>
      <c r="U205" s="1">
        <f>+_xlfn.XLOOKUP(C205,[1]!ESTADO_CUENTA[ID_CLIENTE],[1]!ESTADO_CUENTA[TOTAL SALDOS],0,0,-1)</f>
        <v>0</v>
      </c>
      <c r="V205" s="1">
        <f>_xlfn.XLOOKUP(C205,[1]!ESTADO_CUENTA[ID_CLIENTE],[1]!ESTADO_CUENTA[TOTAL DEUDAS],0,0,-1)</f>
        <v>0</v>
      </c>
    </row>
    <row r="206" spans="1:22" x14ac:dyDescent="0.25">
      <c r="A206" s="4">
        <v>46066</v>
      </c>
      <c r="B206" t="s">
        <v>32</v>
      </c>
      <c r="C206">
        <v>219</v>
      </c>
      <c r="D206" t="s">
        <v>836</v>
      </c>
      <c r="E206" t="s">
        <v>836</v>
      </c>
      <c r="G206" t="s">
        <v>837</v>
      </c>
      <c r="H206">
        <v>3203728948</v>
      </c>
      <c r="I206">
        <v>150</v>
      </c>
      <c r="J206">
        <v>450</v>
      </c>
      <c r="K206">
        <v>6750</v>
      </c>
      <c r="L206">
        <v>45</v>
      </c>
      <c r="M206">
        <v>15</v>
      </c>
      <c r="N206">
        <v>46081</v>
      </c>
      <c r="O206">
        <v>219</v>
      </c>
      <c r="P206">
        <v>29000</v>
      </c>
      <c r="Q206">
        <v>6750</v>
      </c>
      <c r="R206">
        <v>195750</v>
      </c>
      <c r="S206" t="s">
        <v>838</v>
      </c>
      <c r="T206" t="s">
        <v>839</v>
      </c>
      <c r="U206" s="1">
        <f>+_xlfn.XLOOKUP(C206,[1]!ESTADO_CUENTA[ID_CLIENTE],[1]!ESTADO_CUENTA[TOTAL SALDOS],0,0,-1)</f>
        <v>0</v>
      </c>
      <c r="V206" s="1">
        <f>_xlfn.XLOOKUP(C206,[1]!ESTADO_CUENTA[ID_CLIENTE],[1]!ESTADO_CUENTA[TOTAL DEUDAS],0,0,-1)</f>
        <v>0</v>
      </c>
    </row>
    <row r="207" spans="1:22" x14ac:dyDescent="0.25">
      <c r="B207" t="s">
        <v>28</v>
      </c>
      <c r="C207">
        <v>220</v>
      </c>
      <c r="D207" t="s">
        <v>840</v>
      </c>
      <c r="E207" t="s">
        <v>840</v>
      </c>
      <c r="G207" t="s">
        <v>841</v>
      </c>
      <c r="H207">
        <v>3025401098</v>
      </c>
      <c r="I207">
        <v>50</v>
      </c>
      <c r="J207">
        <v>350</v>
      </c>
      <c r="K207">
        <v>2450</v>
      </c>
      <c r="L207">
        <v>49</v>
      </c>
      <c r="M207">
        <v>7</v>
      </c>
      <c r="O207">
        <v>220</v>
      </c>
      <c r="P207">
        <v>53877.551020408166</v>
      </c>
      <c r="Q207">
        <v>2450</v>
      </c>
      <c r="R207">
        <v>132000</v>
      </c>
      <c r="S207" t="s">
        <v>842</v>
      </c>
      <c r="T207" t="s">
        <v>843</v>
      </c>
      <c r="U207" s="1">
        <f>+_xlfn.XLOOKUP(C207,[1]!ESTADO_CUENTA[ID_CLIENTE],[1]!ESTADO_CUENTA[TOTAL SALDOS],0,0,-1)</f>
        <v>0</v>
      </c>
      <c r="V207" s="1">
        <f>_xlfn.XLOOKUP(C207,[1]!ESTADO_CUENTA[ID_CLIENTE],[1]!ESTADO_CUENTA[TOTAL DEUDAS],0,0,-1)</f>
        <v>0</v>
      </c>
    </row>
    <row r="208" spans="1:22" x14ac:dyDescent="0.25">
      <c r="A208" s="4">
        <v>46062</v>
      </c>
      <c r="B208" t="s">
        <v>32</v>
      </c>
      <c r="C208">
        <v>221</v>
      </c>
      <c r="D208" t="s">
        <v>844</v>
      </c>
      <c r="E208" t="s">
        <v>844</v>
      </c>
      <c r="G208" t="s">
        <v>845</v>
      </c>
      <c r="H208">
        <v>3102701974</v>
      </c>
      <c r="I208">
        <v>59</v>
      </c>
      <c r="J208">
        <v>118</v>
      </c>
      <c r="K208">
        <v>826</v>
      </c>
      <c r="L208">
        <v>14</v>
      </c>
      <c r="M208">
        <v>7</v>
      </c>
      <c r="N208">
        <v>46069</v>
      </c>
      <c r="O208">
        <v>221</v>
      </c>
      <c r="P208">
        <v>50000</v>
      </c>
      <c r="Q208">
        <v>826</v>
      </c>
      <c r="R208">
        <v>41300</v>
      </c>
      <c r="S208" t="s">
        <v>846</v>
      </c>
      <c r="T208" t="s">
        <v>847</v>
      </c>
      <c r="U208" s="1">
        <f>+_xlfn.XLOOKUP(C208,[1]!ESTADO_CUENTA[ID_CLIENTE],[1]!ESTADO_CUENTA[TOTAL SALDOS],0,0,-1)</f>
        <v>0</v>
      </c>
      <c r="V208" s="1">
        <f>_xlfn.XLOOKUP(C208,[1]!ESTADO_CUENTA[ID_CLIENTE],[1]!ESTADO_CUENTA[TOTAL DEUDAS],0,0,-1)</f>
        <v>0</v>
      </c>
    </row>
    <row r="209" spans="1:22" x14ac:dyDescent="0.25">
      <c r="A209" s="4">
        <v>46073</v>
      </c>
      <c r="B209" t="s">
        <v>32</v>
      </c>
      <c r="C209">
        <v>222</v>
      </c>
      <c r="D209" t="s">
        <v>848</v>
      </c>
      <c r="E209" t="s">
        <v>849</v>
      </c>
      <c r="G209" t="s">
        <v>850</v>
      </c>
      <c r="H209">
        <v>3102323184</v>
      </c>
      <c r="I209">
        <v>130</v>
      </c>
      <c r="J209">
        <v>260</v>
      </c>
      <c r="K209">
        <v>3900</v>
      </c>
      <c r="L209">
        <v>30</v>
      </c>
      <c r="M209">
        <v>15</v>
      </c>
      <c r="N209">
        <v>46088</v>
      </c>
      <c r="O209">
        <v>222</v>
      </c>
      <c r="P209">
        <v>39000</v>
      </c>
      <c r="Q209">
        <v>3900</v>
      </c>
      <c r="R209">
        <v>152100</v>
      </c>
      <c r="S209" t="s">
        <v>851</v>
      </c>
      <c r="T209" t="s">
        <v>852</v>
      </c>
      <c r="U209" s="1">
        <f>+_xlfn.XLOOKUP(C209,[1]!ESTADO_CUENTA[ID_CLIENTE],[1]!ESTADO_CUENTA[TOTAL SALDOS],0,0,-1)</f>
        <v>152100</v>
      </c>
      <c r="V209" s="1">
        <f>_xlfn.XLOOKUP(C209,[1]!ESTADO_CUENTA[ID_CLIENTE],[1]!ESTADO_CUENTA[TOTAL DEUDAS],0,0,-1)</f>
        <v>0</v>
      </c>
    </row>
    <row r="210" spans="1:22" x14ac:dyDescent="0.25">
      <c r="A210" s="4">
        <v>46056</v>
      </c>
      <c r="B210" t="s">
        <v>32</v>
      </c>
      <c r="C210">
        <v>223</v>
      </c>
      <c r="D210" t="s">
        <v>853</v>
      </c>
      <c r="E210" t="s">
        <v>853</v>
      </c>
      <c r="G210" t="s">
        <v>854</v>
      </c>
      <c r="H210">
        <v>3143474850</v>
      </c>
      <c r="I210">
        <v>34</v>
      </c>
      <c r="J210">
        <v>68</v>
      </c>
      <c r="K210">
        <v>1020</v>
      </c>
      <c r="L210">
        <v>30</v>
      </c>
      <c r="M210">
        <v>15</v>
      </c>
      <c r="N210">
        <v>46071</v>
      </c>
      <c r="O210">
        <v>223</v>
      </c>
      <c r="P210">
        <v>85000</v>
      </c>
      <c r="Q210">
        <v>1020</v>
      </c>
      <c r="R210">
        <v>86700</v>
      </c>
      <c r="S210" t="s">
        <v>855</v>
      </c>
      <c r="T210" t="s">
        <v>856</v>
      </c>
      <c r="U210" s="1">
        <f>+_xlfn.XLOOKUP(C210,[1]!ESTADO_CUENTA[ID_CLIENTE],[1]!ESTADO_CUENTA[TOTAL SALDOS],0,0,-1)</f>
        <v>0</v>
      </c>
      <c r="V210" s="1">
        <f>_xlfn.XLOOKUP(C210,[1]!ESTADO_CUENTA[ID_CLIENTE],[1]!ESTADO_CUENTA[TOTAL DEUDAS],0,0,-1)</f>
        <v>0</v>
      </c>
    </row>
    <row r="211" spans="1:22" x14ac:dyDescent="0.25">
      <c r="B211" t="s">
        <v>28</v>
      </c>
      <c r="C211">
        <v>224</v>
      </c>
      <c r="D211" t="s">
        <v>857</v>
      </c>
      <c r="E211" t="s">
        <v>857</v>
      </c>
      <c r="G211" t="s">
        <v>858</v>
      </c>
      <c r="H211">
        <v>3152351111</v>
      </c>
      <c r="I211">
        <v>65</v>
      </c>
      <c r="J211">
        <v>103</v>
      </c>
      <c r="K211">
        <v>721</v>
      </c>
      <c r="L211">
        <v>11.092307692307692</v>
      </c>
      <c r="M211">
        <v>7</v>
      </c>
      <c r="O211">
        <v>224</v>
      </c>
      <c r="P211">
        <v>13869.625520110956</v>
      </c>
      <c r="Q211">
        <v>721</v>
      </c>
      <c r="R211">
        <v>10000</v>
      </c>
      <c r="S211" t="s">
        <v>859</v>
      </c>
      <c r="U211" s="1">
        <f>+_xlfn.XLOOKUP(C211,[1]!ESTADO_CUENTA[ID_CLIENTE],[1]!ESTADO_CUENTA[TOTAL SALDOS],0,0,-1)</f>
        <v>0</v>
      </c>
      <c r="V211" s="1">
        <f>_xlfn.XLOOKUP(C211,[1]!ESTADO_CUENTA[ID_CLIENTE],[1]!ESTADO_CUENTA[TOTAL DEUDAS],0,0,-1)</f>
        <v>0</v>
      </c>
    </row>
    <row r="212" spans="1:22" x14ac:dyDescent="0.25">
      <c r="A212" s="4">
        <v>46080</v>
      </c>
      <c r="B212" t="s">
        <v>32</v>
      </c>
      <c r="C212">
        <v>163</v>
      </c>
      <c r="D212" t="s">
        <v>1379</v>
      </c>
      <c r="E212" t="s">
        <v>619</v>
      </c>
      <c r="G212" t="s">
        <v>620</v>
      </c>
      <c r="H212">
        <v>3142352415</v>
      </c>
      <c r="I212">
        <v>150</v>
      </c>
      <c r="J212">
        <v>150</v>
      </c>
      <c r="K212">
        <v>1500</v>
      </c>
      <c r="L212">
        <v>10</v>
      </c>
      <c r="M212">
        <v>10</v>
      </c>
      <c r="N212">
        <v>46090</v>
      </c>
      <c r="O212">
        <v>163</v>
      </c>
      <c r="P212">
        <v>29000</v>
      </c>
      <c r="Q212">
        <v>1500</v>
      </c>
      <c r="R212">
        <v>43500</v>
      </c>
      <c r="S212" t="s">
        <v>621</v>
      </c>
      <c r="T212" t="s">
        <v>622</v>
      </c>
      <c r="U212" s="1">
        <f>+_xlfn.XLOOKUP(C212,[1]!ESTADO_CUENTA[ID_CLIENTE],[1]!ESTADO_CUENTA[TOTAL SALDOS],0,0,-1)</f>
        <v>0</v>
      </c>
      <c r="V212" s="1">
        <f>_xlfn.XLOOKUP(C212,[1]!ESTADO_CUENTA[ID_CLIENTE],[1]!ESTADO_CUENTA[TOTAL DEUDAS],0,0,-1)</f>
        <v>90500</v>
      </c>
    </row>
    <row r="213" spans="1:22" x14ac:dyDescent="0.25">
      <c r="A213" s="4">
        <v>46066</v>
      </c>
      <c r="B213" t="s">
        <v>32</v>
      </c>
      <c r="C213">
        <v>226</v>
      </c>
      <c r="D213" t="s">
        <v>864</v>
      </c>
      <c r="E213" t="s">
        <v>864</v>
      </c>
      <c r="G213" t="s">
        <v>865</v>
      </c>
      <c r="H213">
        <v>3227436015</v>
      </c>
      <c r="I213">
        <v>200</v>
      </c>
      <c r="J213">
        <v>600</v>
      </c>
      <c r="K213">
        <v>6200</v>
      </c>
      <c r="L213">
        <v>31</v>
      </c>
      <c r="M213">
        <v>10.333333333333334</v>
      </c>
      <c r="N213">
        <v>46076.333333333336</v>
      </c>
      <c r="O213">
        <v>226</v>
      </c>
      <c r="P213">
        <v>25000</v>
      </c>
      <c r="Q213">
        <v>6200</v>
      </c>
      <c r="R213">
        <v>155000</v>
      </c>
      <c r="S213" t="s">
        <v>866</v>
      </c>
      <c r="T213" t="s">
        <v>867</v>
      </c>
      <c r="U213" s="1">
        <f>+_xlfn.XLOOKUP(C213,[1]!ESTADO_CUENTA[ID_CLIENTE],[1]!ESTADO_CUENTA[TOTAL SALDOS],0,0,-1)</f>
        <v>310000</v>
      </c>
      <c r="V213" s="1">
        <f>_xlfn.XLOOKUP(C213,[1]!ESTADO_CUENTA[ID_CLIENTE],[1]!ESTADO_CUENTA[TOTAL DEUDAS],0,0,-1)</f>
        <v>0</v>
      </c>
    </row>
    <row r="214" spans="1:22" x14ac:dyDescent="0.25">
      <c r="A214" s="4">
        <v>46048</v>
      </c>
      <c r="B214" t="s">
        <v>20</v>
      </c>
      <c r="C214">
        <v>227</v>
      </c>
      <c r="D214" t="s">
        <v>868</v>
      </c>
      <c r="E214" t="s">
        <v>868</v>
      </c>
      <c r="G214" t="s">
        <v>869</v>
      </c>
      <c r="H214">
        <v>3115580933</v>
      </c>
      <c r="I214">
        <v>500</v>
      </c>
      <c r="J214">
        <v>1000</v>
      </c>
      <c r="K214">
        <v>500</v>
      </c>
      <c r="L214">
        <v>1</v>
      </c>
      <c r="M214">
        <v>0.5</v>
      </c>
      <c r="N214">
        <v>46048.5</v>
      </c>
      <c r="O214">
        <v>227</v>
      </c>
      <c r="P214">
        <v>90000</v>
      </c>
      <c r="Q214">
        <v>500</v>
      </c>
      <c r="R214">
        <v>45000</v>
      </c>
      <c r="S214" t="s">
        <v>870</v>
      </c>
      <c r="T214" t="s">
        <v>871</v>
      </c>
      <c r="U214" s="1">
        <f>+_xlfn.XLOOKUP(C214,[1]!ESTADO_CUENTA[ID_CLIENTE],[1]!ESTADO_CUENTA[TOTAL SALDOS],0,0,-1)</f>
        <v>0</v>
      </c>
      <c r="V214" s="1">
        <f>_xlfn.XLOOKUP(C214,[1]!ESTADO_CUENTA[ID_CLIENTE],[1]!ESTADO_CUENTA[TOTAL DEUDAS],0,0,-1)</f>
        <v>0</v>
      </c>
    </row>
    <row r="215" spans="1:22" x14ac:dyDescent="0.25">
      <c r="A215" s="4">
        <v>46062</v>
      </c>
      <c r="B215" t="s">
        <v>32</v>
      </c>
      <c r="C215">
        <v>228</v>
      </c>
      <c r="D215" t="s">
        <v>872</v>
      </c>
      <c r="E215" t="s">
        <v>872</v>
      </c>
      <c r="G215" t="s">
        <v>873</v>
      </c>
      <c r="H215">
        <v>3123538879</v>
      </c>
      <c r="I215">
        <v>250</v>
      </c>
      <c r="J215">
        <v>750</v>
      </c>
      <c r="K215">
        <v>11250</v>
      </c>
      <c r="L215">
        <v>45</v>
      </c>
      <c r="M215">
        <v>15</v>
      </c>
      <c r="N215">
        <v>46077</v>
      </c>
      <c r="O215">
        <v>228</v>
      </c>
      <c r="P215">
        <v>25000</v>
      </c>
      <c r="Q215">
        <v>11250</v>
      </c>
      <c r="R215">
        <v>281250</v>
      </c>
      <c r="S215" t="s">
        <v>874</v>
      </c>
      <c r="T215" t="s">
        <v>875</v>
      </c>
      <c r="U215" s="1">
        <f>+_xlfn.XLOOKUP(C215,[1]!ESTADO_CUENTA[ID_CLIENTE],[1]!ESTADO_CUENTA[TOTAL SALDOS],0,0,-1)</f>
        <v>0</v>
      </c>
      <c r="V215" s="1">
        <f>_xlfn.XLOOKUP(C215,[1]!ESTADO_CUENTA[ID_CLIENTE],[1]!ESTADO_CUENTA[TOTAL DEUDAS],0,0,-1)</f>
        <v>0</v>
      </c>
    </row>
    <row r="216" spans="1:22" x14ac:dyDescent="0.25">
      <c r="A216" s="4">
        <v>46060</v>
      </c>
      <c r="B216" t="s">
        <v>32</v>
      </c>
      <c r="C216">
        <v>229</v>
      </c>
      <c r="D216" t="s">
        <v>876</v>
      </c>
      <c r="E216" t="s">
        <v>876</v>
      </c>
      <c r="G216" t="s">
        <v>877</v>
      </c>
      <c r="H216">
        <v>3233952054</v>
      </c>
      <c r="I216">
        <v>67</v>
      </c>
      <c r="J216">
        <v>134</v>
      </c>
      <c r="K216">
        <v>2010</v>
      </c>
      <c r="L216">
        <v>30</v>
      </c>
      <c r="M216">
        <v>15</v>
      </c>
      <c r="N216">
        <v>46075</v>
      </c>
      <c r="O216">
        <v>229</v>
      </c>
      <c r="P216">
        <v>40000</v>
      </c>
      <c r="Q216">
        <v>2010</v>
      </c>
      <c r="R216">
        <v>80400</v>
      </c>
      <c r="S216" t="s">
        <v>878</v>
      </c>
      <c r="T216" t="s">
        <v>879</v>
      </c>
      <c r="U216" s="1">
        <f>+_xlfn.XLOOKUP(C216,[1]!ESTADO_CUENTA[ID_CLIENTE],[1]!ESTADO_CUENTA[TOTAL SALDOS],0,0,-1)</f>
        <v>0</v>
      </c>
      <c r="V216" s="1">
        <f>_xlfn.XLOOKUP(C216,[1]!ESTADO_CUENTA[ID_CLIENTE],[1]!ESTADO_CUENTA[TOTAL DEUDAS],0,0,-1)</f>
        <v>0</v>
      </c>
    </row>
    <row r="217" spans="1:22" x14ac:dyDescent="0.25">
      <c r="B217" t="s">
        <v>28</v>
      </c>
      <c r="C217">
        <v>230</v>
      </c>
      <c r="D217" t="s">
        <v>880</v>
      </c>
      <c r="E217" t="s">
        <v>881</v>
      </c>
      <c r="G217" t="s">
        <v>882</v>
      </c>
      <c r="H217">
        <v>3174184318</v>
      </c>
      <c r="I217">
        <v>196</v>
      </c>
      <c r="J217">
        <v>590</v>
      </c>
      <c r="K217">
        <v>4130</v>
      </c>
      <c r="L217">
        <v>21.071428571428573</v>
      </c>
      <c r="M217">
        <v>7</v>
      </c>
      <c r="O217">
        <v>230</v>
      </c>
      <c r="P217">
        <v>2421.3075060532688</v>
      </c>
      <c r="Q217">
        <v>4130</v>
      </c>
      <c r="R217">
        <v>10000</v>
      </c>
      <c r="S217" t="s">
        <v>883</v>
      </c>
      <c r="U217" s="1">
        <f>+_xlfn.XLOOKUP(C217,[1]!ESTADO_CUENTA[ID_CLIENTE],[1]!ESTADO_CUENTA[TOTAL SALDOS],0,0,-1)</f>
        <v>0</v>
      </c>
      <c r="V217" s="1">
        <f>_xlfn.XLOOKUP(C217,[1]!ESTADO_CUENTA[ID_CLIENTE],[1]!ESTADO_CUENTA[TOTAL DEUDAS],0,0,-1)</f>
        <v>0</v>
      </c>
    </row>
    <row r="218" spans="1:22" x14ac:dyDescent="0.25">
      <c r="A218" s="4">
        <v>46065</v>
      </c>
      <c r="B218" t="s">
        <v>32</v>
      </c>
      <c r="C218">
        <v>231</v>
      </c>
      <c r="D218" t="s">
        <v>884</v>
      </c>
      <c r="E218" t="s">
        <v>884</v>
      </c>
      <c r="G218" t="s">
        <v>885</v>
      </c>
      <c r="H218">
        <v>3123223532</v>
      </c>
      <c r="I218">
        <v>35</v>
      </c>
      <c r="J218">
        <v>70</v>
      </c>
      <c r="K218">
        <v>1050</v>
      </c>
      <c r="L218">
        <v>30</v>
      </c>
      <c r="M218">
        <v>15</v>
      </c>
      <c r="N218">
        <v>46080</v>
      </c>
      <c r="O218">
        <v>231</v>
      </c>
      <c r="P218">
        <v>41904.761904761901</v>
      </c>
      <c r="Q218">
        <v>1050</v>
      </c>
      <c r="R218">
        <v>44000</v>
      </c>
      <c r="S218" t="s">
        <v>886</v>
      </c>
      <c r="T218" t="s">
        <v>887</v>
      </c>
      <c r="U218" s="1">
        <f>+_xlfn.XLOOKUP(C218,[1]!ESTADO_CUENTA[ID_CLIENTE],[1]!ESTADO_CUENTA[TOTAL SALDOS],0,0,-1)</f>
        <v>0</v>
      </c>
      <c r="V218" s="1">
        <f>_xlfn.XLOOKUP(C218,[1]!ESTADO_CUENTA[ID_CLIENTE],[1]!ESTADO_CUENTA[TOTAL DEUDAS],0,0,-1)</f>
        <v>0</v>
      </c>
    </row>
    <row r="219" spans="1:22" x14ac:dyDescent="0.25">
      <c r="B219" t="s">
        <v>28</v>
      </c>
      <c r="C219">
        <v>232</v>
      </c>
      <c r="D219" t="s">
        <v>888</v>
      </c>
      <c r="E219" t="s">
        <v>888</v>
      </c>
      <c r="G219" t="s">
        <v>889</v>
      </c>
      <c r="H219">
        <v>3212180434</v>
      </c>
      <c r="I219">
        <v>90</v>
      </c>
      <c r="J219">
        <v>180</v>
      </c>
      <c r="K219">
        <v>2700</v>
      </c>
      <c r="L219">
        <v>30</v>
      </c>
      <c r="M219">
        <v>15</v>
      </c>
      <c r="O219">
        <v>232</v>
      </c>
      <c r="P219">
        <v>38222.222222222219</v>
      </c>
      <c r="Q219">
        <v>2700</v>
      </c>
      <c r="R219">
        <v>103200</v>
      </c>
      <c r="S219" t="s">
        <v>890</v>
      </c>
      <c r="T219" t="s">
        <v>891</v>
      </c>
      <c r="U219" s="1">
        <f>+_xlfn.XLOOKUP(C219,[1]!ESTADO_CUENTA[ID_CLIENTE],[1]!ESTADO_CUENTA[TOTAL SALDOS],0,0,-1)</f>
        <v>0</v>
      </c>
      <c r="V219" s="1">
        <f>_xlfn.XLOOKUP(C219,[1]!ESTADO_CUENTA[ID_CLIENTE],[1]!ESTADO_CUENTA[TOTAL DEUDAS],0,0,-1)</f>
        <v>0</v>
      </c>
    </row>
    <row r="220" spans="1:22" x14ac:dyDescent="0.25">
      <c r="B220" t="s">
        <v>28</v>
      </c>
      <c r="C220">
        <v>233</v>
      </c>
      <c r="D220" t="s">
        <v>892</v>
      </c>
      <c r="E220" t="s">
        <v>892</v>
      </c>
      <c r="G220" t="s">
        <v>893</v>
      </c>
      <c r="H220">
        <v>3005563556</v>
      </c>
      <c r="I220">
        <v>65</v>
      </c>
      <c r="J220">
        <v>130</v>
      </c>
      <c r="K220">
        <v>1950</v>
      </c>
      <c r="L220">
        <v>30</v>
      </c>
      <c r="M220">
        <v>15</v>
      </c>
      <c r="O220">
        <v>233</v>
      </c>
      <c r="P220">
        <v>41230.769230769234</v>
      </c>
      <c r="Q220">
        <v>1950</v>
      </c>
      <c r="R220">
        <v>80400</v>
      </c>
      <c r="S220" t="s">
        <v>894</v>
      </c>
      <c r="U220" s="1">
        <f>+_xlfn.XLOOKUP(C220,[1]!ESTADO_CUENTA[ID_CLIENTE],[1]!ESTADO_CUENTA[TOTAL SALDOS],0,0,-1)</f>
        <v>0</v>
      </c>
      <c r="V220" s="1">
        <f>_xlfn.XLOOKUP(C220,[1]!ESTADO_CUENTA[ID_CLIENTE],[1]!ESTADO_CUENTA[TOTAL DEUDAS],0,0,-1)</f>
        <v>0</v>
      </c>
    </row>
    <row r="221" spans="1:22" x14ac:dyDescent="0.25">
      <c r="A221" s="4">
        <v>46073</v>
      </c>
      <c r="B221" t="s">
        <v>32</v>
      </c>
      <c r="C221">
        <v>234</v>
      </c>
      <c r="D221" t="s">
        <v>895</v>
      </c>
      <c r="E221" t="s">
        <v>895</v>
      </c>
      <c r="G221" t="s">
        <v>896</v>
      </c>
      <c r="H221">
        <v>3208454868</v>
      </c>
      <c r="I221">
        <v>320</v>
      </c>
      <c r="J221">
        <v>320</v>
      </c>
      <c r="K221">
        <v>4800</v>
      </c>
      <c r="L221">
        <v>15</v>
      </c>
      <c r="M221">
        <v>15</v>
      </c>
      <c r="N221">
        <v>46088</v>
      </c>
      <c r="O221">
        <v>234</v>
      </c>
      <c r="P221">
        <v>30000</v>
      </c>
      <c r="Q221">
        <v>4800</v>
      </c>
      <c r="R221">
        <v>144000</v>
      </c>
      <c r="S221" t="s">
        <v>897</v>
      </c>
      <c r="T221" t="s">
        <v>898</v>
      </c>
      <c r="U221" s="1">
        <f>+_xlfn.XLOOKUP(C221,[1]!ESTADO_CUENTA[ID_CLIENTE],[1]!ESTADO_CUENTA[TOTAL SALDOS],0,0,-1)</f>
        <v>144000</v>
      </c>
      <c r="V221" s="1">
        <f>_xlfn.XLOOKUP(C221,[1]!ESTADO_CUENTA[ID_CLIENTE],[1]!ESTADO_CUENTA[TOTAL DEUDAS],0,0,-1)</f>
        <v>0</v>
      </c>
    </row>
    <row r="222" spans="1:22" x14ac:dyDescent="0.25">
      <c r="B222" t="s">
        <v>28</v>
      </c>
      <c r="C222">
        <v>236</v>
      </c>
      <c r="D222" t="s">
        <v>899</v>
      </c>
      <c r="E222" t="s">
        <v>899</v>
      </c>
      <c r="G222" t="s">
        <v>900</v>
      </c>
      <c r="H222">
        <v>3134800075</v>
      </c>
      <c r="I222">
        <v>110</v>
      </c>
      <c r="J222">
        <v>220</v>
      </c>
      <c r="K222">
        <v>1540</v>
      </c>
      <c r="L222">
        <v>14</v>
      </c>
      <c r="M222">
        <v>7</v>
      </c>
      <c r="O222">
        <v>236</v>
      </c>
      <c r="P222">
        <v>40519.480519480509</v>
      </c>
      <c r="Q222">
        <v>1540</v>
      </c>
      <c r="R222">
        <v>62400</v>
      </c>
      <c r="S222" t="s">
        <v>901</v>
      </c>
      <c r="T222" t="s">
        <v>902</v>
      </c>
      <c r="U222" s="1">
        <f>+_xlfn.XLOOKUP(C222,[1]!ESTADO_CUENTA[ID_CLIENTE],[1]!ESTADO_CUENTA[TOTAL SALDOS],0,0,-1)</f>
        <v>0</v>
      </c>
      <c r="V222" s="1">
        <f>_xlfn.XLOOKUP(C222,[1]!ESTADO_CUENTA[ID_CLIENTE],[1]!ESTADO_CUENTA[TOTAL DEUDAS],0,0,-1)</f>
        <v>0</v>
      </c>
    </row>
    <row r="223" spans="1:22" x14ac:dyDescent="0.25">
      <c r="B223" t="s">
        <v>28</v>
      </c>
      <c r="C223">
        <v>237</v>
      </c>
      <c r="D223" t="s">
        <v>903</v>
      </c>
      <c r="E223" t="s">
        <v>903</v>
      </c>
      <c r="G223" t="s">
        <v>904</v>
      </c>
      <c r="H223">
        <v>3138772977</v>
      </c>
      <c r="I223">
        <v>80</v>
      </c>
      <c r="J223">
        <v>160</v>
      </c>
      <c r="K223">
        <v>1120</v>
      </c>
      <c r="L223">
        <v>14</v>
      </c>
      <c r="M223">
        <v>7</v>
      </c>
      <c r="O223">
        <v>237</v>
      </c>
      <c r="P223">
        <v>36428.571428571428</v>
      </c>
      <c r="Q223">
        <v>1120</v>
      </c>
      <c r="R223">
        <v>40800</v>
      </c>
      <c r="S223" t="s">
        <v>905</v>
      </c>
      <c r="T223" t="s">
        <v>906</v>
      </c>
      <c r="U223" s="1">
        <f>+_xlfn.XLOOKUP(C223,[1]!ESTADO_CUENTA[ID_CLIENTE],[1]!ESTADO_CUENTA[TOTAL SALDOS],0,0,-1)</f>
        <v>0</v>
      </c>
      <c r="V223" s="1">
        <f>_xlfn.XLOOKUP(C223,[1]!ESTADO_CUENTA[ID_CLIENTE],[1]!ESTADO_CUENTA[TOTAL DEUDAS],0,0,-1)</f>
        <v>0</v>
      </c>
    </row>
    <row r="224" spans="1:22" x14ac:dyDescent="0.25">
      <c r="A224" s="4">
        <v>46071</v>
      </c>
      <c r="B224" t="s">
        <v>32</v>
      </c>
      <c r="C224">
        <v>238</v>
      </c>
      <c r="D224" t="s">
        <v>907</v>
      </c>
      <c r="E224" t="s">
        <v>907</v>
      </c>
      <c r="G224" t="s">
        <v>908</v>
      </c>
      <c r="H224">
        <v>3173755513</v>
      </c>
      <c r="I224">
        <v>300</v>
      </c>
      <c r="J224">
        <v>300</v>
      </c>
      <c r="K224">
        <v>5100</v>
      </c>
      <c r="L224">
        <v>17</v>
      </c>
      <c r="M224">
        <v>17</v>
      </c>
      <c r="N224">
        <v>46088</v>
      </c>
      <c r="O224">
        <v>238</v>
      </c>
      <c r="P224">
        <v>26000</v>
      </c>
      <c r="Q224">
        <v>5100</v>
      </c>
      <c r="R224">
        <v>132600</v>
      </c>
      <c r="S224" t="s">
        <v>909</v>
      </c>
      <c r="T224" t="s">
        <v>910</v>
      </c>
      <c r="U224" s="1">
        <f>+_xlfn.XLOOKUP(C224,[1]!ESTADO_CUENTA[ID_CLIENTE],[1]!ESTADO_CUENTA[TOTAL SALDOS],0,0,-1)</f>
        <v>0</v>
      </c>
      <c r="V224" s="1">
        <f>_xlfn.XLOOKUP(C224,[1]!ESTADO_CUENTA[ID_CLIENTE],[1]!ESTADO_CUENTA[TOTAL DEUDAS],0,0,-1)</f>
        <v>125100</v>
      </c>
    </row>
    <row r="225" spans="1:22" x14ac:dyDescent="0.25">
      <c r="A225" s="4">
        <v>46066</v>
      </c>
      <c r="B225" t="s">
        <v>32</v>
      </c>
      <c r="C225">
        <v>239</v>
      </c>
      <c r="D225" t="s">
        <v>911</v>
      </c>
      <c r="E225" t="s">
        <v>911</v>
      </c>
      <c r="G225" t="s">
        <v>912</v>
      </c>
      <c r="H225">
        <v>3057202444</v>
      </c>
      <c r="I225">
        <v>230</v>
      </c>
      <c r="J225">
        <v>230</v>
      </c>
      <c r="K225">
        <v>3450</v>
      </c>
      <c r="L225">
        <v>15</v>
      </c>
      <c r="M225">
        <v>15</v>
      </c>
      <c r="N225">
        <v>46081</v>
      </c>
      <c r="O225">
        <v>239</v>
      </c>
      <c r="P225">
        <v>13043.478260869564</v>
      </c>
      <c r="Q225">
        <v>3450</v>
      </c>
      <c r="R225">
        <v>45000</v>
      </c>
      <c r="S225" t="s">
        <v>913</v>
      </c>
      <c r="T225" t="s">
        <v>914</v>
      </c>
      <c r="U225" s="1">
        <f>+_xlfn.XLOOKUP(C225,[1]!ESTADO_CUENTA[ID_CLIENTE],[1]!ESTADO_CUENTA[TOTAL SALDOS],0,0,-1)</f>
        <v>0</v>
      </c>
      <c r="V225" s="1">
        <f>_xlfn.XLOOKUP(C225,[1]!ESTADO_CUENTA[ID_CLIENTE],[1]!ESTADO_CUENTA[TOTAL DEUDAS],0,0,-1)</f>
        <v>45000</v>
      </c>
    </row>
    <row r="226" spans="1:22" x14ac:dyDescent="0.25">
      <c r="A226" s="4">
        <v>46071</v>
      </c>
      <c r="B226" t="s">
        <v>32</v>
      </c>
      <c r="C226">
        <v>240</v>
      </c>
      <c r="D226" t="s">
        <v>915</v>
      </c>
      <c r="E226" t="s">
        <v>915</v>
      </c>
      <c r="G226" t="s">
        <v>916</v>
      </c>
      <c r="H226">
        <v>3144581629</v>
      </c>
      <c r="I226">
        <v>74</v>
      </c>
      <c r="J226">
        <v>222</v>
      </c>
      <c r="K226">
        <v>3330</v>
      </c>
      <c r="L226">
        <v>45</v>
      </c>
      <c r="M226">
        <v>15</v>
      </c>
      <c r="N226">
        <v>46086</v>
      </c>
      <c r="O226">
        <v>240</v>
      </c>
      <c r="P226">
        <v>39639.639639639638</v>
      </c>
      <c r="Q226">
        <v>3330</v>
      </c>
      <c r="R226">
        <v>132000</v>
      </c>
      <c r="S226" t="s">
        <v>917</v>
      </c>
      <c r="T226" t="s">
        <v>918</v>
      </c>
      <c r="U226" s="1">
        <f>+_xlfn.XLOOKUP(C226,[1]!ESTADO_CUENTA[ID_CLIENTE],[1]!ESTADO_CUENTA[TOTAL SALDOS],0,0,-1)</f>
        <v>0</v>
      </c>
      <c r="V226" s="1">
        <f>_xlfn.XLOOKUP(C226,[1]!ESTADO_CUENTA[ID_CLIENTE],[1]!ESTADO_CUENTA[TOTAL DEUDAS],0,0,-1)</f>
        <v>0</v>
      </c>
    </row>
    <row r="227" spans="1:22" x14ac:dyDescent="0.25">
      <c r="A227" s="4">
        <v>46065</v>
      </c>
      <c r="B227" t="s">
        <v>32</v>
      </c>
      <c r="C227">
        <v>241</v>
      </c>
      <c r="D227" t="s">
        <v>919</v>
      </c>
      <c r="E227" t="s">
        <v>919</v>
      </c>
      <c r="G227" t="s">
        <v>920</v>
      </c>
      <c r="H227">
        <v>3212496807</v>
      </c>
      <c r="I227">
        <v>300</v>
      </c>
      <c r="J227">
        <v>600</v>
      </c>
      <c r="K227">
        <v>9000</v>
      </c>
      <c r="L227">
        <v>30</v>
      </c>
      <c r="M227">
        <v>15</v>
      </c>
      <c r="N227">
        <v>46080</v>
      </c>
      <c r="O227">
        <v>241</v>
      </c>
      <c r="P227">
        <v>28000</v>
      </c>
      <c r="Q227">
        <v>9000</v>
      </c>
      <c r="R227">
        <v>252000</v>
      </c>
      <c r="S227" t="s">
        <v>921</v>
      </c>
      <c r="T227" t="s">
        <v>922</v>
      </c>
      <c r="U227" s="1">
        <f>+_xlfn.XLOOKUP(C227,[1]!ESTADO_CUENTA[ID_CLIENTE],[1]!ESTADO_CUENTA[TOTAL SALDOS],0,0,-1)</f>
        <v>252000</v>
      </c>
      <c r="V227" s="1">
        <f>_xlfn.XLOOKUP(C227,[1]!ESTADO_CUENTA[ID_CLIENTE],[1]!ESTADO_CUENTA[TOTAL DEUDAS],0,0,-1)</f>
        <v>0</v>
      </c>
    </row>
    <row r="228" spans="1:22" x14ac:dyDescent="0.25">
      <c r="A228" s="4">
        <v>46066</v>
      </c>
      <c r="B228" t="s">
        <v>32</v>
      </c>
      <c r="C228">
        <v>242</v>
      </c>
      <c r="D228" t="s">
        <v>923</v>
      </c>
      <c r="E228" t="s">
        <v>923</v>
      </c>
      <c r="G228" t="s">
        <v>924</v>
      </c>
      <c r="H228">
        <v>3157198061</v>
      </c>
      <c r="I228">
        <v>200</v>
      </c>
      <c r="J228">
        <v>200</v>
      </c>
      <c r="K228">
        <v>3000</v>
      </c>
      <c r="L228">
        <v>15</v>
      </c>
      <c r="M228">
        <v>15</v>
      </c>
      <c r="N228">
        <v>46081</v>
      </c>
      <c r="O228">
        <v>242</v>
      </c>
      <c r="P228">
        <v>32000</v>
      </c>
      <c r="Q228">
        <v>3000</v>
      </c>
      <c r="R228">
        <v>96000</v>
      </c>
      <c r="S228" t="s">
        <v>925</v>
      </c>
      <c r="T228" t="s">
        <v>926</v>
      </c>
      <c r="U228" s="1">
        <f>+_xlfn.XLOOKUP(C228,[1]!ESTADO_CUENTA[ID_CLIENTE],[1]!ESTADO_CUENTA[TOTAL SALDOS],0,0,-1)</f>
        <v>0</v>
      </c>
      <c r="V228" s="1">
        <f>_xlfn.XLOOKUP(C228,[1]!ESTADO_CUENTA[ID_CLIENTE],[1]!ESTADO_CUENTA[TOTAL DEUDAS],0,0,-1)</f>
        <v>0</v>
      </c>
    </row>
    <row r="229" spans="1:22" x14ac:dyDescent="0.25">
      <c r="A229" s="4">
        <v>46062</v>
      </c>
      <c r="B229" t="s">
        <v>32</v>
      </c>
      <c r="C229">
        <v>243</v>
      </c>
      <c r="D229" t="s">
        <v>927</v>
      </c>
      <c r="E229" t="s">
        <v>927</v>
      </c>
      <c r="G229" t="s">
        <v>928</v>
      </c>
      <c r="H229">
        <v>3187283298</v>
      </c>
      <c r="I229">
        <v>70</v>
      </c>
      <c r="J229">
        <v>210</v>
      </c>
      <c r="K229">
        <v>3150</v>
      </c>
      <c r="L229">
        <v>45</v>
      </c>
      <c r="M229">
        <v>15</v>
      </c>
      <c r="N229">
        <v>46077</v>
      </c>
      <c r="O229">
        <v>243</v>
      </c>
      <c r="P229">
        <v>42000</v>
      </c>
      <c r="Q229">
        <v>3150</v>
      </c>
      <c r="R229">
        <v>132300</v>
      </c>
      <c r="S229" t="s">
        <v>929</v>
      </c>
      <c r="U229" s="1">
        <f>+_xlfn.XLOOKUP(C229,[1]!ESTADO_CUENTA[ID_CLIENTE],[1]!ESTADO_CUENTA[TOTAL SALDOS],0,0,-1)</f>
        <v>0</v>
      </c>
      <c r="V229" s="1">
        <f>_xlfn.XLOOKUP(C229,[1]!ESTADO_CUENTA[ID_CLIENTE],[1]!ESTADO_CUENTA[TOTAL DEUDAS],0,0,-1)</f>
        <v>0</v>
      </c>
    </row>
    <row r="230" spans="1:22" x14ac:dyDescent="0.25">
      <c r="A230" s="4">
        <v>46066</v>
      </c>
      <c r="B230" t="s">
        <v>32</v>
      </c>
      <c r="C230">
        <v>244</v>
      </c>
      <c r="D230" t="s">
        <v>930</v>
      </c>
      <c r="E230" t="s">
        <v>930</v>
      </c>
      <c r="G230" t="s">
        <v>931</v>
      </c>
      <c r="H230">
        <v>3057630517</v>
      </c>
      <c r="I230">
        <v>150</v>
      </c>
      <c r="J230">
        <v>300</v>
      </c>
      <c r="K230">
        <v>4500</v>
      </c>
      <c r="L230">
        <v>30</v>
      </c>
      <c r="M230">
        <v>15</v>
      </c>
      <c r="N230">
        <v>46081</v>
      </c>
      <c r="O230">
        <v>244</v>
      </c>
      <c r="P230">
        <v>40000</v>
      </c>
      <c r="Q230">
        <v>4500</v>
      </c>
      <c r="R230">
        <v>180000</v>
      </c>
      <c r="S230" t="s">
        <v>932</v>
      </c>
      <c r="T230" t="s">
        <v>933</v>
      </c>
      <c r="U230" s="1">
        <f>+_xlfn.XLOOKUP(C230,[1]!ESTADO_CUENTA[ID_CLIENTE],[1]!ESTADO_CUENTA[TOTAL SALDOS],0,0,-1)</f>
        <v>0</v>
      </c>
      <c r="V230" s="1">
        <f>_xlfn.XLOOKUP(C230,[1]!ESTADO_CUENTA[ID_CLIENTE],[1]!ESTADO_CUENTA[TOTAL DEUDAS],0,0,-1)</f>
        <v>0</v>
      </c>
    </row>
    <row r="231" spans="1:22" x14ac:dyDescent="0.25">
      <c r="A231" s="4">
        <v>46071</v>
      </c>
      <c r="B231" t="s">
        <v>32</v>
      </c>
      <c r="C231">
        <v>245</v>
      </c>
      <c r="D231" t="s">
        <v>934</v>
      </c>
      <c r="E231" t="s">
        <v>935</v>
      </c>
      <c r="G231" t="s">
        <v>936</v>
      </c>
      <c r="H231">
        <v>3222549449</v>
      </c>
      <c r="I231">
        <v>120</v>
      </c>
      <c r="J231">
        <v>240</v>
      </c>
      <c r="K231">
        <v>3840</v>
      </c>
      <c r="L231">
        <v>32</v>
      </c>
      <c r="M231">
        <v>16</v>
      </c>
      <c r="N231">
        <v>46087</v>
      </c>
      <c r="O231">
        <v>245</v>
      </c>
      <c r="P231">
        <v>15000</v>
      </c>
      <c r="Q231">
        <v>3840</v>
      </c>
      <c r="R231">
        <v>57600</v>
      </c>
      <c r="S231" t="s">
        <v>937</v>
      </c>
      <c r="U231" s="1">
        <f>+_xlfn.XLOOKUP(C231,[1]!ESTADO_CUENTA[ID_CLIENTE],[1]!ESTADO_CUENTA[TOTAL SALDOS],0,0,-1)</f>
        <v>0</v>
      </c>
      <c r="V231" s="1">
        <f>_xlfn.XLOOKUP(C231,[1]!ESTADO_CUENTA[ID_CLIENTE],[1]!ESTADO_CUENTA[TOTAL DEUDAS],0,0,-1)</f>
        <v>72000</v>
      </c>
    </row>
    <row r="232" spans="1:22" x14ac:dyDescent="0.25">
      <c r="B232" t="s">
        <v>28</v>
      </c>
      <c r="C232">
        <v>187</v>
      </c>
      <c r="D232" t="s">
        <v>1380</v>
      </c>
      <c r="E232" t="s">
        <v>714</v>
      </c>
      <c r="G232" t="s">
        <v>715</v>
      </c>
      <c r="H232">
        <v>3183191793</v>
      </c>
      <c r="I232">
        <v>37</v>
      </c>
      <c r="J232">
        <v>113</v>
      </c>
      <c r="K232">
        <v>791</v>
      </c>
      <c r="L232">
        <v>21.378378378378379</v>
      </c>
      <c r="M232">
        <v>7</v>
      </c>
      <c r="O232">
        <v>187</v>
      </c>
      <c r="P232">
        <v>12642.225031605562</v>
      </c>
      <c r="Q232">
        <v>791</v>
      </c>
      <c r="R232">
        <v>10000</v>
      </c>
      <c r="S232" t="s">
        <v>716</v>
      </c>
      <c r="U232" s="1">
        <f>+_xlfn.XLOOKUP(C232,[1]!ESTADO_CUENTA[ID_CLIENTE],[1]!ESTADO_CUENTA[TOTAL SALDOS],0,0,-1)</f>
        <v>0</v>
      </c>
      <c r="V232" s="1">
        <f>_xlfn.XLOOKUP(C232,[1]!ESTADO_CUENTA[ID_CLIENTE],[1]!ESTADO_CUENTA[TOTAL DEUDAS],0,0,-1)</f>
        <v>0</v>
      </c>
    </row>
    <row r="233" spans="1:22" x14ac:dyDescent="0.25">
      <c r="A233" s="4">
        <v>46073</v>
      </c>
      <c r="B233" t="s">
        <v>32</v>
      </c>
      <c r="C233">
        <v>247</v>
      </c>
      <c r="D233" t="s">
        <v>942</v>
      </c>
      <c r="E233" t="s">
        <v>942</v>
      </c>
      <c r="G233" t="s">
        <v>943</v>
      </c>
      <c r="H233">
        <v>3208339212</v>
      </c>
      <c r="I233">
        <v>60</v>
      </c>
      <c r="J233">
        <v>180</v>
      </c>
      <c r="K233">
        <v>1260</v>
      </c>
      <c r="L233">
        <v>21</v>
      </c>
      <c r="M233">
        <v>7</v>
      </c>
      <c r="N233">
        <v>46080</v>
      </c>
      <c r="O233">
        <v>247</v>
      </c>
      <c r="P233">
        <v>45714.285714285717</v>
      </c>
      <c r="Q233">
        <v>1260</v>
      </c>
      <c r="R233">
        <v>57600</v>
      </c>
      <c r="S233" t="s">
        <v>944</v>
      </c>
      <c r="T233" t="s">
        <v>945</v>
      </c>
      <c r="U233" s="1">
        <f>+_xlfn.XLOOKUP(C233,[1]!ESTADO_CUENTA[ID_CLIENTE],[1]!ESTADO_CUENTA[TOTAL SALDOS],0,0,-1)</f>
        <v>0</v>
      </c>
      <c r="V233" s="1">
        <f>_xlfn.XLOOKUP(C233,[1]!ESTADO_CUENTA[ID_CLIENTE],[1]!ESTADO_CUENTA[TOTAL DEUDAS],0,0,-1)</f>
        <v>0</v>
      </c>
    </row>
    <row r="234" spans="1:22" x14ac:dyDescent="0.25">
      <c r="B234" t="s">
        <v>28</v>
      </c>
      <c r="C234">
        <v>248</v>
      </c>
      <c r="D234" t="s">
        <v>946</v>
      </c>
      <c r="E234" t="s">
        <v>946</v>
      </c>
      <c r="G234" t="s">
        <v>947</v>
      </c>
      <c r="H234">
        <v>3118511812</v>
      </c>
      <c r="I234">
        <v>200</v>
      </c>
      <c r="J234">
        <v>400</v>
      </c>
      <c r="K234">
        <v>6000</v>
      </c>
      <c r="L234">
        <v>30</v>
      </c>
      <c r="M234">
        <v>15</v>
      </c>
      <c r="O234">
        <v>248</v>
      </c>
      <c r="P234">
        <v>13000</v>
      </c>
      <c r="Q234">
        <v>6000</v>
      </c>
      <c r="R234">
        <v>78000</v>
      </c>
      <c r="S234" t="s">
        <v>948</v>
      </c>
      <c r="U234" s="1">
        <f>+_xlfn.XLOOKUP(C234,[1]!ESTADO_CUENTA[ID_CLIENTE],[1]!ESTADO_CUENTA[TOTAL SALDOS],0,0,-1)</f>
        <v>0</v>
      </c>
      <c r="V234" s="1">
        <f>_xlfn.XLOOKUP(C234,[1]!ESTADO_CUENTA[ID_CLIENTE],[1]!ESTADO_CUENTA[TOTAL DEUDAS],0,0,-1)</f>
        <v>0</v>
      </c>
    </row>
    <row r="235" spans="1:22" x14ac:dyDescent="0.25">
      <c r="A235" s="4">
        <v>46052</v>
      </c>
      <c r="B235" t="s">
        <v>20</v>
      </c>
      <c r="C235">
        <v>249</v>
      </c>
      <c r="D235" t="s">
        <v>949</v>
      </c>
      <c r="E235" t="s">
        <v>949</v>
      </c>
      <c r="G235" t="s">
        <v>950</v>
      </c>
      <c r="H235">
        <v>3224175609</v>
      </c>
      <c r="I235">
        <v>50</v>
      </c>
      <c r="J235">
        <v>100</v>
      </c>
      <c r="K235">
        <v>1500</v>
      </c>
      <c r="L235">
        <v>30</v>
      </c>
      <c r="M235">
        <v>15</v>
      </c>
      <c r="N235">
        <v>46067</v>
      </c>
      <c r="O235">
        <v>249</v>
      </c>
      <c r="P235">
        <v>53600</v>
      </c>
      <c r="Q235">
        <v>1500</v>
      </c>
      <c r="R235">
        <v>80400</v>
      </c>
      <c r="S235" t="s">
        <v>951</v>
      </c>
      <c r="T235" t="s">
        <v>952</v>
      </c>
      <c r="U235" s="1">
        <f>+_xlfn.XLOOKUP(C235,[1]!ESTADO_CUENTA[ID_CLIENTE],[1]!ESTADO_CUENTA[TOTAL SALDOS],0,0,-1)</f>
        <v>0</v>
      </c>
      <c r="V235" s="1">
        <f>_xlfn.XLOOKUP(C235,[1]!ESTADO_CUENTA[ID_CLIENTE],[1]!ESTADO_CUENTA[TOTAL DEUDAS],0,0,-1)</f>
        <v>40200</v>
      </c>
    </row>
    <row r="236" spans="1:22" x14ac:dyDescent="0.25">
      <c r="A236" s="4">
        <v>46066</v>
      </c>
      <c r="B236" t="s">
        <v>32</v>
      </c>
      <c r="C236">
        <v>194</v>
      </c>
      <c r="D236" t="s">
        <v>1381</v>
      </c>
      <c r="E236" t="s">
        <v>733</v>
      </c>
      <c r="G236" t="s">
        <v>734</v>
      </c>
      <c r="H236">
        <v>3143690333</v>
      </c>
      <c r="I236">
        <v>140</v>
      </c>
      <c r="J236">
        <v>280</v>
      </c>
      <c r="K236">
        <v>4200</v>
      </c>
      <c r="L236">
        <v>30</v>
      </c>
      <c r="M236">
        <v>15</v>
      </c>
      <c r="N236">
        <v>46081</v>
      </c>
      <c r="O236">
        <v>194</v>
      </c>
      <c r="P236">
        <v>34455</v>
      </c>
      <c r="Q236">
        <v>4200</v>
      </c>
      <c r="R236">
        <v>151075.2475</v>
      </c>
      <c r="S236" t="s">
        <v>735</v>
      </c>
      <c r="T236" t="s">
        <v>736</v>
      </c>
      <c r="U236" s="1">
        <f>+_xlfn.XLOOKUP(C236,[1]!ESTADO_CUENTA[ID_CLIENTE],[1]!ESTADO_CUENTA[TOTAL SALDOS],0,0,-1)</f>
        <v>0</v>
      </c>
      <c r="V236" s="1">
        <f>_xlfn.XLOOKUP(C236,[1]!ESTADO_CUENTA[ID_CLIENTE],[1]!ESTADO_CUENTA[TOTAL DEUDAS],0,0,-1)</f>
        <v>363286</v>
      </c>
    </row>
    <row r="237" spans="1:22" x14ac:dyDescent="0.25">
      <c r="A237" s="4">
        <v>46083</v>
      </c>
      <c r="B237" t="s">
        <v>771</v>
      </c>
      <c r="C237">
        <v>203</v>
      </c>
      <c r="D237" t="s">
        <v>1382</v>
      </c>
      <c r="E237" t="s">
        <v>772</v>
      </c>
      <c r="G237" t="s">
        <v>773</v>
      </c>
      <c r="H237">
        <v>3002112901</v>
      </c>
      <c r="I237">
        <v>130</v>
      </c>
      <c r="J237">
        <v>260</v>
      </c>
      <c r="K237">
        <v>3900</v>
      </c>
      <c r="L237">
        <v>30</v>
      </c>
      <c r="M237">
        <v>15</v>
      </c>
      <c r="N237">
        <v>46098</v>
      </c>
      <c r="O237">
        <v>203</v>
      </c>
      <c r="P237">
        <v>29000</v>
      </c>
      <c r="Q237">
        <v>3900</v>
      </c>
      <c r="R237">
        <v>113100</v>
      </c>
      <c r="S237" t="s">
        <v>774</v>
      </c>
      <c r="T237" t="s">
        <v>775</v>
      </c>
      <c r="U237" s="1">
        <f>+_xlfn.XLOOKUP(C237,[1]!ESTADO_CUENTA[ID_CLIENTE],[1]!ESTADO_CUENTA[TOTAL SALDOS],0,0,-1)</f>
        <v>0</v>
      </c>
      <c r="V237" s="1">
        <f>_xlfn.XLOOKUP(C237,[1]!ESTADO_CUENTA[ID_CLIENTE],[1]!ESTADO_CUENTA[TOTAL DEUDAS],0,0,-1)</f>
        <v>0</v>
      </c>
    </row>
    <row r="238" spans="1:22" x14ac:dyDescent="0.25">
      <c r="A238" s="4">
        <v>46037</v>
      </c>
      <c r="B238" t="s">
        <v>20</v>
      </c>
      <c r="C238">
        <v>252</v>
      </c>
      <c r="D238" t="s">
        <v>961</v>
      </c>
      <c r="E238" t="s">
        <v>961</v>
      </c>
      <c r="G238" t="s">
        <v>962</v>
      </c>
      <c r="H238">
        <v>3103093707</v>
      </c>
      <c r="I238">
        <v>235</v>
      </c>
      <c r="J238">
        <v>470</v>
      </c>
      <c r="K238">
        <v>7050</v>
      </c>
      <c r="L238">
        <v>30</v>
      </c>
      <c r="M238">
        <v>15</v>
      </c>
      <c r="N238">
        <v>46052</v>
      </c>
      <c r="O238">
        <v>252</v>
      </c>
      <c r="P238">
        <v>25000</v>
      </c>
      <c r="Q238">
        <v>7050</v>
      </c>
      <c r="R238">
        <v>176250</v>
      </c>
      <c r="S238" t="s">
        <v>963</v>
      </c>
      <c r="T238" t="s">
        <v>910</v>
      </c>
      <c r="U238" s="1">
        <f>+_xlfn.XLOOKUP(C238,[1]!ESTADO_CUENTA[ID_CLIENTE],[1]!ESTADO_CUENTA[TOTAL SALDOS],0,0,-1)</f>
        <v>0</v>
      </c>
      <c r="V238" s="1">
        <f>_xlfn.XLOOKUP(C238,[1]!ESTADO_CUENTA[ID_CLIENTE],[1]!ESTADO_CUENTA[TOTAL DEUDAS],0,0,-1)</f>
        <v>0</v>
      </c>
    </row>
    <row r="239" spans="1:22" x14ac:dyDescent="0.25">
      <c r="A239" s="4">
        <v>46073</v>
      </c>
      <c r="B239" t="s">
        <v>32</v>
      </c>
      <c r="C239">
        <v>204</v>
      </c>
      <c r="D239" t="s">
        <v>1383</v>
      </c>
      <c r="E239" t="s">
        <v>776</v>
      </c>
      <c r="G239" t="s">
        <v>777</v>
      </c>
      <c r="H239">
        <v>3223073853</v>
      </c>
      <c r="I239">
        <v>25</v>
      </c>
      <c r="J239">
        <v>75</v>
      </c>
      <c r="K239">
        <v>1125</v>
      </c>
      <c r="L239">
        <v>45</v>
      </c>
      <c r="M239">
        <v>15</v>
      </c>
      <c r="N239">
        <v>46088</v>
      </c>
      <c r="O239">
        <v>204</v>
      </c>
      <c r="P239">
        <v>48361.777777777774</v>
      </c>
      <c r="Q239">
        <v>1125</v>
      </c>
      <c r="R239">
        <v>54407</v>
      </c>
      <c r="S239" t="s">
        <v>778</v>
      </c>
      <c r="T239" t="s">
        <v>779</v>
      </c>
      <c r="U239" s="1">
        <f>+_xlfn.XLOOKUP(C239,[1]!ESTADO_CUENTA[ID_CLIENTE],[1]!ESTADO_CUENTA[TOTAL SALDOS],0,0,-1)</f>
        <v>0</v>
      </c>
      <c r="V239" s="1">
        <f>_xlfn.XLOOKUP(C239,[1]!ESTADO_CUENTA[ID_CLIENTE],[1]!ESTADO_CUENTA[TOTAL DEUDAS],0,0,-1)</f>
        <v>0</v>
      </c>
    </row>
    <row r="240" spans="1:22" x14ac:dyDescent="0.25">
      <c r="B240" t="s">
        <v>28</v>
      </c>
      <c r="C240">
        <v>254</v>
      </c>
      <c r="D240" t="s">
        <v>967</v>
      </c>
      <c r="E240" t="s">
        <v>967</v>
      </c>
      <c r="G240" t="s">
        <v>968</v>
      </c>
      <c r="H240">
        <v>3144250722</v>
      </c>
      <c r="I240">
        <v>65</v>
      </c>
      <c r="J240">
        <v>130</v>
      </c>
      <c r="K240">
        <v>1950</v>
      </c>
      <c r="L240">
        <v>30</v>
      </c>
      <c r="M240">
        <v>15</v>
      </c>
      <c r="O240">
        <v>254</v>
      </c>
      <c r="P240">
        <v>41230.769230769234</v>
      </c>
      <c r="Q240">
        <v>1950</v>
      </c>
      <c r="R240">
        <v>80400</v>
      </c>
      <c r="S240" t="s">
        <v>969</v>
      </c>
      <c r="U240" s="1">
        <f>+_xlfn.XLOOKUP(C240,[1]!ESTADO_CUENTA[ID_CLIENTE],[1]!ESTADO_CUENTA[TOTAL SALDOS],0,0,-1)</f>
        <v>0</v>
      </c>
      <c r="V240" s="1">
        <f>_xlfn.XLOOKUP(C240,[1]!ESTADO_CUENTA[ID_CLIENTE],[1]!ESTADO_CUENTA[TOTAL DEUDAS],0,0,-1)</f>
        <v>0</v>
      </c>
    </row>
    <row r="241" spans="1:22" x14ac:dyDescent="0.25">
      <c r="A241" s="4">
        <v>0</v>
      </c>
      <c r="B241" t="s">
        <v>20</v>
      </c>
      <c r="C241">
        <v>255</v>
      </c>
      <c r="D241" t="s">
        <v>970</v>
      </c>
      <c r="E241" t="s">
        <v>971</v>
      </c>
      <c r="G241" t="s">
        <v>6</v>
      </c>
      <c r="I241">
        <v>0</v>
      </c>
      <c r="J241">
        <v>0</v>
      </c>
      <c r="K241">
        <v>0</v>
      </c>
      <c r="O241">
        <v>255</v>
      </c>
      <c r="Q241">
        <v>0</v>
      </c>
      <c r="R241">
        <v>0</v>
      </c>
      <c r="U241" s="1">
        <f>+_xlfn.XLOOKUP(C241,[1]!ESTADO_CUENTA[ID_CLIENTE],[1]!ESTADO_CUENTA[TOTAL SALDOS],0,0,-1)</f>
        <v>0</v>
      </c>
      <c r="V241" s="1">
        <f>_xlfn.XLOOKUP(C241,[1]!ESTADO_CUENTA[ID_CLIENTE],[1]!ESTADO_CUENTA[TOTAL DEUDAS],0,0,-1)</f>
        <v>0</v>
      </c>
    </row>
    <row r="242" spans="1:22" x14ac:dyDescent="0.25">
      <c r="A242" s="4">
        <v>46070</v>
      </c>
      <c r="B242" t="s">
        <v>32</v>
      </c>
      <c r="C242">
        <v>256</v>
      </c>
      <c r="D242" t="s">
        <v>972</v>
      </c>
      <c r="E242" t="s">
        <v>972</v>
      </c>
      <c r="G242" t="s">
        <v>973</v>
      </c>
      <c r="H242">
        <v>3208294365</v>
      </c>
      <c r="I242">
        <v>180</v>
      </c>
      <c r="J242">
        <v>540</v>
      </c>
      <c r="K242">
        <v>8100</v>
      </c>
      <c r="L242">
        <v>45</v>
      </c>
      <c r="M242">
        <v>15</v>
      </c>
      <c r="N242">
        <v>46085</v>
      </c>
      <c r="O242">
        <v>256</v>
      </c>
      <c r="P242">
        <v>27000</v>
      </c>
      <c r="Q242">
        <v>8100</v>
      </c>
      <c r="R242">
        <v>218700</v>
      </c>
      <c r="S242" t="s">
        <v>974</v>
      </c>
      <c r="T242" t="s">
        <v>975</v>
      </c>
      <c r="U242" s="1">
        <f>+_xlfn.XLOOKUP(C242,[1]!ESTADO_CUENTA[ID_CLIENTE],[1]!ESTADO_CUENTA[TOTAL SALDOS],0,0,-1)</f>
        <v>0</v>
      </c>
      <c r="V242" s="1">
        <f>_xlfn.XLOOKUP(C242,[1]!ESTADO_CUENTA[ID_CLIENTE],[1]!ESTADO_CUENTA[TOTAL DEUDAS],0,0,-1)</f>
        <v>218700</v>
      </c>
    </row>
    <row r="243" spans="1:22" x14ac:dyDescent="0.25">
      <c r="A243" s="4">
        <v>46080</v>
      </c>
      <c r="B243" t="s">
        <v>32</v>
      </c>
      <c r="C243">
        <v>210</v>
      </c>
      <c r="D243" t="s">
        <v>1384</v>
      </c>
      <c r="E243" t="s">
        <v>799</v>
      </c>
      <c r="G243" t="s">
        <v>800</v>
      </c>
      <c r="H243">
        <v>3174191530</v>
      </c>
      <c r="I243">
        <v>145</v>
      </c>
      <c r="J243">
        <v>145</v>
      </c>
      <c r="K243">
        <v>1015</v>
      </c>
      <c r="L243">
        <v>7</v>
      </c>
      <c r="M243">
        <v>7</v>
      </c>
      <c r="N243">
        <v>46087</v>
      </c>
      <c r="O243">
        <v>210</v>
      </c>
      <c r="P243">
        <v>40000</v>
      </c>
      <c r="Q243">
        <v>1015</v>
      </c>
      <c r="R243">
        <v>40600</v>
      </c>
      <c r="S243" t="s">
        <v>801</v>
      </c>
      <c r="T243" t="s">
        <v>802</v>
      </c>
      <c r="U243" s="1">
        <f>+_xlfn.XLOOKUP(C243,[1]!ESTADO_CUENTA[ID_CLIENTE],[1]!ESTADO_CUENTA[TOTAL SALDOS],0,0,-1)</f>
        <v>0</v>
      </c>
      <c r="V243" s="1">
        <f>_xlfn.XLOOKUP(C243,[1]!ESTADO_CUENTA[ID_CLIENTE],[1]!ESTADO_CUENTA[TOTAL DEUDAS],0,0,-1)</f>
        <v>0</v>
      </c>
    </row>
    <row r="244" spans="1:22" x14ac:dyDescent="0.25">
      <c r="B244" t="s">
        <v>28</v>
      </c>
      <c r="C244">
        <v>258</v>
      </c>
      <c r="D244" t="s">
        <v>980</v>
      </c>
      <c r="E244" t="s">
        <v>980</v>
      </c>
      <c r="G244" t="s">
        <v>981</v>
      </c>
      <c r="H244">
        <v>3125952260</v>
      </c>
      <c r="I244">
        <v>50</v>
      </c>
      <c r="J244">
        <v>100</v>
      </c>
      <c r="K244">
        <v>700</v>
      </c>
      <c r="L244">
        <v>14</v>
      </c>
      <c r="M244">
        <v>7</v>
      </c>
      <c r="O244">
        <v>258</v>
      </c>
      <c r="P244">
        <v>14285.714285714286</v>
      </c>
      <c r="Q244">
        <v>700</v>
      </c>
      <c r="R244">
        <v>10000</v>
      </c>
      <c r="S244" t="s">
        <v>982</v>
      </c>
      <c r="U244" s="1">
        <f>+_xlfn.XLOOKUP(C244,[1]!ESTADO_CUENTA[ID_CLIENTE],[1]!ESTADO_CUENTA[TOTAL SALDOS],0,0,-1)</f>
        <v>0</v>
      </c>
      <c r="V244" s="1">
        <f>_xlfn.XLOOKUP(C244,[1]!ESTADO_CUENTA[ID_CLIENTE],[1]!ESTADO_CUENTA[TOTAL DEUDAS],0,0,-1)</f>
        <v>0</v>
      </c>
    </row>
    <row r="245" spans="1:22" x14ac:dyDescent="0.25">
      <c r="B245" t="s">
        <v>28</v>
      </c>
      <c r="C245">
        <v>259</v>
      </c>
      <c r="D245" t="s">
        <v>983</v>
      </c>
      <c r="E245" t="s">
        <v>984</v>
      </c>
      <c r="G245" t="s">
        <v>985</v>
      </c>
      <c r="H245">
        <v>3015802694</v>
      </c>
      <c r="I245">
        <v>85</v>
      </c>
      <c r="J245">
        <v>170</v>
      </c>
      <c r="K245">
        <v>1190</v>
      </c>
      <c r="L245">
        <v>14</v>
      </c>
      <c r="M245">
        <v>7</v>
      </c>
      <c r="O245">
        <v>259</v>
      </c>
      <c r="P245">
        <v>82184.873949579836</v>
      </c>
      <c r="Q245">
        <v>1190</v>
      </c>
      <c r="R245">
        <v>97800</v>
      </c>
      <c r="S245" t="s">
        <v>986</v>
      </c>
      <c r="U245" s="1">
        <f>+_xlfn.XLOOKUP(C245,[1]!ESTADO_CUENTA[ID_CLIENTE],[1]!ESTADO_CUENTA[TOTAL SALDOS],0,0,-1)</f>
        <v>0</v>
      </c>
      <c r="V245" s="1">
        <f>_xlfn.XLOOKUP(C245,[1]!ESTADO_CUENTA[ID_CLIENTE],[1]!ESTADO_CUENTA[TOTAL DEUDAS],0,0,-1)</f>
        <v>0</v>
      </c>
    </row>
    <row r="246" spans="1:22" x14ac:dyDescent="0.25">
      <c r="A246" s="4">
        <v>46062</v>
      </c>
      <c r="B246" t="s">
        <v>32</v>
      </c>
      <c r="C246">
        <v>260</v>
      </c>
      <c r="D246" t="s">
        <v>987</v>
      </c>
      <c r="E246" t="s">
        <v>988</v>
      </c>
      <c r="G246" t="s">
        <v>989</v>
      </c>
      <c r="H246">
        <v>3144130865</v>
      </c>
      <c r="I246">
        <v>135</v>
      </c>
      <c r="J246">
        <v>270</v>
      </c>
      <c r="K246">
        <v>4050</v>
      </c>
      <c r="L246">
        <v>30</v>
      </c>
      <c r="M246">
        <v>15</v>
      </c>
      <c r="N246">
        <v>46077</v>
      </c>
      <c r="O246">
        <v>260</v>
      </c>
      <c r="P246">
        <v>33481.481481481482</v>
      </c>
      <c r="Q246">
        <v>4050</v>
      </c>
      <c r="R246">
        <v>135600</v>
      </c>
      <c r="S246" t="s">
        <v>990</v>
      </c>
      <c r="T246" t="s">
        <v>887</v>
      </c>
      <c r="U246" s="1">
        <f>+_xlfn.XLOOKUP(C246,[1]!ESTADO_CUENTA[ID_CLIENTE],[1]!ESTADO_CUENTA[TOTAL SALDOS],0,0,-1)</f>
        <v>0</v>
      </c>
      <c r="V246" s="1">
        <f>_xlfn.XLOOKUP(C246,[1]!ESTADO_CUENTA[ID_CLIENTE],[1]!ESTADO_CUENTA[TOTAL DEUDAS],0,0,-1)</f>
        <v>0</v>
      </c>
    </row>
    <row r="247" spans="1:22" x14ac:dyDescent="0.25">
      <c r="A247" s="4">
        <v>46063</v>
      </c>
      <c r="B247" t="s">
        <v>32</v>
      </c>
      <c r="C247">
        <v>261</v>
      </c>
      <c r="D247" t="s">
        <v>991</v>
      </c>
      <c r="E247" t="s">
        <v>991</v>
      </c>
      <c r="G247" t="s">
        <v>992</v>
      </c>
      <c r="H247">
        <v>3208119637</v>
      </c>
      <c r="I247">
        <v>200</v>
      </c>
      <c r="J247">
        <v>400</v>
      </c>
      <c r="K247">
        <v>6000</v>
      </c>
      <c r="L247">
        <v>30</v>
      </c>
      <c r="M247">
        <v>15</v>
      </c>
      <c r="N247">
        <v>46078</v>
      </c>
      <c r="O247">
        <v>261</v>
      </c>
      <c r="P247">
        <v>37000</v>
      </c>
      <c r="Q247">
        <v>6000</v>
      </c>
      <c r="R247">
        <v>222000</v>
      </c>
      <c r="S247" t="s">
        <v>993</v>
      </c>
      <c r="T247" t="s">
        <v>994</v>
      </c>
      <c r="U247" s="1">
        <f>+_xlfn.XLOOKUP(C247,[1]!ESTADO_CUENTA[ID_CLIENTE],[1]!ESTADO_CUENTA[TOTAL SALDOS],0,0,-1)</f>
        <v>0</v>
      </c>
      <c r="V247" s="1">
        <f>_xlfn.XLOOKUP(C247,[1]!ESTADO_CUENTA[ID_CLIENTE],[1]!ESTADO_CUENTA[TOTAL DEUDAS],0,0,-1)</f>
        <v>0</v>
      </c>
    </row>
    <row r="248" spans="1:22" x14ac:dyDescent="0.25">
      <c r="A248" s="4">
        <v>46063</v>
      </c>
      <c r="B248" t="s">
        <v>32</v>
      </c>
      <c r="C248">
        <v>262</v>
      </c>
      <c r="D248" t="s">
        <v>995</v>
      </c>
      <c r="E248" t="s">
        <v>995</v>
      </c>
      <c r="G248" t="s">
        <v>996</v>
      </c>
      <c r="H248">
        <v>3202548747</v>
      </c>
      <c r="I248">
        <v>316</v>
      </c>
      <c r="J248">
        <v>950</v>
      </c>
      <c r="K248">
        <v>14250</v>
      </c>
      <c r="L248">
        <v>45.094936708860757</v>
      </c>
      <c r="M248">
        <v>15</v>
      </c>
      <c r="N248">
        <v>46078</v>
      </c>
      <c r="O248">
        <v>262</v>
      </c>
      <c r="P248">
        <v>27109.704641350218</v>
      </c>
      <c r="Q248">
        <v>14220</v>
      </c>
      <c r="R248">
        <v>385500</v>
      </c>
      <c r="S248" t="s">
        <v>997</v>
      </c>
      <c r="U248" s="1">
        <f>+_xlfn.XLOOKUP(C248,[1]!ESTADO_CUENTA[ID_CLIENTE],[1]!ESTADO_CUENTA[TOTAL SALDOS],0,0,-1)</f>
        <v>0</v>
      </c>
      <c r="V248" s="1">
        <f>_xlfn.XLOOKUP(C248,[1]!ESTADO_CUENTA[ID_CLIENTE],[1]!ESTADO_CUENTA[TOTAL DEUDAS],0,0,-1)</f>
        <v>0</v>
      </c>
    </row>
    <row r="249" spans="1:22" x14ac:dyDescent="0.25">
      <c r="A249" s="4">
        <v>46065</v>
      </c>
      <c r="B249" t="s">
        <v>32</v>
      </c>
      <c r="C249">
        <v>263</v>
      </c>
      <c r="D249" t="s">
        <v>998</v>
      </c>
      <c r="E249" t="s">
        <v>998</v>
      </c>
      <c r="G249" t="s">
        <v>999</v>
      </c>
      <c r="H249">
        <v>3204698185</v>
      </c>
      <c r="I249">
        <v>70</v>
      </c>
      <c r="J249">
        <v>70</v>
      </c>
      <c r="K249">
        <v>1050</v>
      </c>
      <c r="L249">
        <v>15</v>
      </c>
      <c r="M249">
        <v>15</v>
      </c>
      <c r="N249">
        <v>46080</v>
      </c>
      <c r="O249">
        <v>263</v>
      </c>
      <c r="P249">
        <v>41000</v>
      </c>
      <c r="Q249">
        <v>1050</v>
      </c>
      <c r="R249">
        <v>43050</v>
      </c>
      <c r="S249" t="s">
        <v>1000</v>
      </c>
      <c r="T249" t="s">
        <v>757</v>
      </c>
      <c r="U249" s="1">
        <f>+_xlfn.XLOOKUP(C249,[1]!ESTADO_CUENTA[ID_CLIENTE],[1]!ESTADO_CUENTA[TOTAL SALDOS],0,0,-1)</f>
        <v>900</v>
      </c>
      <c r="V249" s="1">
        <f>_xlfn.XLOOKUP(C249,[1]!ESTADO_CUENTA[ID_CLIENTE],[1]!ESTADO_CUENTA[TOTAL DEUDAS],0,0,-1)</f>
        <v>0</v>
      </c>
    </row>
    <row r="250" spans="1:22" x14ac:dyDescent="0.25">
      <c r="A250" s="4">
        <v>46071</v>
      </c>
      <c r="B250" t="s">
        <v>32</v>
      </c>
      <c r="C250">
        <v>264</v>
      </c>
      <c r="D250" t="s">
        <v>1001</v>
      </c>
      <c r="E250" t="s">
        <v>1001</v>
      </c>
      <c r="G250" t="s">
        <v>1002</v>
      </c>
      <c r="H250">
        <v>3193187152</v>
      </c>
      <c r="I250">
        <v>170</v>
      </c>
      <c r="J250">
        <v>170</v>
      </c>
      <c r="K250">
        <v>2550</v>
      </c>
      <c r="L250">
        <v>15</v>
      </c>
      <c r="M250">
        <v>15</v>
      </c>
      <c r="N250">
        <v>46086</v>
      </c>
      <c r="O250">
        <v>264</v>
      </c>
      <c r="P250">
        <v>42000</v>
      </c>
      <c r="Q250">
        <v>2550</v>
      </c>
      <c r="R250">
        <v>107100</v>
      </c>
      <c r="S250" t="s">
        <v>1003</v>
      </c>
      <c r="T250" t="s">
        <v>1004</v>
      </c>
      <c r="U250" s="1">
        <f>+_xlfn.XLOOKUP(C250,[1]!ESTADO_CUENTA[ID_CLIENTE],[1]!ESTADO_CUENTA[TOTAL SALDOS],0,0,-1)</f>
        <v>0</v>
      </c>
      <c r="V250" s="1">
        <f>_xlfn.XLOOKUP(C250,[1]!ESTADO_CUENTA[ID_CLIENTE],[1]!ESTADO_CUENTA[TOTAL DEUDAS],0,0,-1)</f>
        <v>107100</v>
      </c>
    </row>
    <row r="251" spans="1:22" x14ac:dyDescent="0.25">
      <c r="B251" t="s">
        <v>28</v>
      </c>
      <c r="C251">
        <v>265</v>
      </c>
      <c r="D251" t="s">
        <v>1005</v>
      </c>
      <c r="E251" t="s">
        <v>1005</v>
      </c>
      <c r="G251" t="s">
        <v>1006</v>
      </c>
      <c r="H251">
        <v>3124871923</v>
      </c>
      <c r="I251">
        <v>34</v>
      </c>
      <c r="J251">
        <v>102</v>
      </c>
      <c r="K251">
        <v>1530</v>
      </c>
      <c r="L251">
        <v>45</v>
      </c>
      <c r="M251">
        <v>15</v>
      </c>
      <c r="O251">
        <v>265</v>
      </c>
      <c r="P251">
        <v>42810.457516339869</v>
      </c>
      <c r="Q251">
        <v>1530</v>
      </c>
      <c r="R251">
        <v>65500</v>
      </c>
      <c r="S251" t="s">
        <v>1007</v>
      </c>
      <c r="T251" t="s">
        <v>1008</v>
      </c>
      <c r="U251" s="1">
        <f>+_xlfn.XLOOKUP(C251,[1]!ESTADO_CUENTA[ID_CLIENTE],[1]!ESTADO_CUENTA[TOTAL SALDOS],0,0,-1)</f>
        <v>0</v>
      </c>
      <c r="V251" s="1">
        <f>_xlfn.XLOOKUP(C251,[1]!ESTADO_CUENTA[ID_CLIENTE],[1]!ESTADO_CUENTA[TOTAL DEUDAS],0,0,-1)</f>
        <v>0</v>
      </c>
    </row>
    <row r="252" spans="1:22" x14ac:dyDescent="0.25">
      <c r="B252" t="s">
        <v>28</v>
      </c>
      <c r="C252">
        <v>266</v>
      </c>
      <c r="D252" t="s">
        <v>1009</v>
      </c>
      <c r="E252" t="s">
        <v>1009</v>
      </c>
      <c r="F252" t="s">
        <v>25</v>
      </c>
      <c r="G252" t="s">
        <v>1010</v>
      </c>
      <c r="H252">
        <v>3143420660</v>
      </c>
      <c r="I252">
        <v>100</v>
      </c>
      <c r="J252">
        <v>200</v>
      </c>
      <c r="K252">
        <v>3000</v>
      </c>
      <c r="L252">
        <v>30</v>
      </c>
      <c r="M252">
        <v>15</v>
      </c>
      <c r="O252">
        <v>266</v>
      </c>
      <c r="P252">
        <v>38000</v>
      </c>
      <c r="Q252">
        <v>3000</v>
      </c>
      <c r="R252">
        <v>114000</v>
      </c>
      <c r="S252" t="s">
        <v>1011</v>
      </c>
      <c r="U252" s="1">
        <f>+_xlfn.XLOOKUP(C252,[1]!ESTADO_CUENTA[ID_CLIENTE],[1]!ESTADO_CUENTA[TOTAL SALDOS],0,0,-1)</f>
        <v>0</v>
      </c>
      <c r="V252" s="1">
        <f>_xlfn.XLOOKUP(C252,[1]!ESTADO_CUENTA[ID_CLIENTE],[1]!ESTADO_CUENTA[TOTAL DEUDAS],0,0,-1)</f>
        <v>0</v>
      </c>
    </row>
    <row r="253" spans="1:22" x14ac:dyDescent="0.25">
      <c r="A253" s="4">
        <v>46071</v>
      </c>
      <c r="B253" t="s">
        <v>32</v>
      </c>
      <c r="C253">
        <v>1000355</v>
      </c>
      <c r="D253" t="s">
        <v>1385</v>
      </c>
      <c r="E253" t="s">
        <v>1296</v>
      </c>
      <c r="G253" t="s">
        <v>1297</v>
      </c>
      <c r="H253">
        <v>627422693</v>
      </c>
      <c r="I253">
        <v>65</v>
      </c>
      <c r="J253">
        <v>130</v>
      </c>
      <c r="K253">
        <v>1950</v>
      </c>
      <c r="L253">
        <v>30</v>
      </c>
      <c r="M253">
        <v>15</v>
      </c>
      <c r="N253">
        <v>46086</v>
      </c>
      <c r="O253">
        <v>1000355</v>
      </c>
      <c r="P253">
        <v>53435.897435897437</v>
      </c>
      <c r="Q253">
        <v>1950</v>
      </c>
      <c r="R253">
        <v>104200</v>
      </c>
      <c r="S253" t="s">
        <v>1298</v>
      </c>
      <c r="U253" s="1">
        <f>+_xlfn.XLOOKUP(C253,[1]!ESTADO_CUENTA[ID_CLIENTE],[1]!ESTADO_CUENTA[TOTAL SALDOS],0,0,-1)</f>
        <v>0</v>
      </c>
      <c r="V253" s="1">
        <f>_xlfn.XLOOKUP(C253,[1]!ESTADO_CUENTA[ID_CLIENTE],[1]!ESTADO_CUENTA[TOTAL DEUDAS],0,0,-1)</f>
        <v>0</v>
      </c>
    </row>
    <row r="254" spans="1:22" x14ac:dyDescent="0.25">
      <c r="A254" s="4">
        <v>46071</v>
      </c>
      <c r="B254" t="s">
        <v>32</v>
      </c>
      <c r="C254">
        <v>268</v>
      </c>
      <c r="D254" t="s">
        <v>1015</v>
      </c>
      <c r="E254" t="s">
        <v>1015</v>
      </c>
      <c r="G254" t="s">
        <v>1016</v>
      </c>
      <c r="H254">
        <v>3002776351</v>
      </c>
      <c r="I254">
        <v>180</v>
      </c>
      <c r="J254">
        <v>360</v>
      </c>
      <c r="K254">
        <v>5400</v>
      </c>
      <c r="L254">
        <v>30</v>
      </c>
      <c r="M254">
        <v>15</v>
      </c>
      <c r="N254">
        <v>46086</v>
      </c>
      <c r="O254">
        <v>268</v>
      </c>
      <c r="P254">
        <v>25000</v>
      </c>
      <c r="Q254">
        <v>5400</v>
      </c>
      <c r="R254">
        <v>135000</v>
      </c>
      <c r="S254" t="s">
        <v>1017</v>
      </c>
      <c r="T254" t="s">
        <v>1018</v>
      </c>
      <c r="U254" s="1">
        <f>+_xlfn.XLOOKUP(C254,[1]!ESTADO_CUENTA[ID_CLIENTE],[1]!ESTADO_CUENTA[TOTAL SALDOS],0,0,-1)</f>
        <v>0</v>
      </c>
      <c r="V254" s="1">
        <f>_xlfn.XLOOKUP(C254,[1]!ESTADO_CUENTA[ID_CLIENTE],[1]!ESTADO_CUENTA[TOTAL DEUDAS],0,0,-1)</f>
        <v>134000</v>
      </c>
    </row>
    <row r="255" spans="1:22" x14ac:dyDescent="0.25">
      <c r="A255" s="4">
        <v>46073</v>
      </c>
      <c r="B255" t="s">
        <v>32</v>
      </c>
      <c r="C255">
        <v>269</v>
      </c>
      <c r="D255" t="s">
        <v>1019</v>
      </c>
      <c r="E255" t="s">
        <v>1019</v>
      </c>
      <c r="G255" t="s">
        <v>1020</v>
      </c>
      <c r="H255">
        <v>3123733590</v>
      </c>
      <c r="I255">
        <v>200</v>
      </c>
      <c r="J255">
        <v>200</v>
      </c>
      <c r="K255">
        <v>3000</v>
      </c>
      <c r="L255">
        <v>15</v>
      </c>
      <c r="M255">
        <v>15</v>
      </c>
      <c r="N255">
        <v>46088</v>
      </c>
      <c r="O255">
        <v>269</v>
      </c>
      <c r="P255">
        <v>37000</v>
      </c>
      <c r="Q255">
        <v>3000</v>
      </c>
      <c r="R255">
        <v>111000</v>
      </c>
      <c r="S255" t="s">
        <v>1021</v>
      </c>
      <c r="T255" t="s">
        <v>1022</v>
      </c>
      <c r="U255" s="1">
        <f>+_xlfn.XLOOKUP(C255,[1]!ESTADO_CUENTA[ID_CLIENTE],[1]!ESTADO_CUENTA[TOTAL SALDOS],0,0,-1)</f>
        <v>296000</v>
      </c>
      <c r="V255" s="1">
        <f>_xlfn.XLOOKUP(C255,[1]!ESTADO_CUENTA[ID_CLIENTE],[1]!ESTADO_CUENTA[TOTAL DEUDAS],0,0,-1)</f>
        <v>0</v>
      </c>
    </row>
    <row r="256" spans="1:22" x14ac:dyDescent="0.25">
      <c r="A256" s="4">
        <v>46065</v>
      </c>
      <c r="B256" t="s">
        <v>32</v>
      </c>
      <c r="C256">
        <v>225</v>
      </c>
      <c r="D256" t="s">
        <v>1386</v>
      </c>
      <c r="E256" t="s">
        <v>860</v>
      </c>
      <c r="G256" t="s">
        <v>861</v>
      </c>
      <c r="H256">
        <v>3183725754</v>
      </c>
      <c r="I256">
        <v>270</v>
      </c>
      <c r="J256">
        <v>270</v>
      </c>
      <c r="K256">
        <v>4050</v>
      </c>
      <c r="L256">
        <v>15</v>
      </c>
      <c r="M256">
        <v>15</v>
      </c>
      <c r="N256">
        <v>46080</v>
      </c>
      <c r="O256">
        <v>225</v>
      </c>
      <c r="P256">
        <v>25000</v>
      </c>
      <c r="Q256">
        <v>4050</v>
      </c>
      <c r="R256">
        <v>101250</v>
      </c>
      <c r="S256" t="s">
        <v>862</v>
      </c>
      <c r="T256" t="s">
        <v>863</v>
      </c>
      <c r="U256" s="1">
        <f>+_xlfn.XLOOKUP(C256,[1]!ESTADO_CUENTA[ID_CLIENTE],[1]!ESTADO_CUENTA[TOTAL SALDOS],0,0,-1)</f>
        <v>0</v>
      </c>
      <c r="V256" s="1">
        <f>_xlfn.XLOOKUP(C256,[1]!ESTADO_CUENTA[ID_CLIENTE],[1]!ESTADO_CUENTA[TOTAL DEUDAS],0,0,-1)</f>
        <v>0</v>
      </c>
    </row>
    <row r="257" spans="1:22" x14ac:dyDescent="0.25">
      <c r="A257" s="4">
        <v>46073</v>
      </c>
      <c r="B257" t="s">
        <v>32</v>
      </c>
      <c r="C257">
        <v>271</v>
      </c>
      <c r="D257" t="s">
        <v>1027</v>
      </c>
      <c r="E257" t="s">
        <v>1027</v>
      </c>
      <c r="G257" t="s">
        <v>1028</v>
      </c>
      <c r="H257">
        <v>3124298893</v>
      </c>
      <c r="I257">
        <v>150</v>
      </c>
      <c r="J257">
        <v>450</v>
      </c>
      <c r="K257">
        <v>6750</v>
      </c>
      <c r="L257">
        <v>45</v>
      </c>
      <c r="M257">
        <v>15</v>
      </c>
      <c r="N257">
        <v>46088</v>
      </c>
      <c r="O257">
        <v>271</v>
      </c>
      <c r="P257">
        <v>30000</v>
      </c>
      <c r="Q257">
        <v>6750</v>
      </c>
      <c r="R257">
        <v>202500</v>
      </c>
      <c r="S257" t="s">
        <v>1029</v>
      </c>
      <c r="T257" t="s">
        <v>1030</v>
      </c>
      <c r="U257" s="1">
        <f>+_xlfn.XLOOKUP(C257,[1]!ESTADO_CUENTA[ID_CLIENTE],[1]!ESTADO_CUENTA[TOTAL SALDOS],0,0,-1)</f>
        <v>0</v>
      </c>
      <c r="V257" s="1">
        <f>_xlfn.XLOOKUP(C257,[1]!ESTADO_CUENTA[ID_CLIENTE],[1]!ESTADO_CUENTA[TOTAL DEUDAS],0,0,-1)</f>
        <v>0</v>
      </c>
    </row>
    <row r="258" spans="1:22" x14ac:dyDescent="0.25">
      <c r="A258" s="4">
        <v>46069</v>
      </c>
      <c r="B258" t="s">
        <v>32</v>
      </c>
      <c r="C258">
        <v>320</v>
      </c>
      <c r="D258" t="s">
        <v>1387</v>
      </c>
      <c r="E258" t="s">
        <v>1185</v>
      </c>
      <c r="G258" t="s">
        <v>1186</v>
      </c>
      <c r="H258">
        <v>3107870557</v>
      </c>
      <c r="I258">
        <v>80</v>
      </c>
      <c r="J258">
        <v>160</v>
      </c>
      <c r="K258">
        <v>2400</v>
      </c>
      <c r="L258">
        <v>30</v>
      </c>
      <c r="M258">
        <v>15</v>
      </c>
      <c r="N258">
        <v>46084</v>
      </c>
      <c r="O258">
        <v>320</v>
      </c>
      <c r="P258">
        <v>42250</v>
      </c>
      <c r="Q258">
        <v>2400</v>
      </c>
      <c r="R258">
        <v>101400</v>
      </c>
      <c r="S258" t="s">
        <v>1187</v>
      </c>
      <c r="U258" s="1">
        <f>+_xlfn.XLOOKUP(C258,[1]!ESTADO_CUENTA[ID_CLIENTE],[1]!ESTADO_CUENTA[TOTAL SALDOS],0,0,-1)</f>
        <v>0</v>
      </c>
      <c r="V258" s="1">
        <f>_xlfn.XLOOKUP(C258,[1]!ESTADO_CUENTA[ID_CLIENTE],[1]!ESTADO_CUENTA[TOTAL DEUDAS],0,0,-1)</f>
        <v>0</v>
      </c>
    </row>
    <row r="259" spans="1:22" x14ac:dyDescent="0.25">
      <c r="A259" s="4">
        <v>46066</v>
      </c>
      <c r="B259" t="s">
        <v>32</v>
      </c>
      <c r="C259">
        <v>273</v>
      </c>
      <c r="D259" t="s">
        <v>1035</v>
      </c>
      <c r="E259" t="s">
        <v>1035</v>
      </c>
      <c r="G259" t="s">
        <v>1036</v>
      </c>
      <c r="H259">
        <v>3218940510</v>
      </c>
      <c r="I259">
        <v>120</v>
      </c>
      <c r="J259">
        <v>240</v>
      </c>
      <c r="K259">
        <v>1680</v>
      </c>
      <c r="L259">
        <v>14</v>
      </c>
      <c r="M259">
        <v>7</v>
      </c>
      <c r="N259">
        <v>46073</v>
      </c>
      <c r="O259">
        <v>273</v>
      </c>
      <c r="P259">
        <v>41964.285714285717</v>
      </c>
      <c r="Q259">
        <v>1680</v>
      </c>
      <c r="R259">
        <v>70500</v>
      </c>
      <c r="S259" t="s">
        <v>1037</v>
      </c>
      <c r="T259" t="s">
        <v>1038</v>
      </c>
      <c r="U259" s="1">
        <f>+_xlfn.XLOOKUP(C259,[1]!ESTADO_CUENTA[ID_CLIENTE],[1]!ESTADO_CUENTA[TOTAL SALDOS],0,0,-1)</f>
        <v>0</v>
      </c>
      <c r="V259" s="1">
        <f>_xlfn.XLOOKUP(C259,[1]!ESTADO_CUENTA[ID_CLIENTE],[1]!ESTADO_CUENTA[TOTAL DEUDAS],0,0,-1)</f>
        <v>70560</v>
      </c>
    </row>
    <row r="260" spans="1:22" x14ac:dyDescent="0.25">
      <c r="B260" t="s">
        <v>28</v>
      </c>
      <c r="C260">
        <v>274</v>
      </c>
      <c r="D260" t="s">
        <v>1039</v>
      </c>
      <c r="E260" t="s">
        <v>1040</v>
      </c>
      <c r="G260" t="s">
        <v>1041</v>
      </c>
      <c r="H260">
        <v>3183876221</v>
      </c>
      <c r="I260">
        <v>160</v>
      </c>
      <c r="J260">
        <v>320</v>
      </c>
      <c r="K260">
        <v>2240</v>
      </c>
      <c r="L260">
        <v>14</v>
      </c>
      <c r="M260">
        <v>7</v>
      </c>
      <c r="O260">
        <v>274</v>
      </c>
      <c r="P260">
        <v>39910.714285714283</v>
      </c>
      <c r="Q260">
        <v>2240</v>
      </c>
      <c r="R260">
        <v>89400</v>
      </c>
      <c r="S260" t="s">
        <v>1042</v>
      </c>
      <c r="T260" t="s">
        <v>1043</v>
      </c>
      <c r="U260" s="1">
        <f>+_xlfn.XLOOKUP(C260,[1]!ESTADO_CUENTA[ID_CLIENTE],[1]!ESTADO_CUENTA[TOTAL SALDOS],0,0,-1)</f>
        <v>0</v>
      </c>
      <c r="V260" s="1">
        <f>_xlfn.XLOOKUP(C260,[1]!ESTADO_CUENTA[ID_CLIENTE],[1]!ESTADO_CUENTA[TOTAL DEUDAS],0,0,-1)</f>
        <v>0</v>
      </c>
    </row>
    <row r="261" spans="1:22" x14ac:dyDescent="0.25">
      <c r="A261" s="4">
        <v>46069</v>
      </c>
      <c r="B261" t="s">
        <v>32</v>
      </c>
      <c r="C261">
        <v>275</v>
      </c>
      <c r="D261" t="s">
        <v>1044</v>
      </c>
      <c r="E261" t="s">
        <v>1045</v>
      </c>
      <c r="G261" t="s">
        <v>1046</v>
      </c>
      <c r="H261">
        <v>3165294356</v>
      </c>
      <c r="I261">
        <v>153</v>
      </c>
      <c r="J261">
        <v>459</v>
      </c>
      <c r="K261">
        <v>6885</v>
      </c>
      <c r="L261">
        <v>45</v>
      </c>
      <c r="M261">
        <v>15</v>
      </c>
      <c r="N261">
        <v>46084</v>
      </c>
      <c r="O261">
        <v>275</v>
      </c>
      <c r="P261">
        <v>28000</v>
      </c>
      <c r="Q261">
        <v>6885</v>
      </c>
      <c r="R261">
        <v>192780</v>
      </c>
      <c r="S261" t="s">
        <v>1047</v>
      </c>
      <c r="T261" t="s">
        <v>1048</v>
      </c>
      <c r="U261" s="1">
        <f>+_xlfn.XLOOKUP(C261,[1]!ESTADO_CUENTA[ID_CLIENTE],[1]!ESTADO_CUENTA[TOTAL SALDOS],0,0,-1)</f>
        <v>0</v>
      </c>
      <c r="V261" s="1">
        <f>_xlfn.XLOOKUP(C261,[1]!ESTADO_CUENTA[ID_CLIENTE],[1]!ESTADO_CUENTA[TOTAL DEUDAS],0,0,-1)</f>
        <v>192780</v>
      </c>
    </row>
    <row r="262" spans="1:22" x14ac:dyDescent="0.25">
      <c r="A262" s="4">
        <v>46065</v>
      </c>
      <c r="B262" t="s">
        <v>32</v>
      </c>
      <c r="C262">
        <v>276</v>
      </c>
      <c r="D262" t="s">
        <v>1049</v>
      </c>
      <c r="E262" t="s">
        <v>1049</v>
      </c>
      <c r="G262" t="s">
        <v>1050</v>
      </c>
      <c r="H262">
        <v>3046129451</v>
      </c>
      <c r="I262">
        <v>160</v>
      </c>
      <c r="J262">
        <v>360</v>
      </c>
      <c r="K262">
        <v>4800</v>
      </c>
      <c r="L262">
        <v>30</v>
      </c>
      <c r="M262">
        <v>13.333333333333334</v>
      </c>
      <c r="N262">
        <v>46078.333333333336</v>
      </c>
      <c r="O262">
        <v>276</v>
      </c>
      <c r="P262">
        <v>30000</v>
      </c>
      <c r="Q262">
        <v>4800</v>
      </c>
      <c r="R262">
        <v>144000</v>
      </c>
      <c r="S262" t="s">
        <v>1051</v>
      </c>
      <c r="T262" t="s">
        <v>1052</v>
      </c>
      <c r="U262" s="1">
        <f>+_xlfn.XLOOKUP(C262,[1]!ESTADO_CUENTA[ID_CLIENTE],[1]!ESTADO_CUENTA[TOTAL SALDOS],0,0,-1)</f>
        <v>0</v>
      </c>
      <c r="V262" s="1">
        <f>_xlfn.XLOOKUP(C262,[1]!ESTADO_CUENTA[ID_CLIENTE],[1]!ESTADO_CUENTA[TOTAL DEUDAS],0,0,-1)</f>
        <v>0</v>
      </c>
    </row>
    <row r="263" spans="1:22" x14ac:dyDescent="0.25">
      <c r="B263" t="s">
        <v>28</v>
      </c>
      <c r="C263">
        <v>277</v>
      </c>
      <c r="D263" t="s">
        <v>1053</v>
      </c>
      <c r="E263" t="s">
        <v>1053</v>
      </c>
      <c r="G263" t="s">
        <v>1054</v>
      </c>
      <c r="H263">
        <v>3177155156</v>
      </c>
      <c r="I263">
        <v>170</v>
      </c>
      <c r="J263">
        <v>340</v>
      </c>
      <c r="K263">
        <v>5100</v>
      </c>
      <c r="L263">
        <v>30</v>
      </c>
      <c r="M263">
        <v>15</v>
      </c>
      <c r="O263">
        <v>277</v>
      </c>
      <c r="P263">
        <v>23000</v>
      </c>
      <c r="Q263">
        <v>5100</v>
      </c>
      <c r="R263">
        <v>117300</v>
      </c>
      <c r="S263" t="s">
        <v>1055</v>
      </c>
      <c r="T263" t="s">
        <v>1056</v>
      </c>
      <c r="U263" s="1">
        <f>+_xlfn.XLOOKUP(C263,[1]!ESTADO_CUENTA[ID_CLIENTE],[1]!ESTADO_CUENTA[TOTAL SALDOS],0,0,-1)</f>
        <v>0</v>
      </c>
      <c r="V263" s="1">
        <f>_xlfn.XLOOKUP(C263,[1]!ESTADO_CUENTA[ID_CLIENTE],[1]!ESTADO_CUENTA[TOTAL DEUDAS],0,0,-1)</f>
        <v>0</v>
      </c>
    </row>
    <row r="264" spans="1:22" x14ac:dyDescent="0.25">
      <c r="A264" s="4">
        <v>46072</v>
      </c>
      <c r="B264" t="s">
        <v>32</v>
      </c>
      <c r="C264">
        <v>278</v>
      </c>
      <c r="D264" t="s">
        <v>1057</v>
      </c>
      <c r="E264" t="s">
        <v>1058</v>
      </c>
      <c r="G264" t="s">
        <v>1059</v>
      </c>
      <c r="H264">
        <v>3118863583</v>
      </c>
      <c r="I264">
        <v>150</v>
      </c>
      <c r="J264">
        <v>300</v>
      </c>
      <c r="K264">
        <v>1050</v>
      </c>
      <c r="L264">
        <v>7</v>
      </c>
      <c r="M264">
        <v>3.5</v>
      </c>
      <c r="N264">
        <v>46075.5</v>
      </c>
      <c r="O264">
        <v>278</v>
      </c>
      <c r="P264">
        <v>22000</v>
      </c>
      <c r="Q264">
        <v>1050</v>
      </c>
      <c r="R264">
        <v>23100</v>
      </c>
      <c r="S264" t="s">
        <v>1060</v>
      </c>
      <c r="T264" t="s">
        <v>1061</v>
      </c>
      <c r="U264" s="1">
        <f>+_xlfn.XLOOKUP(C264,[1]!ESTADO_CUENTA[ID_CLIENTE],[1]!ESTADO_CUENTA[TOTAL SALDOS],0,0,-1)</f>
        <v>0</v>
      </c>
      <c r="V264" s="1">
        <f>_xlfn.XLOOKUP(C264,[1]!ESTADO_CUENTA[ID_CLIENTE],[1]!ESTADO_CUENTA[TOTAL DEUDAS],0,0,-1)</f>
        <v>890500</v>
      </c>
    </row>
    <row r="265" spans="1:22" x14ac:dyDescent="0.25">
      <c r="A265" s="4">
        <v>46065</v>
      </c>
      <c r="B265" t="s">
        <v>32</v>
      </c>
      <c r="C265">
        <v>279</v>
      </c>
      <c r="D265" t="s">
        <v>1062</v>
      </c>
      <c r="E265" t="s">
        <v>1062</v>
      </c>
      <c r="F265" t="s">
        <v>240</v>
      </c>
      <c r="G265" t="s">
        <v>1063</v>
      </c>
      <c r="H265">
        <v>3017910738</v>
      </c>
      <c r="I265">
        <v>190</v>
      </c>
      <c r="J265">
        <v>190</v>
      </c>
      <c r="K265">
        <v>2850</v>
      </c>
      <c r="L265">
        <v>15</v>
      </c>
      <c r="M265">
        <v>15</v>
      </c>
      <c r="N265">
        <v>46080</v>
      </c>
      <c r="O265">
        <v>279</v>
      </c>
      <c r="P265">
        <v>40000</v>
      </c>
      <c r="Q265">
        <v>2850</v>
      </c>
      <c r="R265">
        <v>114000</v>
      </c>
      <c r="S265" t="s">
        <v>1064</v>
      </c>
      <c r="T265" t="s">
        <v>1065</v>
      </c>
      <c r="U265" s="1">
        <f>+_xlfn.XLOOKUP(C265,[1]!ESTADO_CUENTA[ID_CLIENTE],[1]!ESTADO_CUENTA[TOTAL SALDOS],0,0,-1)</f>
        <v>0</v>
      </c>
      <c r="V265" s="1">
        <f>_xlfn.XLOOKUP(C265,[1]!ESTADO_CUENTA[ID_CLIENTE],[1]!ESTADO_CUENTA[TOTAL DEUDAS],0,0,-1)</f>
        <v>195000</v>
      </c>
    </row>
    <row r="266" spans="1:22" x14ac:dyDescent="0.25">
      <c r="B266" t="s">
        <v>28</v>
      </c>
      <c r="C266">
        <v>280</v>
      </c>
      <c r="D266" t="s">
        <v>1066</v>
      </c>
      <c r="E266" t="s">
        <v>1066</v>
      </c>
      <c r="G266" t="s">
        <v>1067</v>
      </c>
      <c r="H266">
        <v>3219257704</v>
      </c>
      <c r="I266">
        <v>35</v>
      </c>
      <c r="J266">
        <v>70</v>
      </c>
      <c r="K266">
        <v>1050</v>
      </c>
      <c r="L266">
        <v>30</v>
      </c>
      <c r="M266">
        <v>15</v>
      </c>
      <c r="O266">
        <v>280</v>
      </c>
      <c r="P266">
        <v>56333.333333333336</v>
      </c>
      <c r="Q266">
        <v>1050</v>
      </c>
      <c r="R266">
        <v>59150</v>
      </c>
      <c r="S266" t="s">
        <v>1068</v>
      </c>
      <c r="T266" t="s">
        <v>1069</v>
      </c>
      <c r="U266" s="1">
        <f>+_xlfn.XLOOKUP(C266,[1]!ESTADO_CUENTA[ID_CLIENTE],[1]!ESTADO_CUENTA[TOTAL SALDOS],0,0,-1)</f>
        <v>0</v>
      </c>
      <c r="V266" s="1">
        <f>_xlfn.XLOOKUP(C266,[1]!ESTADO_CUENTA[ID_CLIENTE],[1]!ESTADO_CUENTA[TOTAL DEUDAS],0,0,-1)</f>
        <v>0</v>
      </c>
    </row>
    <row r="267" spans="1:22" x14ac:dyDescent="0.25">
      <c r="A267" s="4">
        <v>46041</v>
      </c>
      <c r="B267" t="s">
        <v>20</v>
      </c>
      <c r="C267">
        <v>246</v>
      </c>
      <c r="D267" t="s">
        <v>1388</v>
      </c>
      <c r="E267" t="s">
        <v>938</v>
      </c>
      <c r="G267" t="s">
        <v>939</v>
      </c>
      <c r="H267">
        <v>3125973000</v>
      </c>
      <c r="I267">
        <v>60</v>
      </c>
      <c r="J267">
        <v>180</v>
      </c>
      <c r="K267">
        <v>1260</v>
      </c>
      <c r="L267">
        <v>21</v>
      </c>
      <c r="M267">
        <v>7</v>
      </c>
      <c r="N267">
        <v>46048</v>
      </c>
      <c r="O267">
        <v>246</v>
      </c>
      <c r="P267">
        <v>45714.285714285717</v>
      </c>
      <c r="Q267">
        <v>1260</v>
      </c>
      <c r="R267">
        <v>57600</v>
      </c>
      <c r="S267" t="s">
        <v>940</v>
      </c>
      <c r="T267" t="s">
        <v>941</v>
      </c>
      <c r="U267" s="1">
        <f>+_xlfn.XLOOKUP(C267,[1]!ESTADO_CUENTA[ID_CLIENTE],[1]!ESTADO_CUENTA[TOTAL SALDOS],0,0,-1)</f>
        <v>0</v>
      </c>
      <c r="V267" s="1">
        <f>_xlfn.XLOOKUP(C267,[1]!ESTADO_CUENTA[ID_CLIENTE],[1]!ESTADO_CUENTA[TOTAL DEUDAS],0,0,-1)</f>
        <v>0</v>
      </c>
    </row>
    <row r="268" spans="1:22" x14ac:dyDescent="0.25">
      <c r="B268" t="s">
        <v>28</v>
      </c>
      <c r="C268">
        <v>282</v>
      </c>
      <c r="D268" t="s">
        <v>1074</v>
      </c>
      <c r="E268" t="s">
        <v>1074</v>
      </c>
      <c r="G268" t="s">
        <v>1075</v>
      </c>
      <c r="H268">
        <v>3152164681</v>
      </c>
      <c r="I268">
        <v>120</v>
      </c>
      <c r="J268">
        <v>360</v>
      </c>
      <c r="K268">
        <v>2520</v>
      </c>
      <c r="L268">
        <v>21</v>
      </c>
      <c r="M268">
        <v>7</v>
      </c>
      <c r="O268">
        <v>282</v>
      </c>
      <c r="P268">
        <v>3968.2539682539682</v>
      </c>
      <c r="Q268">
        <v>2520</v>
      </c>
      <c r="R268">
        <v>10000</v>
      </c>
      <c r="S268" t="s">
        <v>1076</v>
      </c>
      <c r="U268" s="1">
        <f>+_xlfn.XLOOKUP(C268,[1]!ESTADO_CUENTA[ID_CLIENTE],[1]!ESTADO_CUENTA[TOTAL SALDOS],0,0,-1)</f>
        <v>0</v>
      </c>
      <c r="V268" s="1">
        <f>_xlfn.XLOOKUP(C268,[1]!ESTADO_CUENTA[ID_CLIENTE],[1]!ESTADO_CUENTA[TOTAL DEUDAS],0,0,-1)</f>
        <v>0</v>
      </c>
    </row>
    <row r="269" spans="1:22" x14ac:dyDescent="0.25">
      <c r="A269" s="4">
        <v>46072</v>
      </c>
      <c r="B269" t="s">
        <v>32</v>
      </c>
      <c r="C269">
        <v>250</v>
      </c>
      <c r="D269" t="s">
        <v>1389</v>
      </c>
      <c r="E269" t="s">
        <v>953</v>
      </c>
      <c r="G269" t="s">
        <v>954</v>
      </c>
      <c r="H269">
        <v>3167173907</v>
      </c>
      <c r="I269">
        <v>100</v>
      </c>
      <c r="J269">
        <v>200</v>
      </c>
      <c r="K269">
        <v>2000</v>
      </c>
      <c r="L269">
        <v>20</v>
      </c>
      <c r="M269">
        <v>10</v>
      </c>
      <c r="N269">
        <v>46082</v>
      </c>
      <c r="O269">
        <v>250</v>
      </c>
      <c r="P269">
        <v>29000</v>
      </c>
      <c r="Q269">
        <v>2000</v>
      </c>
      <c r="R269">
        <v>58000</v>
      </c>
      <c r="S269" t="s">
        <v>955</v>
      </c>
      <c r="T269" t="s">
        <v>956</v>
      </c>
      <c r="U269" s="1">
        <f>+_xlfn.XLOOKUP(C269,[1]!ESTADO_CUENTA[ID_CLIENTE],[1]!ESTADO_CUENTA[TOTAL SALDOS],0,0,-1)</f>
        <v>0</v>
      </c>
      <c r="V269" s="1">
        <f>_xlfn.XLOOKUP(C269,[1]!ESTADO_CUENTA[ID_CLIENTE],[1]!ESTADO_CUENTA[TOTAL DEUDAS],0,0,-1)</f>
        <v>783000</v>
      </c>
    </row>
    <row r="270" spans="1:22" x14ac:dyDescent="0.25">
      <c r="A270" s="4">
        <v>46065</v>
      </c>
      <c r="B270" t="s">
        <v>32</v>
      </c>
      <c r="C270">
        <v>284</v>
      </c>
      <c r="D270" t="s">
        <v>1080</v>
      </c>
      <c r="E270" t="s">
        <v>1080</v>
      </c>
      <c r="G270" t="s">
        <v>1081</v>
      </c>
      <c r="H270">
        <v>3023735213</v>
      </c>
      <c r="I270">
        <v>240</v>
      </c>
      <c r="J270">
        <v>240</v>
      </c>
      <c r="K270">
        <v>7200</v>
      </c>
      <c r="L270">
        <v>30</v>
      </c>
      <c r="M270">
        <v>30</v>
      </c>
      <c r="N270">
        <v>46095</v>
      </c>
      <c r="O270">
        <v>284</v>
      </c>
      <c r="P270">
        <v>31000</v>
      </c>
      <c r="Q270">
        <v>7200</v>
      </c>
      <c r="R270">
        <v>223200</v>
      </c>
      <c r="S270" t="s">
        <v>1082</v>
      </c>
      <c r="T270" t="s">
        <v>1083</v>
      </c>
      <c r="U270" s="1">
        <f>+_xlfn.XLOOKUP(C270,[1]!ESTADO_CUENTA[ID_CLIENTE],[1]!ESTADO_CUENTA[TOTAL SALDOS],0,0,-1)</f>
        <v>0</v>
      </c>
      <c r="V270" s="1">
        <f>_xlfn.XLOOKUP(C270,[1]!ESTADO_CUENTA[ID_CLIENTE],[1]!ESTADO_CUENTA[TOTAL DEUDAS],0,0,-1)</f>
        <v>0</v>
      </c>
    </row>
    <row r="271" spans="1:22" x14ac:dyDescent="0.25">
      <c r="A271" s="4">
        <v>46073</v>
      </c>
      <c r="B271" t="s">
        <v>32</v>
      </c>
      <c r="C271">
        <v>285</v>
      </c>
      <c r="D271" t="s">
        <v>1084</v>
      </c>
      <c r="E271" t="s">
        <v>1084</v>
      </c>
      <c r="G271" t="s">
        <v>1085</v>
      </c>
      <c r="H271">
        <v>3112877626</v>
      </c>
      <c r="I271">
        <v>280</v>
      </c>
      <c r="J271">
        <v>840</v>
      </c>
      <c r="K271">
        <v>5880</v>
      </c>
      <c r="L271">
        <v>21</v>
      </c>
      <c r="M271">
        <v>7</v>
      </c>
      <c r="N271">
        <v>46080</v>
      </c>
      <c r="O271">
        <v>285</v>
      </c>
      <c r="P271">
        <v>19094.897959183672</v>
      </c>
      <c r="Q271">
        <v>5880</v>
      </c>
      <c r="R271">
        <v>112278</v>
      </c>
      <c r="S271" t="s">
        <v>1086</v>
      </c>
      <c r="U271" s="1">
        <f>+_xlfn.XLOOKUP(C271,[1]!ESTADO_CUENTA[ID_CLIENTE],[1]!ESTADO_CUENTA[TOTAL SALDOS],0,0,-1)</f>
        <v>0</v>
      </c>
      <c r="V271" s="1">
        <f>_xlfn.XLOOKUP(C271,[1]!ESTADO_CUENTA[ID_CLIENTE],[1]!ESTADO_CUENTA[TOTAL DEUDAS],0,0,-1)</f>
        <v>0</v>
      </c>
    </row>
    <row r="272" spans="1:22" x14ac:dyDescent="0.25">
      <c r="A272" s="4">
        <v>0</v>
      </c>
      <c r="B272" t="s">
        <v>20</v>
      </c>
      <c r="C272">
        <v>286</v>
      </c>
      <c r="D272" t="s">
        <v>1087</v>
      </c>
      <c r="E272" t="s">
        <v>1088</v>
      </c>
      <c r="G272" t="s">
        <v>6</v>
      </c>
      <c r="I272">
        <v>0</v>
      </c>
      <c r="J272">
        <v>0</v>
      </c>
      <c r="K272">
        <v>0</v>
      </c>
      <c r="O272">
        <v>286</v>
      </c>
      <c r="Q272">
        <v>0</v>
      </c>
      <c r="R272">
        <v>0</v>
      </c>
      <c r="U272" s="1">
        <f>+_xlfn.XLOOKUP(C272,[1]!ESTADO_CUENTA[ID_CLIENTE],[1]!ESTADO_CUENTA[TOTAL SALDOS],0,0,-1)</f>
        <v>0</v>
      </c>
      <c r="V272" s="1">
        <f>_xlfn.XLOOKUP(C272,[1]!ESTADO_CUENTA[ID_CLIENTE],[1]!ESTADO_CUENTA[TOTAL DEUDAS],0,0,-1)</f>
        <v>0</v>
      </c>
    </row>
    <row r="273" spans="1:22" x14ac:dyDescent="0.25">
      <c r="A273" s="4">
        <v>46072</v>
      </c>
      <c r="B273" t="s">
        <v>32</v>
      </c>
      <c r="C273">
        <v>251</v>
      </c>
      <c r="D273" t="s">
        <v>1390</v>
      </c>
      <c r="E273" t="s">
        <v>957</v>
      </c>
      <c r="G273" t="s">
        <v>958</v>
      </c>
      <c r="H273">
        <v>3134308182</v>
      </c>
      <c r="I273">
        <v>124</v>
      </c>
      <c r="J273">
        <v>124</v>
      </c>
      <c r="K273">
        <v>1860</v>
      </c>
      <c r="L273">
        <v>15</v>
      </c>
      <c r="M273">
        <v>15</v>
      </c>
      <c r="N273">
        <v>46087</v>
      </c>
      <c r="O273">
        <v>251</v>
      </c>
      <c r="P273">
        <v>38000</v>
      </c>
      <c r="Q273">
        <v>1860</v>
      </c>
      <c r="R273">
        <v>70680</v>
      </c>
      <c r="S273" t="s">
        <v>959</v>
      </c>
      <c r="T273" t="s">
        <v>960</v>
      </c>
      <c r="U273" s="1">
        <f>+_xlfn.XLOOKUP(C273,[1]!ESTADO_CUENTA[ID_CLIENTE],[1]!ESTADO_CUENTA[TOTAL SALDOS],0,0,-1)</f>
        <v>0</v>
      </c>
      <c r="V273" s="1">
        <f>_xlfn.XLOOKUP(C273,[1]!ESTADO_CUENTA[ID_CLIENTE],[1]!ESTADO_CUENTA[TOTAL DEUDAS],0,0,-1)</f>
        <v>253080</v>
      </c>
    </row>
    <row r="274" spans="1:22" x14ac:dyDescent="0.25">
      <c r="B274" t="s">
        <v>28</v>
      </c>
      <c r="C274">
        <v>253</v>
      </c>
      <c r="D274" t="s">
        <v>1391</v>
      </c>
      <c r="E274" t="s">
        <v>964</v>
      </c>
      <c r="G274" t="s">
        <v>965</v>
      </c>
      <c r="H274">
        <v>3124021670</v>
      </c>
      <c r="I274">
        <v>75</v>
      </c>
      <c r="J274">
        <v>150</v>
      </c>
      <c r="K274">
        <v>1050</v>
      </c>
      <c r="L274">
        <v>14</v>
      </c>
      <c r="M274">
        <v>7</v>
      </c>
      <c r="O274">
        <v>253</v>
      </c>
      <c r="P274">
        <v>9523.8095238095229</v>
      </c>
      <c r="Q274">
        <v>1050</v>
      </c>
      <c r="R274">
        <v>10000</v>
      </c>
      <c r="S274" t="s">
        <v>966</v>
      </c>
      <c r="U274" s="1">
        <f>+_xlfn.XLOOKUP(C274,[1]!ESTADO_CUENTA[ID_CLIENTE],[1]!ESTADO_CUENTA[TOTAL SALDOS],0,0,-1)</f>
        <v>0</v>
      </c>
      <c r="V274" s="1">
        <f>_xlfn.XLOOKUP(C274,[1]!ESTADO_CUENTA[ID_CLIENTE],[1]!ESTADO_CUENTA[TOTAL DEUDAS],0,0,-1)</f>
        <v>0</v>
      </c>
    </row>
    <row r="275" spans="1:22" x14ac:dyDescent="0.25">
      <c r="A275" s="4">
        <v>46065</v>
      </c>
      <c r="B275" t="s">
        <v>32</v>
      </c>
      <c r="C275">
        <v>289</v>
      </c>
      <c r="D275" t="s">
        <v>1098</v>
      </c>
      <c r="E275" t="s">
        <v>1098</v>
      </c>
      <c r="G275" t="s">
        <v>1099</v>
      </c>
      <c r="H275">
        <v>3012055862</v>
      </c>
      <c r="I275">
        <v>190</v>
      </c>
      <c r="J275">
        <v>380</v>
      </c>
      <c r="K275">
        <v>5700</v>
      </c>
      <c r="L275">
        <v>30</v>
      </c>
      <c r="M275">
        <v>15</v>
      </c>
      <c r="N275">
        <v>46080</v>
      </c>
      <c r="O275">
        <v>289</v>
      </c>
      <c r="P275">
        <v>22000</v>
      </c>
      <c r="Q275">
        <v>5700</v>
      </c>
      <c r="R275">
        <v>125400</v>
      </c>
      <c r="S275" t="s">
        <v>1100</v>
      </c>
      <c r="T275" t="s">
        <v>887</v>
      </c>
      <c r="U275" s="1">
        <f>+_xlfn.XLOOKUP(C275,[1]!ESTADO_CUENTA[ID_CLIENTE],[1]!ESTADO_CUENTA[TOTAL SALDOS],0,0,-1)</f>
        <v>0</v>
      </c>
      <c r="V275" s="1">
        <f>_xlfn.XLOOKUP(C275,[1]!ESTADO_CUENTA[ID_CLIENTE],[1]!ESTADO_CUENTA[TOTAL DEUDAS],0,0,-1)</f>
        <v>0</v>
      </c>
    </row>
    <row r="276" spans="1:22" x14ac:dyDescent="0.25">
      <c r="A276" s="4">
        <v>46083</v>
      </c>
      <c r="B276" t="s">
        <v>771</v>
      </c>
      <c r="C276">
        <v>290</v>
      </c>
      <c r="D276" t="s">
        <v>1101</v>
      </c>
      <c r="E276" t="s">
        <v>1101</v>
      </c>
      <c r="G276" t="s">
        <v>1102</v>
      </c>
      <c r="H276">
        <v>3017139465</v>
      </c>
      <c r="I276">
        <v>130</v>
      </c>
      <c r="J276">
        <v>260</v>
      </c>
      <c r="K276">
        <v>3900</v>
      </c>
      <c r="L276">
        <v>30</v>
      </c>
      <c r="M276">
        <v>15</v>
      </c>
      <c r="N276">
        <v>46098</v>
      </c>
      <c r="O276">
        <v>290</v>
      </c>
      <c r="P276">
        <v>29692.307692307695</v>
      </c>
      <c r="Q276">
        <v>3900</v>
      </c>
      <c r="R276">
        <v>115800</v>
      </c>
      <c r="S276" t="s">
        <v>1103</v>
      </c>
      <c r="T276" t="s">
        <v>688</v>
      </c>
      <c r="U276" s="1">
        <f>+_xlfn.XLOOKUP(C276,[1]!ESTADO_CUENTA[ID_CLIENTE],[1]!ESTADO_CUENTA[TOTAL SALDOS],0,0,-1)</f>
        <v>264800</v>
      </c>
      <c r="V276" s="1">
        <f>_xlfn.XLOOKUP(C276,[1]!ESTADO_CUENTA[ID_CLIENTE],[1]!ESTADO_CUENTA[TOTAL DEUDAS],0,0,-1)</f>
        <v>0</v>
      </c>
    </row>
    <row r="277" spans="1:22" x14ac:dyDescent="0.25">
      <c r="A277" s="4">
        <v>46069</v>
      </c>
      <c r="B277" t="s">
        <v>32</v>
      </c>
      <c r="C277">
        <v>291</v>
      </c>
      <c r="D277" t="s">
        <v>1104</v>
      </c>
      <c r="E277" t="s">
        <v>1104</v>
      </c>
      <c r="G277" t="s">
        <v>1105</v>
      </c>
      <c r="H277">
        <v>3112675200</v>
      </c>
      <c r="I277">
        <v>200</v>
      </c>
      <c r="J277">
        <v>600</v>
      </c>
      <c r="K277">
        <v>5000</v>
      </c>
      <c r="L277">
        <v>25</v>
      </c>
      <c r="M277">
        <v>8.3333333333333339</v>
      </c>
      <c r="N277">
        <v>46077.333333333336</v>
      </c>
      <c r="O277">
        <v>291</v>
      </c>
      <c r="P277">
        <v>25000</v>
      </c>
      <c r="Q277">
        <v>5000</v>
      </c>
      <c r="R277">
        <v>125000</v>
      </c>
      <c r="S277" t="s">
        <v>1106</v>
      </c>
      <c r="T277" t="s">
        <v>1107</v>
      </c>
      <c r="U277" s="1">
        <f>+_xlfn.XLOOKUP(C277,[1]!ESTADO_CUENTA[ID_CLIENTE],[1]!ESTADO_CUENTA[TOTAL SALDOS],0,0,-1)</f>
        <v>0</v>
      </c>
      <c r="V277" s="1">
        <f>_xlfn.XLOOKUP(C277,[1]!ESTADO_CUENTA[ID_CLIENTE],[1]!ESTADO_CUENTA[TOTAL DEUDAS],0,0,-1)</f>
        <v>0</v>
      </c>
    </row>
    <row r="278" spans="1:22" x14ac:dyDescent="0.25">
      <c r="A278" s="4">
        <v>46069</v>
      </c>
      <c r="B278" t="s">
        <v>32</v>
      </c>
      <c r="C278">
        <v>292</v>
      </c>
      <c r="D278" t="s">
        <v>1108</v>
      </c>
      <c r="E278" t="s">
        <v>1108</v>
      </c>
      <c r="G278" t="s">
        <v>1109</v>
      </c>
      <c r="H278">
        <v>3003480265</v>
      </c>
      <c r="I278">
        <v>195</v>
      </c>
      <c r="J278">
        <v>390</v>
      </c>
      <c r="K278">
        <v>5850</v>
      </c>
      <c r="L278">
        <v>30</v>
      </c>
      <c r="M278">
        <v>15</v>
      </c>
      <c r="N278">
        <v>46084</v>
      </c>
      <c r="O278">
        <v>292</v>
      </c>
      <c r="P278">
        <v>29000</v>
      </c>
      <c r="Q278">
        <v>5850</v>
      </c>
      <c r="R278">
        <v>169650</v>
      </c>
      <c r="S278" t="s">
        <v>1110</v>
      </c>
      <c r="T278" t="s">
        <v>1111</v>
      </c>
      <c r="U278" s="1">
        <f>+_xlfn.XLOOKUP(C278,[1]!ESTADO_CUENTA[ID_CLIENTE],[1]!ESTADO_CUENTA[TOTAL SALDOS],0,0,-1)</f>
        <v>0</v>
      </c>
      <c r="V278" s="1">
        <f>_xlfn.XLOOKUP(C278,[1]!ESTADO_CUENTA[ID_CLIENTE],[1]!ESTADO_CUENTA[TOTAL DEUDAS],0,0,-1)</f>
        <v>0</v>
      </c>
    </row>
    <row r="279" spans="1:22" x14ac:dyDescent="0.25">
      <c r="B279" t="s">
        <v>28</v>
      </c>
      <c r="C279">
        <v>293</v>
      </c>
      <c r="D279" t="s">
        <v>1112</v>
      </c>
      <c r="E279" t="s">
        <v>1112</v>
      </c>
      <c r="G279" t="s">
        <v>1113</v>
      </c>
      <c r="H279">
        <v>3104882843</v>
      </c>
      <c r="I279">
        <v>90</v>
      </c>
      <c r="J279">
        <v>180</v>
      </c>
      <c r="K279">
        <v>1260</v>
      </c>
      <c r="L279">
        <v>14</v>
      </c>
      <c r="M279">
        <v>7</v>
      </c>
      <c r="O279">
        <v>293</v>
      </c>
      <c r="P279">
        <v>101746.03174603176</v>
      </c>
      <c r="Q279">
        <v>1260</v>
      </c>
      <c r="R279">
        <v>128200</v>
      </c>
      <c r="S279" t="s">
        <v>1114</v>
      </c>
      <c r="T279" t="s">
        <v>1115</v>
      </c>
      <c r="U279" s="1">
        <f>+_xlfn.XLOOKUP(C279,[1]!ESTADO_CUENTA[ID_CLIENTE],[1]!ESTADO_CUENTA[TOTAL SALDOS],0,0,-1)</f>
        <v>0</v>
      </c>
      <c r="V279" s="1">
        <f>_xlfn.XLOOKUP(C279,[1]!ESTADO_CUENTA[ID_CLIENTE],[1]!ESTADO_CUENTA[TOTAL DEUDAS],0,0,-1)</f>
        <v>0</v>
      </c>
    </row>
    <row r="280" spans="1:22" x14ac:dyDescent="0.25">
      <c r="A280" s="4">
        <v>46072</v>
      </c>
      <c r="B280" t="s">
        <v>32</v>
      </c>
      <c r="C280">
        <v>294</v>
      </c>
      <c r="D280" t="s">
        <v>1116</v>
      </c>
      <c r="E280" t="s">
        <v>1117</v>
      </c>
      <c r="G280" t="s">
        <v>1118</v>
      </c>
      <c r="H280">
        <v>3195742640</v>
      </c>
      <c r="I280">
        <v>130</v>
      </c>
      <c r="J280">
        <v>260</v>
      </c>
      <c r="K280">
        <v>7800</v>
      </c>
      <c r="L280">
        <v>60</v>
      </c>
      <c r="M280">
        <v>30</v>
      </c>
      <c r="N280">
        <v>46102</v>
      </c>
      <c r="O280">
        <v>294</v>
      </c>
      <c r="P280">
        <v>39000</v>
      </c>
      <c r="Q280">
        <v>7800</v>
      </c>
      <c r="R280">
        <v>304200</v>
      </c>
      <c r="S280" t="s">
        <v>1119</v>
      </c>
      <c r="T280" t="s">
        <v>1120</v>
      </c>
      <c r="U280" s="1">
        <f>+_xlfn.XLOOKUP(C280,[1]!ESTADO_CUENTA[ID_CLIENTE],[1]!ESTADO_CUENTA[TOTAL SALDOS],0,0,-1)</f>
        <v>0</v>
      </c>
      <c r="V280" s="1">
        <f>_xlfn.XLOOKUP(C280,[1]!ESTADO_CUENTA[ID_CLIENTE],[1]!ESTADO_CUENTA[TOTAL DEUDAS],0,0,-1)</f>
        <v>152100</v>
      </c>
    </row>
    <row r="281" spans="1:22" x14ac:dyDescent="0.25">
      <c r="B281" t="s">
        <v>28</v>
      </c>
      <c r="C281">
        <v>295</v>
      </c>
      <c r="D281" t="s">
        <v>1121</v>
      </c>
      <c r="E281" t="s">
        <v>1121</v>
      </c>
      <c r="G281" t="s">
        <v>1122</v>
      </c>
      <c r="H281">
        <v>3138501160</v>
      </c>
      <c r="I281">
        <v>45</v>
      </c>
      <c r="J281">
        <v>90</v>
      </c>
      <c r="K281">
        <v>1350</v>
      </c>
      <c r="L281">
        <v>30</v>
      </c>
      <c r="M281">
        <v>15</v>
      </c>
      <c r="O281">
        <v>295</v>
      </c>
      <c r="P281">
        <v>55037.037037037036</v>
      </c>
      <c r="Q281">
        <v>1350</v>
      </c>
      <c r="R281">
        <v>74300</v>
      </c>
      <c r="S281" t="s">
        <v>1123</v>
      </c>
      <c r="T281" t="s">
        <v>1124</v>
      </c>
      <c r="U281" s="1">
        <f>+_xlfn.XLOOKUP(C281,[1]!ESTADO_CUENTA[ID_CLIENTE],[1]!ESTADO_CUENTA[TOTAL SALDOS],0,0,-1)</f>
        <v>0</v>
      </c>
      <c r="V281" s="1">
        <f>_xlfn.XLOOKUP(C281,[1]!ESTADO_CUENTA[ID_CLIENTE],[1]!ESTADO_CUENTA[TOTAL DEUDAS],0,0,-1)</f>
        <v>0</v>
      </c>
    </row>
    <row r="282" spans="1:22" x14ac:dyDescent="0.25">
      <c r="A282" s="4">
        <v>46072</v>
      </c>
      <c r="B282" t="s">
        <v>32</v>
      </c>
      <c r="C282">
        <v>296</v>
      </c>
      <c r="D282" t="s">
        <v>1125</v>
      </c>
      <c r="E282" t="s">
        <v>1126</v>
      </c>
      <c r="G282" t="s">
        <v>1127</v>
      </c>
      <c r="H282">
        <v>3115912750</v>
      </c>
      <c r="I282">
        <v>40</v>
      </c>
      <c r="J282">
        <v>80</v>
      </c>
      <c r="K282">
        <v>1200</v>
      </c>
      <c r="L282">
        <v>30</v>
      </c>
      <c r="M282">
        <v>15</v>
      </c>
      <c r="N282">
        <v>46087</v>
      </c>
      <c r="O282">
        <v>296</v>
      </c>
      <c r="P282">
        <v>56250</v>
      </c>
      <c r="Q282">
        <v>1200</v>
      </c>
      <c r="R282">
        <v>67500</v>
      </c>
      <c r="S282" t="s">
        <v>1128</v>
      </c>
      <c r="T282" t="s">
        <v>1129</v>
      </c>
      <c r="U282" s="1">
        <f>+_xlfn.XLOOKUP(C282,[1]!ESTADO_CUENTA[ID_CLIENTE],[1]!ESTADO_CUENTA[TOTAL SALDOS],0,0,-1)</f>
        <v>0</v>
      </c>
      <c r="V282" s="1">
        <f>_xlfn.XLOOKUP(C282,[1]!ESTADO_CUENTA[ID_CLIENTE],[1]!ESTADO_CUENTA[TOTAL DEUDAS],0,0,-1)</f>
        <v>0</v>
      </c>
    </row>
    <row r="283" spans="1:22" x14ac:dyDescent="0.25">
      <c r="A283" s="4">
        <v>46064</v>
      </c>
      <c r="B283" t="s">
        <v>32</v>
      </c>
      <c r="C283">
        <v>257</v>
      </c>
      <c r="D283" t="s">
        <v>1392</v>
      </c>
      <c r="E283" t="s">
        <v>976</v>
      </c>
      <c r="G283" t="s">
        <v>977</v>
      </c>
      <c r="H283">
        <v>3134939137</v>
      </c>
      <c r="I283">
        <v>110</v>
      </c>
      <c r="J283">
        <v>220</v>
      </c>
      <c r="K283">
        <v>3300</v>
      </c>
      <c r="L283">
        <v>30</v>
      </c>
      <c r="M283">
        <v>15</v>
      </c>
      <c r="N283">
        <v>46079</v>
      </c>
      <c r="O283">
        <v>257</v>
      </c>
      <c r="P283">
        <v>41515.151515151512</v>
      </c>
      <c r="Q283">
        <v>3300</v>
      </c>
      <c r="R283">
        <v>137000</v>
      </c>
      <c r="S283" t="s">
        <v>978</v>
      </c>
      <c r="T283" t="s">
        <v>979</v>
      </c>
      <c r="U283" s="1">
        <f>+_xlfn.XLOOKUP(C283,[1]!ESTADO_CUENTA[ID_CLIENTE],[1]!ESTADO_CUENTA[TOTAL SALDOS],0,0,-1)</f>
        <v>0</v>
      </c>
      <c r="V283" s="1">
        <f>_xlfn.XLOOKUP(C283,[1]!ESTADO_CUENTA[ID_CLIENTE],[1]!ESTADO_CUENTA[TOTAL DEUDAS],0,0,-1)</f>
        <v>0</v>
      </c>
    </row>
    <row r="284" spans="1:22" x14ac:dyDescent="0.25">
      <c r="B284" t="s">
        <v>28</v>
      </c>
      <c r="C284">
        <v>298</v>
      </c>
      <c r="D284" t="s">
        <v>1134</v>
      </c>
      <c r="E284" t="s">
        <v>1134</v>
      </c>
      <c r="G284" t="s">
        <v>1135</v>
      </c>
      <c r="H284">
        <v>3118418305</v>
      </c>
      <c r="I284">
        <v>75</v>
      </c>
      <c r="J284">
        <v>150</v>
      </c>
      <c r="K284">
        <v>1500</v>
      </c>
      <c r="L284">
        <v>20</v>
      </c>
      <c r="M284">
        <v>10</v>
      </c>
      <c r="O284">
        <v>298</v>
      </c>
      <c r="P284">
        <v>55900</v>
      </c>
      <c r="Q284">
        <v>1500</v>
      </c>
      <c r="R284">
        <v>83850</v>
      </c>
      <c r="S284" t="s">
        <v>1136</v>
      </c>
      <c r="U284" s="1">
        <f>+_xlfn.XLOOKUP(C284,[1]!ESTADO_CUENTA[ID_CLIENTE],[1]!ESTADO_CUENTA[TOTAL SALDOS],0,0,-1)</f>
        <v>0</v>
      </c>
      <c r="V284" s="1">
        <f>_xlfn.XLOOKUP(C284,[1]!ESTADO_CUENTA[ID_CLIENTE],[1]!ESTADO_CUENTA[TOTAL DEUDAS],0,0,-1)</f>
        <v>0</v>
      </c>
    </row>
    <row r="285" spans="1:22" x14ac:dyDescent="0.25">
      <c r="A285" s="4">
        <v>46071</v>
      </c>
      <c r="B285" t="s">
        <v>32</v>
      </c>
      <c r="C285">
        <v>299</v>
      </c>
      <c r="D285" t="s">
        <v>1137</v>
      </c>
      <c r="E285" t="s">
        <v>1137</v>
      </c>
      <c r="G285" t="s">
        <v>1138</v>
      </c>
      <c r="H285">
        <v>3156008463</v>
      </c>
      <c r="I285">
        <v>200</v>
      </c>
      <c r="J285">
        <v>400</v>
      </c>
      <c r="K285">
        <v>6000</v>
      </c>
      <c r="L285">
        <v>30</v>
      </c>
      <c r="M285">
        <v>15</v>
      </c>
      <c r="N285">
        <v>46086</v>
      </c>
      <c r="O285">
        <v>299</v>
      </c>
      <c r="P285">
        <v>25000</v>
      </c>
      <c r="Q285">
        <v>6000</v>
      </c>
      <c r="R285">
        <v>150000</v>
      </c>
      <c r="S285" t="s">
        <v>1139</v>
      </c>
      <c r="U285" s="1">
        <f>+_xlfn.XLOOKUP(C285,[1]!ESTADO_CUENTA[ID_CLIENTE],[1]!ESTADO_CUENTA[TOTAL SALDOS],0,0,-1)</f>
        <v>0</v>
      </c>
      <c r="V285" s="1">
        <f>_xlfn.XLOOKUP(C285,[1]!ESTADO_CUENTA[ID_CLIENTE],[1]!ESTADO_CUENTA[TOTAL DEUDAS],0,0,-1)</f>
        <v>16000</v>
      </c>
    </row>
    <row r="286" spans="1:22" x14ac:dyDescent="0.25">
      <c r="A286" s="4">
        <v>46069</v>
      </c>
      <c r="B286" t="s">
        <v>32</v>
      </c>
      <c r="C286">
        <v>300</v>
      </c>
      <c r="D286" t="s">
        <v>1140</v>
      </c>
      <c r="E286" t="s">
        <v>1140</v>
      </c>
      <c r="G286" t="s">
        <v>1141</v>
      </c>
      <c r="H286">
        <v>3162393410</v>
      </c>
      <c r="I286">
        <v>50</v>
      </c>
      <c r="J286">
        <v>150</v>
      </c>
      <c r="K286">
        <v>2250</v>
      </c>
      <c r="L286">
        <v>45</v>
      </c>
      <c r="M286">
        <v>15</v>
      </c>
      <c r="N286">
        <v>46084</v>
      </c>
      <c r="O286">
        <v>300</v>
      </c>
      <c r="P286">
        <v>36866.666666666664</v>
      </c>
      <c r="Q286">
        <v>2250</v>
      </c>
      <c r="R286">
        <v>82950</v>
      </c>
      <c r="S286" t="s">
        <v>1142</v>
      </c>
      <c r="T286" t="s">
        <v>1143</v>
      </c>
      <c r="U286" s="1">
        <f>+_xlfn.XLOOKUP(C286,[1]!ESTADO_CUENTA[ID_CLIENTE],[1]!ESTADO_CUENTA[TOTAL SALDOS],0,0,-1)</f>
        <v>0</v>
      </c>
      <c r="V286" s="1">
        <f>_xlfn.XLOOKUP(C286,[1]!ESTADO_CUENTA[ID_CLIENTE],[1]!ESTADO_CUENTA[TOTAL DEUDAS],0,0,-1)</f>
        <v>0</v>
      </c>
    </row>
    <row r="287" spans="1:22" x14ac:dyDescent="0.25">
      <c r="A287" s="4">
        <v>46052</v>
      </c>
      <c r="B287" t="s">
        <v>20</v>
      </c>
      <c r="C287">
        <v>301</v>
      </c>
      <c r="D287" t="s">
        <v>1144</v>
      </c>
      <c r="E287" t="s">
        <v>1144</v>
      </c>
      <c r="G287" t="s">
        <v>1145</v>
      </c>
      <c r="H287">
        <v>3176485204</v>
      </c>
      <c r="I287">
        <v>230</v>
      </c>
      <c r="J287">
        <v>230</v>
      </c>
      <c r="K287">
        <v>6900</v>
      </c>
      <c r="L287">
        <v>30</v>
      </c>
      <c r="M287">
        <v>30</v>
      </c>
      <c r="N287">
        <v>46082</v>
      </c>
      <c r="O287">
        <v>301</v>
      </c>
      <c r="P287">
        <v>36434.782608695648</v>
      </c>
      <c r="Q287">
        <v>6900</v>
      </c>
      <c r="R287">
        <v>251400</v>
      </c>
      <c r="S287" t="s">
        <v>1146</v>
      </c>
      <c r="T287" t="s">
        <v>1147</v>
      </c>
      <c r="U287" s="1">
        <f>+_xlfn.XLOOKUP(C287,[1]!ESTADO_CUENTA[ID_CLIENTE],[1]!ESTADO_CUENTA[TOTAL SALDOS],0,0,-1)</f>
        <v>0</v>
      </c>
      <c r="V287" s="1">
        <f>_xlfn.XLOOKUP(C287,[1]!ESTADO_CUENTA[ID_CLIENTE],[1]!ESTADO_CUENTA[TOTAL DEUDAS],0,0,-1)</f>
        <v>0</v>
      </c>
    </row>
    <row r="288" spans="1:22" x14ac:dyDescent="0.25">
      <c r="A288" s="4">
        <v>46066</v>
      </c>
      <c r="B288" t="s">
        <v>32</v>
      </c>
      <c r="C288">
        <v>302</v>
      </c>
      <c r="D288" t="s">
        <v>1148</v>
      </c>
      <c r="E288" t="s">
        <v>1148</v>
      </c>
      <c r="G288" t="s">
        <v>1149</v>
      </c>
      <c r="H288">
        <v>3214527779</v>
      </c>
      <c r="I288">
        <v>250</v>
      </c>
      <c r="J288">
        <v>250</v>
      </c>
      <c r="K288">
        <v>7500</v>
      </c>
      <c r="L288">
        <v>30</v>
      </c>
      <c r="M288">
        <v>30</v>
      </c>
      <c r="N288">
        <v>46096</v>
      </c>
      <c r="O288">
        <v>302</v>
      </c>
      <c r="P288">
        <v>27600</v>
      </c>
      <c r="Q288">
        <v>7500</v>
      </c>
      <c r="R288">
        <v>207000</v>
      </c>
      <c r="S288" t="s">
        <v>1150</v>
      </c>
      <c r="T288" t="s">
        <v>910</v>
      </c>
      <c r="U288" s="1">
        <f>+_xlfn.XLOOKUP(C288,[1]!ESTADO_CUENTA[ID_CLIENTE],[1]!ESTADO_CUENTA[TOTAL SALDOS],0,0,-1)</f>
        <v>0</v>
      </c>
      <c r="V288" s="1">
        <f>_xlfn.XLOOKUP(C288,[1]!ESTADO_CUENTA[ID_CLIENTE],[1]!ESTADO_CUENTA[TOTAL DEUDAS],0,0,-1)</f>
        <v>0</v>
      </c>
    </row>
    <row r="289" spans="1:22" x14ac:dyDescent="0.25">
      <c r="B289" t="s">
        <v>28</v>
      </c>
      <c r="C289">
        <v>303</v>
      </c>
      <c r="D289" t="s">
        <v>1151</v>
      </c>
      <c r="E289" t="s">
        <v>1151</v>
      </c>
      <c r="G289" t="s">
        <v>1152</v>
      </c>
      <c r="H289">
        <v>3017419790</v>
      </c>
      <c r="I289">
        <v>120</v>
      </c>
      <c r="J289">
        <v>240</v>
      </c>
      <c r="K289">
        <v>3600</v>
      </c>
      <c r="L289">
        <v>30</v>
      </c>
      <c r="M289">
        <v>15</v>
      </c>
      <c r="O289">
        <v>303</v>
      </c>
      <c r="P289">
        <v>37500</v>
      </c>
      <c r="Q289">
        <v>3600</v>
      </c>
      <c r="R289">
        <v>135000</v>
      </c>
      <c r="S289" t="s">
        <v>1153</v>
      </c>
      <c r="T289" t="s">
        <v>1154</v>
      </c>
      <c r="U289" s="1">
        <f>+_xlfn.XLOOKUP(C289,[1]!ESTADO_CUENTA[ID_CLIENTE],[1]!ESTADO_CUENTA[TOTAL SALDOS],0,0,-1)</f>
        <v>0</v>
      </c>
      <c r="V289" s="1">
        <f>_xlfn.XLOOKUP(C289,[1]!ESTADO_CUENTA[ID_CLIENTE],[1]!ESTADO_CUENTA[TOTAL DEUDAS],0,0,-1)</f>
        <v>0</v>
      </c>
    </row>
    <row r="290" spans="1:22" x14ac:dyDescent="0.25">
      <c r="A290" s="4">
        <v>0</v>
      </c>
      <c r="B290" t="s">
        <v>20</v>
      </c>
      <c r="C290">
        <v>304</v>
      </c>
      <c r="D290" t="s">
        <v>1155</v>
      </c>
      <c r="E290" t="s">
        <v>1155</v>
      </c>
      <c r="G290" t="s">
        <v>6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304</v>
      </c>
      <c r="P290">
        <v>0</v>
      </c>
      <c r="Q290">
        <v>0</v>
      </c>
      <c r="T290" t="s">
        <v>1156</v>
      </c>
      <c r="U290" s="1">
        <f>+_xlfn.XLOOKUP(C290,[1]!ESTADO_CUENTA[ID_CLIENTE],[1]!ESTADO_CUENTA[TOTAL SALDOS],0,0,-1)</f>
        <v>0</v>
      </c>
      <c r="V290" s="1">
        <f>_xlfn.XLOOKUP(C290,[1]!ESTADO_CUENTA[ID_CLIENTE],[1]!ESTADO_CUENTA[TOTAL DEUDAS],0,0,-1)</f>
        <v>0</v>
      </c>
    </row>
    <row r="291" spans="1:22" x14ac:dyDescent="0.25">
      <c r="B291" t="s">
        <v>28</v>
      </c>
      <c r="C291">
        <v>267</v>
      </c>
      <c r="D291" t="s">
        <v>1393</v>
      </c>
      <c r="E291" t="s">
        <v>1012</v>
      </c>
      <c r="G291" t="s">
        <v>1013</v>
      </c>
      <c r="H291">
        <v>3027081180</v>
      </c>
      <c r="I291">
        <v>180</v>
      </c>
      <c r="J291">
        <v>180</v>
      </c>
      <c r="K291">
        <v>1260</v>
      </c>
      <c r="L291">
        <v>7</v>
      </c>
      <c r="M291">
        <v>7</v>
      </c>
      <c r="O291">
        <v>267</v>
      </c>
      <c r="P291">
        <v>7936.5079365079364</v>
      </c>
      <c r="Q291">
        <v>1260</v>
      </c>
      <c r="R291">
        <v>10000</v>
      </c>
      <c r="S291" t="s">
        <v>1014</v>
      </c>
      <c r="U291" s="1">
        <f>+_xlfn.XLOOKUP(C291,[1]!ESTADO_CUENTA[ID_CLIENTE],[1]!ESTADO_CUENTA[TOTAL SALDOS],0,0,-1)</f>
        <v>0</v>
      </c>
      <c r="V291" s="1">
        <f>_xlfn.XLOOKUP(C291,[1]!ESTADO_CUENTA[ID_CLIENTE],[1]!ESTADO_CUENTA[TOTAL DEUDAS],0,0,-1)</f>
        <v>0</v>
      </c>
    </row>
    <row r="292" spans="1:22" x14ac:dyDescent="0.25">
      <c r="B292" t="s">
        <v>28</v>
      </c>
      <c r="C292">
        <v>306</v>
      </c>
      <c r="D292" t="s">
        <v>1161</v>
      </c>
      <c r="E292" t="s">
        <v>1161</v>
      </c>
      <c r="G292" t="s">
        <v>1162</v>
      </c>
      <c r="H292">
        <v>3502492255</v>
      </c>
      <c r="I292">
        <v>50</v>
      </c>
      <c r="J292">
        <v>150</v>
      </c>
      <c r="K292">
        <v>2250</v>
      </c>
      <c r="L292">
        <v>45</v>
      </c>
      <c r="M292">
        <v>15</v>
      </c>
      <c r="O292">
        <v>306</v>
      </c>
      <c r="P292">
        <v>18133.333333333332</v>
      </c>
      <c r="Q292">
        <v>2250</v>
      </c>
      <c r="R292">
        <v>40800</v>
      </c>
      <c r="S292" t="s">
        <v>1163</v>
      </c>
      <c r="U292" s="1">
        <f>+_xlfn.XLOOKUP(C292,[1]!ESTADO_CUENTA[ID_CLIENTE],[1]!ESTADO_CUENTA[TOTAL SALDOS],0,0,-1)</f>
        <v>0</v>
      </c>
      <c r="V292" s="1">
        <f>_xlfn.XLOOKUP(C292,[1]!ESTADO_CUENTA[ID_CLIENTE],[1]!ESTADO_CUENTA[TOTAL DEUDAS],0,0,-1)</f>
        <v>0</v>
      </c>
    </row>
    <row r="293" spans="1:22" x14ac:dyDescent="0.25">
      <c r="A293" s="4">
        <v>0</v>
      </c>
      <c r="B293" t="s">
        <v>20</v>
      </c>
      <c r="C293">
        <v>307</v>
      </c>
      <c r="D293" t="s">
        <v>1164</v>
      </c>
      <c r="E293" t="s">
        <v>1165</v>
      </c>
      <c r="G293" t="s">
        <v>6</v>
      </c>
      <c r="K293">
        <v>0</v>
      </c>
      <c r="O293">
        <v>307</v>
      </c>
      <c r="Q293">
        <v>0</v>
      </c>
      <c r="U293" s="1">
        <f>+_xlfn.XLOOKUP(C293,[1]!ESTADO_CUENTA[ID_CLIENTE],[1]!ESTADO_CUENTA[TOTAL SALDOS],0,0,-1)</f>
        <v>0</v>
      </c>
      <c r="V293" s="1">
        <f>_xlfn.XLOOKUP(C293,[1]!ESTADO_CUENTA[ID_CLIENTE],[1]!ESTADO_CUENTA[TOTAL DEUDAS],0,0,-1)</f>
        <v>0</v>
      </c>
    </row>
    <row r="294" spans="1:22" x14ac:dyDescent="0.25">
      <c r="A294" s="4">
        <v>0</v>
      </c>
      <c r="B294" t="s">
        <v>20</v>
      </c>
      <c r="C294">
        <v>308</v>
      </c>
      <c r="D294" t="s">
        <v>1166</v>
      </c>
      <c r="E294" t="s">
        <v>1166</v>
      </c>
      <c r="G294" t="s">
        <v>6</v>
      </c>
      <c r="K294">
        <v>0</v>
      </c>
      <c r="O294">
        <v>308</v>
      </c>
      <c r="Q294">
        <v>0</v>
      </c>
      <c r="U294" s="1">
        <f>+_xlfn.XLOOKUP(C294,[1]!ESTADO_CUENTA[ID_CLIENTE],[1]!ESTADO_CUENTA[TOTAL SALDOS],0,0,-1)</f>
        <v>0</v>
      </c>
      <c r="V294" s="1">
        <f>_xlfn.XLOOKUP(C294,[1]!ESTADO_CUENTA[ID_CLIENTE],[1]!ESTADO_CUENTA[TOTAL DEUDAS],0,0,-1)</f>
        <v>0</v>
      </c>
    </row>
    <row r="295" spans="1:22" x14ac:dyDescent="0.25">
      <c r="A295" s="4">
        <v>46073</v>
      </c>
      <c r="B295" t="s">
        <v>32</v>
      </c>
      <c r="C295">
        <v>309</v>
      </c>
      <c r="D295" t="s">
        <v>1167</v>
      </c>
      <c r="E295" t="s">
        <v>1168</v>
      </c>
      <c r="G295" t="s">
        <v>1169</v>
      </c>
      <c r="H295">
        <v>3236121767</v>
      </c>
      <c r="I295">
        <v>54</v>
      </c>
      <c r="J295">
        <v>162</v>
      </c>
      <c r="K295">
        <v>2430</v>
      </c>
      <c r="L295">
        <v>45</v>
      </c>
      <c r="M295">
        <v>15</v>
      </c>
      <c r="N295">
        <v>46088</v>
      </c>
      <c r="O295">
        <v>309</v>
      </c>
      <c r="P295">
        <v>41728.395061728392</v>
      </c>
      <c r="Q295">
        <v>2430</v>
      </c>
      <c r="R295">
        <v>101400</v>
      </c>
      <c r="S295" t="s">
        <v>1170</v>
      </c>
      <c r="U295" s="1">
        <f>+_xlfn.XLOOKUP(C295,[1]!ESTADO_CUENTA[ID_CLIENTE],[1]!ESTADO_CUENTA[TOTAL SALDOS],0,0,-1)</f>
        <v>0</v>
      </c>
      <c r="V295" s="1">
        <f>_xlfn.XLOOKUP(C295,[1]!ESTADO_CUENTA[ID_CLIENTE],[1]!ESTADO_CUENTA[TOTAL DEUDAS],0,0,-1)</f>
        <v>0</v>
      </c>
    </row>
    <row r="296" spans="1:22" x14ac:dyDescent="0.25">
      <c r="A296" s="4">
        <v>46049</v>
      </c>
      <c r="B296" t="s">
        <v>20</v>
      </c>
      <c r="C296">
        <v>312</v>
      </c>
      <c r="D296" t="s">
        <v>1171</v>
      </c>
      <c r="E296" t="s">
        <v>1172</v>
      </c>
      <c r="G296" t="s">
        <v>1173</v>
      </c>
      <c r="H296">
        <v>3214355705</v>
      </c>
      <c r="I296">
        <v>60</v>
      </c>
      <c r="J296">
        <v>120</v>
      </c>
      <c r="K296">
        <v>1800</v>
      </c>
      <c r="L296">
        <v>30</v>
      </c>
      <c r="M296">
        <v>15</v>
      </c>
      <c r="N296">
        <v>46064</v>
      </c>
      <c r="O296">
        <v>312</v>
      </c>
      <c r="P296">
        <v>42666.666666666664</v>
      </c>
      <c r="Q296">
        <v>1800</v>
      </c>
      <c r="R296">
        <v>76800</v>
      </c>
      <c r="S296" t="s">
        <v>1174</v>
      </c>
      <c r="U296" s="1">
        <f>+_xlfn.XLOOKUP(C296,[1]!ESTADO_CUENTA[ID_CLIENTE],[1]!ESTADO_CUENTA[TOTAL SALDOS],0,0,-1)</f>
        <v>0</v>
      </c>
      <c r="V296" s="1">
        <f>_xlfn.XLOOKUP(C296,[1]!ESTADO_CUENTA[ID_CLIENTE],[1]!ESTADO_CUENTA[TOTAL DEUDAS],0,0,-1)</f>
        <v>0</v>
      </c>
    </row>
    <row r="297" spans="1:22" x14ac:dyDescent="0.25">
      <c r="A297" s="4">
        <v>46066</v>
      </c>
      <c r="B297" t="s">
        <v>32</v>
      </c>
      <c r="C297">
        <v>314</v>
      </c>
      <c r="D297" t="s">
        <v>1175</v>
      </c>
      <c r="E297" t="s">
        <v>1176</v>
      </c>
      <c r="G297" t="s">
        <v>1177</v>
      </c>
      <c r="H297">
        <v>3203811083</v>
      </c>
      <c r="I297">
        <v>60</v>
      </c>
      <c r="J297">
        <v>180</v>
      </c>
      <c r="K297">
        <v>2700</v>
      </c>
      <c r="L297">
        <v>45</v>
      </c>
      <c r="M297">
        <v>15</v>
      </c>
      <c r="N297">
        <v>46081</v>
      </c>
      <c r="O297">
        <v>314</v>
      </c>
      <c r="P297">
        <v>37037.037037037036</v>
      </c>
      <c r="Q297">
        <v>2700</v>
      </c>
      <c r="R297">
        <v>100000</v>
      </c>
      <c r="S297" t="s">
        <v>1178</v>
      </c>
      <c r="U297" s="1">
        <f>+_xlfn.XLOOKUP(C297,[1]!ESTADO_CUENTA[ID_CLIENTE],[1]!ESTADO_CUENTA[TOTAL SALDOS],0,0,-1)</f>
        <v>0</v>
      </c>
      <c r="V297" s="1">
        <f>_xlfn.XLOOKUP(C297,[1]!ESTADO_CUENTA[ID_CLIENTE],[1]!ESTADO_CUENTA[TOTAL DEUDAS],0,0,-1)</f>
        <v>0</v>
      </c>
    </row>
    <row r="298" spans="1:22" x14ac:dyDescent="0.25">
      <c r="A298" s="4">
        <v>46069</v>
      </c>
      <c r="B298" t="s">
        <v>32</v>
      </c>
      <c r="C298">
        <v>315</v>
      </c>
      <c r="D298" t="s">
        <v>1179</v>
      </c>
      <c r="E298" t="s">
        <v>1179</v>
      </c>
      <c r="G298" t="s">
        <v>1180</v>
      </c>
      <c r="H298">
        <v>3150888802</v>
      </c>
      <c r="I298">
        <v>50</v>
      </c>
      <c r="J298">
        <v>150</v>
      </c>
      <c r="K298">
        <v>2250</v>
      </c>
      <c r="L298">
        <v>45</v>
      </c>
      <c r="M298">
        <v>15</v>
      </c>
      <c r="N298">
        <v>46084</v>
      </c>
      <c r="O298">
        <v>315</v>
      </c>
      <c r="P298">
        <v>43200</v>
      </c>
      <c r="Q298">
        <v>2250</v>
      </c>
      <c r="R298">
        <v>97200</v>
      </c>
      <c r="S298" t="s">
        <v>1181</v>
      </c>
      <c r="U298" s="1">
        <f>+_xlfn.XLOOKUP(C298,[1]!ESTADO_CUENTA[ID_CLIENTE],[1]!ESTADO_CUENTA[TOTAL SALDOS],0,0,-1)</f>
        <v>0</v>
      </c>
      <c r="V298" s="1">
        <f>_xlfn.XLOOKUP(C298,[1]!ESTADO_CUENTA[ID_CLIENTE],[1]!ESTADO_CUENTA[TOTAL DEUDAS],0,0,-1)</f>
        <v>0</v>
      </c>
    </row>
    <row r="299" spans="1:22" x14ac:dyDescent="0.25">
      <c r="A299" s="4">
        <v>46050</v>
      </c>
      <c r="B299" t="s">
        <v>20</v>
      </c>
      <c r="C299">
        <v>318</v>
      </c>
      <c r="D299" t="s">
        <v>1182</v>
      </c>
      <c r="E299" t="s">
        <v>1182</v>
      </c>
      <c r="G299" t="s">
        <v>1183</v>
      </c>
      <c r="H299">
        <v>3005778771</v>
      </c>
      <c r="I299">
        <v>38</v>
      </c>
      <c r="J299">
        <v>114</v>
      </c>
      <c r="K299">
        <v>1710</v>
      </c>
      <c r="L299">
        <v>45</v>
      </c>
      <c r="M299">
        <v>15</v>
      </c>
      <c r="N299">
        <v>46065</v>
      </c>
      <c r="O299">
        <v>318</v>
      </c>
      <c r="P299">
        <v>57836.257309941517</v>
      </c>
      <c r="Q299">
        <v>1710</v>
      </c>
      <c r="R299">
        <v>98900</v>
      </c>
      <c r="S299" t="s">
        <v>1184</v>
      </c>
      <c r="U299" s="1">
        <f>+_xlfn.XLOOKUP(C299,[1]!ESTADO_CUENTA[ID_CLIENTE],[1]!ESTADO_CUENTA[TOTAL SALDOS],0,0,-1)</f>
        <v>0</v>
      </c>
      <c r="V299" s="1">
        <f>_xlfn.XLOOKUP(C299,[1]!ESTADO_CUENTA[ID_CLIENTE],[1]!ESTADO_CUENTA[TOTAL DEUDAS],0,0,-1)</f>
        <v>0</v>
      </c>
    </row>
    <row r="300" spans="1:22" x14ac:dyDescent="0.25">
      <c r="B300" t="s">
        <v>28</v>
      </c>
      <c r="C300">
        <v>270</v>
      </c>
      <c r="D300" t="s">
        <v>1394</v>
      </c>
      <c r="E300" t="s">
        <v>1023</v>
      </c>
      <c r="G300" t="s">
        <v>1024</v>
      </c>
      <c r="H300">
        <v>3202342573</v>
      </c>
      <c r="I300">
        <v>115</v>
      </c>
      <c r="J300">
        <v>230</v>
      </c>
      <c r="K300">
        <v>1610</v>
      </c>
      <c r="L300">
        <v>14</v>
      </c>
      <c r="M300">
        <v>7</v>
      </c>
      <c r="O300">
        <v>270</v>
      </c>
      <c r="P300">
        <v>36149.068322981366</v>
      </c>
      <c r="Q300">
        <v>1610</v>
      </c>
      <c r="R300">
        <v>58200</v>
      </c>
      <c r="S300" t="s">
        <v>1025</v>
      </c>
      <c r="T300" t="s">
        <v>1026</v>
      </c>
      <c r="U300" s="1">
        <f>+_xlfn.XLOOKUP(C300,[1]!ESTADO_CUENTA[ID_CLIENTE],[1]!ESTADO_CUENTA[TOTAL SALDOS],0,0,-1)</f>
        <v>0</v>
      </c>
      <c r="V300" s="1">
        <f>_xlfn.XLOOKUP(C300,[1]!ESTADO_CUENTA[ID_CLIENTE],[1]!ESTADO_CUENTA[TOTAL DEUDAS],0,0,-1)</f>
        <v>0</v>
      </c>
    </row>
    <row r="301" spans="1:22" x14ac:dyDescent="0.25">
      <c r="A301" s="4">
        <v>46062</v>
      </c>
      <c r="B301" t="s">
        <v>32</v>
      </c>
      <c r="C301">
        <v>321</v>
      </c>
      <c r="D301" t="s">
        <v>1188</v>
      </c>
      <c r="E301" t="s">
        <v>1188</v>
      </c>
      <c r="G301" t="s">
        <v>1189</v>
      </c>
      <c r="H301">
        <v>3138806526</v>
      </c>
      <c r="I301">
        <v>75</v>
      </c>
      <c r="J301">
        <v>150</v>
      </c>
      <c r="K301">
        <v>2250</v>
      </c>
      <c r="L301">
        <v>30</v>
      </c>
      <c r="M301">
        <v>15</v>
      </c>
      <c r="N301">
        <v>46077</v>
      </c>
      <c r="O301">
        <v>321</v>
      </c>
      <c r="P301">
        <v>40266.666666666664</v>
      </c>
      <c r="Q301">
        <v>2250</v>
      </c>
      <c r="R301">
        <v>90600</v>
      </c>
      <c r="S301" t="s">
        <v>1190</v>
      </c>
      <c r="U301" s="1">
        <f>+_xlfn.XLOOKUP(C301,[1]!ESTADO_CUENTA[ID_CLIENTE],[1]!ESTADO_CUENTA[TOTAL SALDOS],0,0,-1)</f>
        <v>0</v>
      </c>
      <c r="V301" s="1">
        <f>_xlfn.XLOOKUP(C301,[1]!ESTADO_CUENTA[ID_CLIENTE],[1]!ESTADO_CUENTA[TOTAL DEUDAS],0,0,-1)</f>
        <v>0</v>
      </c>
    </row>
    <row r="302" spans="1:22" x14ac:dyDescent="0.25">
      <c r="A302" s="4">
        <v>46069</v>
      </c>
      <c r="B302" t="s">
        <v>32</v>
      </c>
      <c r="C302">
        <v>325</v>
      </c>
      <c r="D302" t="s">
        <v>1191</v>
      </c>
      <c r="E302" t="s">
        <v>1191</v>
      </c>
      <c r="G302" t="s">
        <v>1186</v>
      </c>
      <c r="H302">
        <v>3107870557</v>
      </c>
      <c r="I302">
        <v>50</v>
      </c>
      <c r="J302">
        <v>150</v>
      </c>
      <c r="K302">
        <v>2250</v>
      </c>
      <c r="L302">
        <v>45</v>
      </c>
      <c r="M302">
        <v>15</v>
      </c>
      <c r="N302">
        <v>46084</v>
      </c>
      <c r="O302">
        <v>325</v>
      </c>
      <c r="P302">
        <v>40266.666666666664</v>
      </c>
      <c r="Q302">
        <v>2250</v>
      </c>
      <c r="R302">
        <v>90600</v>
      </c>
      <c r="S302" t="s">
        <v>1192</v>
      </c>
      <c r="U302" s="1">
        <f>+_xlfn.XLOOKUP(C302,[1]!ESTADO_CUENTA[ID_CLIENTE],[1]!ESTADO_CUENTA[TOTAL SALDOS],0,0,-1)</f>
        <v>0</v>
      </c>
      <c r="V302" s="1">
        <f>_xlfn.XLOOKUP(C302,[1]!ESTADO_CUENTA[ID_CLIENTE],[1]!ESTADO_CUENTA[TOTAL DEUDAS],0,0,-1)</f>
        <v>0</v>
      </c>
    </row>
    <row r="303" spans="1:22" x14ac:dyDescent="0.25">
      <c r="A303" s="4">
        <v>46071</v>
      </c>
      <c r="B303" t="s">
        <v>32</v>
      </c>
      <c r="C303">
        <v>329</v>
      </c>
      <c r="D303" t="s">
        <v>1193</v>
      </c>
      <c r="E303" t="s">
        <v>1193</v>
      </c>
      <c r="G303" t="s">
        <v>1194</v>
      </c>
      <c r="H303">
        <v>3114608587</v>
      </c>
      <c r="I303">
        <v>87</v>
      </c>
      <c r="J303">
        <v>261</v>
      </c>
      <c r="K303">
        <v>3915</v>
      </c>
      <c r="L303">
        <v>45</v>
      </c>
      <c r="M303">
        <v>15</v>
      </c>
      <c r="N303">
        <v>46086</v>
      </c>
      <c r="O303">
        <v>329</v>
      </c>
      <c r="P303">
        <v>25542.784163473814</v>
      </c>
      <c r="Q303">
        <v>3915</v>
      </c>
      <c r="R303">
        <v>100000</v>
      </c>
      <c r="S303" t="s">
        <v>1195</v>
      </c>
      <c r="U303" s="1">
        <f>+_xlfn.XLOOKUP(C303,[1]!ESTADO_CUENTA[ID_CLIENTE],[1]!ESTADO_CUENTA[TOTAL SALDOS],0,0,-1)</f>
        <v>0</v>
      </c>
      <c r="V303" s="1">
        <f>_xlfn.XLOOKUP(C303,[1]!ESTADO_CUENTA[ID_CLIENTE],[1]!ESTADO_CUENTA[TOTAL DEUDAS],0,0,-1)</f>
        <v>0</v>
      </c>
    </row>
    <row r="304" spans="1:22" x14ac:dyDescent="0.25">
      <c r="A304" s="4">
        <v>46058</v>
      </c>
      <c r="B304" t="s">
        <v>32</v>
      </c>
      <c r="C304">
        <v>330</v>
      </c>
      <c r="D304" t="s">
        <v>1196</v>
      </c>
      <c r="E304" t="s">
        <v>1196</v>
      </c>
      <c r="F304" t="s">
        <v>1197</v>
      </c>
      <c r="G304" t="s">
        <v>1198</v>
      </c>
      <c r="H304">
        <v>3123778450</v>
      </c>
      <c r="I304">
        <v>295</v>
      </c>
      <c r="J304">
        <v>590</v>
      </c>
      <c r="K304">
        <v>8850</v>
      </c>
      <c r="L304">
        <v>30</v>
      </c>
      <c r="M304">
        <v>15</v>
      </c>
      <c r="N304">
        <v>46073</v>
      </c>
      <c r="O304">
        <v>330</v>
      </c>
      <c r="P304">
        <v>30000</v>
      </c>
      <c r="Q304">
        <v>8850</v>
      </c>
      <c r="R304">
        <v>265500</v>
      </c>
      <c r="S304" t="s">
        <v>1199</v>
      </c>
      <c r="T304" t="s">
        <v>1200</v>
      </c>
      <c r="U304" s="1">
        <f>+_xlfn.XLOOKUP(C304,[1]!ESTADO_CUENTA[ID_CLIENTE],[1]!ESTADO_CUENTA[TOTAL SALDOS],0,0,-1)</f>
        <v>100</v>
      </c>
      <c r="V304" s="1">
        <f>_xlfn.XLOOKUP(C304,[1]!ESTADO_CUENTA[ID_CLIENTE],[1]!ESTADO_CUENTA[TOTAL DEUDAS],0,0,-1)</f>
        <v>0</v>
      </c>
    </row>
    <row r="305" spans="1:22" x14ac:dyDescent="0.25">
      <c r="A305" s="4">
        <v>46059</v>
      </c>
      <c r="B305" t="s">
        <v>32</v>
      </c>
      <c r="C305">
        <v>331</v>
      </c>
      <c r="D305" t="s">
        <v>1201</v>
      </c>
      <c r="E305" t="s">
        <v>1201</v>
      </c>
      <c r="G305" t="s">
        <v>1202</v>
      </c>
      <c r="H305">
        <v>3103037684</v>
      </c>
      <c r="I305">
        <v>53</v>
      </c>
      <c r="J305">
        <v>53</v>
      </c>
      <c r="K305">
        <v>795</v>
      </c>
      <c r="L305">
        <v>15</v>
      </c>
      <c r="M305">
        <v>15</v>
      </c>
      <c r="N305">
        <v>46074</v>
      </c>
      <c r="O305">
        <v>331</v>
      </c>
      <c r="P305">
        <v>68867.924528301883</v>
      </c>
      <c r="Q305">
        <v>795</v>
      </c>
      <c r="R305">
        <v>54750</v>
      </c>
      <c r="S305" t="s">
        <v>1203</v>
      </c>
      <c r="U305" s="1">
        <f>+_xlfn.XLOOKUP(C305,[1]!ESTADO_CUENTA[ID_CLIENTE],[1]!ESTADO_CUENTA[TOTAL SALDOS],0,0,-1)</f>
        <v>0</v>
      </c>
      <c r="V305" s="1">
        <f>_xlfn.XLOOKUP(C305,[1]!ESTADO_CUENTA[ID_CLIENTE],[1]!ESTADO_CUENTA[TOTAL DEUDAS],0,0,-1)</f>
        <v>0</v>
      </c>
    </row>
    <row r="306" spans="1:22" x14ac:dyDescent="0.25">
      <c r="A306" s="4">
        <v>46062</v>
      </c>
      <c r="B306" t="s">
        <v>32</v>
      </c>
      <c r="C306">
        <v>336</v>
      </c>
      <c r="D306" t="s">
        <v>1204</v>
      </c>
      <c r="E306" t="s">
        <v>1204</v>
      </c>
      <c r="G306" t="s">
        <v>1205</v>
      </c>
      <c r="H306">
        <v>3133765115</v>
      </c>
      <c r="I306">
        <v>235</v>
      </c>
      <c r="J306">
        <v>470</v>
      </c>
      <c r="K306">
        <v>3290</v>
      </c>
      <c r="L306">
        <v>14</v>
      </c>
      <c r="M306">
        <v>7</v>
      </c>
      <c r="N306">
        <v>46069</v>
      </c>
      <c r="O306">
        <v>336</v>
      </c>
      <c r="P306">
        <v>27902.73556231003</v>
      </c>
      <c r="Q306">
        <v>3290</v>
      </c>
      <c r="R306">
        <v>91800</v>
      </c>
      <c r="S306" t="s">
        <v>1206</v>
      </c>
      <c r="T306" t="s">
        <v>1207</v>
      </c>
      <c r="U306" s="1">
        <f>+_xlfn.XLOOKUP(C306,[1]!ESTADO_CUENTA[ID_CLIENTE],[1]!ESTADO_CUENTA[TOTAL SALDOS],0,0,-1)</f>
        <v>0</v>
      </c>
      <c r="V306" s="1">
        <f>_xlfn.XLOOKUP(C306,[1]!ESTADO_CUENTA[ID_CLIENTE],[1]!ESTADO_CUENTA[TOTAL DEUDAS],0,0,-1)</f>
        <v>0</v>
      </c>
    </row>
    <row r="307" spans="1:22" x14ac:dyDescent="0.25">
      <c r="A307" s="4">
        <v>46073</v>
      </c>
      <c r="B307" t="s">
        <v>32</v>
      </c>
      <c r="C307">
        <v>337</v>
      </c>
      <c r="D307" t="s">
        <v>1208</v>
      </c>
      <c r="E307" t="s">
        <v>1208</v>
      </c>
      <c r="G307" t="s">
        <v>1209</v>
      </c>
      <c r="H307">
        <v>3016949975</v>
      </c>
      <c r="I307">
        <v>160</v>
      </c>
      <c r="J307">
        <v>320</v>
      </c>
      <c r="K307">
        <v>9600</v>
      </c>
      <c r="L307">
        <v>60</v>
      </c>
      <c r="M307">
        <v>30</v>
      </c>
      <c r="N307">
        <v>46103</v>
      </c>
      <c r="O307">
        <v>337</v>
      </c>
      <c r="P307">
        <v>15000</v>
      </c>
      <c r="Q307">
        <v>9600</v>
      </c>
      <c r="R307">
        <v>144000</v>
      </c>
      <c r="S307" t="s">
        <v>1210</v>
      </c>
      <c r="U307" s="1">
        <f>+_xlfn.XLOOKUP(C307,[1]!ESTADO_CUENTA[ID_CLIENTE],[1]!ESTADO_CUENTA[TOTAL SALDOS],0,0,-1)</f>
        <v>0</v>
      </c>
      <c r="V307" s="1">
        <f>_xlfn.XLOOKUP(C307,[1]!ESTADO_CUENTA[ID_CLIENTE],[1]!ESTADO_CUENTA[TOTAL DEUDAS],0,0,-1)</f>
        <v>144000</v>
      </c>
    </row>
    <row r="308" spans="1:22" x14ac:dyDescent="0.25">
      <c r="A308" s="4">
        <v>46035</v>
      </c>
      <c r="B308" t="s">
        <v>20</v>
      </c>
      <c r="C308">
        <v>1000128</v>
      </c>
      <c r="D308" t="s">
        <v>1211</v>
      </c>
      <c r="E308" t="s">
        <v>1211</v>
      </c>
      <c r="G308" t="s">
        <v>1212</v>
      </c>
      <c r="H308">
        <v>3195945515</v>
      </c>
      <c r="I308">
        <v>170</v>
      </c>
      <c r="J308">
        <v>340</v>
      </c>
      <c r="K308">
        <v>2380</v>
      </c>
      <c r="L308">
        <v>14</v>
      </c>
      <c r="M308">
        <v>7</v>
      </c>
      <c r="N308">
        <v>46042</v>
      </c>
      <c r="O308">
        <v>1000128</v>
      </c>
      <c r="P308">
        <v>4201.680672268908</v>
      </c>
      <c r="Q308">
        <v>2380</v>
      </c>
      <c r="R308">
        <v>10000</v>
      </c>
      <c r="S308" t="s">
        <v>1213</v>
      </c>
      <c r="U308" s="1">
        <f>+_xlfn.XLOOKUP(C308,[1]!ESTADO_CUENTA[ID_CLIENTE],[1]!ESTADO_CUENTA[TOTAL SALDOS],0,0,-1)</f>
        <v>0</v>
      </c>
      <c r="V308" s="1">
        <f>_xlfn.XLOOKUP(C308,[1]!ESTADO_CUENTA[ID_CLIENTE],[1]!ESTADO_CUENTA[TOTAL DEUDAS],0,0,-1)</f>
        <v>0</v>
      </c>
    </row>
    <row r="309" spans="1:22" x14ac:dyDescent="0.25">
      <c r="A309" s="4">
        <v>46050</v>
      </c>
      <c r="B309" t="s">
        <v>20</v>
      </c>
      <c r="C309">
        <v>1000319</v>
      </c>
      <c r="D309" t="s">
        <v>1214</v>
      </c>
      <c r="E309" t="s">
        <v>1215</v>
      </c>
      <c r="G309" t="s">
        <v>1216</v>
      </c>
      <c r="H309">
        <v>3112580224</v>
      </c>
      <c r="I309">
        <v>203</v>
      </c>
      <c r="J309">
        <v>610</v>
      </c>
      <c r="K309">
        <v>9150</v>
      </c>
      <c r="L309">
        <v>45.073891625615765</v>
      </c>
      <c r="M309">
        <v>15</v>
      </c>
      <c r="N309">
        <v>46065</v>
      </c>
      <c r="O309">
        <v>1000319</v>
      </c>
      <c r="P309">
        <v>28639.344262295079</v>
      </c>
      <c r="Q309">
        <v>9150</v>
      </c>
      <c r="R309">
        <v>262050</v>
      </c>
      <c r="S309" t="s">
        <v>1217</v>
      </c>
      <c r="T309" t="s">
        <v>1218</v>
      </c>
      <c r="U309" s="1">
        <f>+_xlfn.XLOOKUP(C309,[1]!ESTADO_CUENTA[ID_CLIENTE],[1]!ESTADO_CUENTA[TOTAL SALDOS],0,0,-1)</f>
        <v>0</v>
      </c>
      <c r="V309" s="1">
        <f>_xlfn.XLOOKUP(C309,[1]!ESTADO_CUENTA[ID_CLIENTE],[1]!ESTADO_CUENTA[TOTAL DEUDAS],0,0,-1)</f>
        <v>0</v>
      </c>
    </row>
    <row r="310" spans="1:22" x14ac:dyDescent="0.25">
      <c r="A310" s="4">
        <v>46052</v>
      </c>
      <c r="B310" t="s">
        <v>20</v>
      </c>
      <c r="C310">
        <v>1000323</v>
      </c>
      <c r="D310" t="s">
        <v>1219</v>
      </c>
      <c r="E310" t="s">
        <v>1220</v>
      </c>
      <c r="G310" t="s">
        <v>1221</v>
      </c>
      <c r="H310">
        <v>3102938752</v>
      </c>
      <c r="I310">
        <v>56</v>
      </c>
      <c r="J310">
        <v>112</v>
      </c>
      <c r="K310">
        <v>1680</v>
      </c>
      <c r="L310">
        <v>30</v>
      </c>
      <c r="M310">
        <v>15</v>
      </c>
      <c r="N310">
        <v>46067</v>
      </c>
      <c r="O310">
        <v>1000323</v>
      </c>
      <c r="P310">
        <v>47916.666666666664</v>
      </c>
      <c r="Q310">
        <v>1680</v>
      </c>
      <c r="R310">
        <v>80500</v>
      </c>
      <c r="S310" t="s">
        <v>1222</v>
      </c>
      <c r="U310" s="1">
        <f>+_xlfn.XLOOKUP(C310,[1]!ESTADO_CUENTA[ID_CLIENTE],[1]!ESTADO_CUENTA[TOTAL SALDOS],0,0,-1)</f>
        <v>0</v>
      </c>
      <c r="V310" s="1">
        <f>_xlfn.XLOOKUP(C310,[1]!ESTADO_CUENTA[ID_CLIENTE],[1]!ESTADO_CUENTA[TOTAL DEUDAS],0,0,-1)</f>
        <v>0</v>
      </c>
    </row>
    <row r="311" spans="1:22" x14ac:dyDescent="0.25">
      <c r="A311" s="4">
        <v>46055</v>
      </c>
      <c r="B311" t="s">
        <v>32</v>
      </c>
      <c r="C311">
        <v>1000324</v>
      </c>
      <c r="D311" t="s">
        <v>1223</v>
      </c>
      <c r="E311" t="s">
        <v>1223</v>
      </c>
      <c r="G311" t="s">
        <v>1224</v>
      </c>
      <c r="H311">
        <v>3112384646</v>
      </c>
      <c r="I311">
        <v>245</v>
      </c>
      <c r="J311">
        <v>490</v>
      </c>
      <c r="K311">
        <v>3430</v>
      </c>
      <c r="L311">
        <v>14</v>
      </c>
      <c r="M311">
        <v>7</v>
      </c>
      <c r="N311">
        <v>46062</v>
      </c>
      <c r="O311">
        <v>1000324</v>
      </c>
      <c r="P311">
        <v>81516.034985422739</v>
      </c>
      <c r="Q311">
        <v>3430</v>
      </c>
      <c r="R311">
        <v>279600</v>
      </c>
      <c r="S311" t="s">
        <v>1225</v>
      </c>
      <c r="U311" s="1">
        <f>+_xlfn.XLOOKUP(C311,[1]!ESTADO_CUENTA[ID_CLIENTE],[1]!ESTADO_CUENTA[TOTAL SALDOS],0,0,-1)</f>
        <v>0</v>
      </c>
      <c r="V311" s="1">
        <f>_xlfn.XLOOKUP(C311,[1]!ESTADO_CUENTA[ID_CLIENTE],[1]!ESTADO_CUENTA[TOTAL DEUDAS],0,0,-1)</f>
        <v>0</v>
      </c>
    </row>
    <row r="312" spans="1:22" x14ac:dyDescent="0.25">
      <c r="A312" s="4">
        <v>46055</v>
      </c>
      <c r="B312" t="s">
        <v>32</v>
      </c>
      <c r="C312">
        <v>1000326</v>
      </c>
      <c r="D312" t="s">
        <v>1226</v>
      </c>
      <c r="E312" t="s">
        <v>1227</v>
      </c>
      <c r="G312" t="s">
        <v>1228</v>
      </c>
      <c r="H312">
        <v>3013160163</v>
      </c>
      <c r="I312">
        <v>25</v>
      </c>
      <c r="J312">
        <v>50</v>
      </c>
      <c r="K312">
        <v>350</v>
      </c>
      <c r="L312">
        <v>14</v>
      </c>
      <c r="M312">
        <v>7</v>
      </c>
      <c r="N312">
        <v>46062</v>
      </c>
      <c r="O312">
        <v>1000326</v>
      </c>
      <c r="P312">
        <v>200571.42857142855</v>
      </c>
      <c r="Q312">
        <v>350</v>
      </c>
      <c r="R312">
        <v>70200</v>
      </c>
      <c r="S312" t="s">
        <v>1229</v>
      </c>
      <c r="U312" s="1">
        <f>+_xlfn.XLOOKUP(C312,[1]!ESTADO_CUENTA[ID_CLIENTE],[1]!ESTADO_CUENTA[TOTAL SALDOS],0,0,-1)</f>
        <v>0</v>
      </c>
      <c r="V312" s="1">
        <f>_xlfn.XLOOKUP(C312,[1]!ESTADO_CUENTA[ID_CLIENTE],[1]!ESTADO_CUENTA[TOTAL DEUDAS],0,0,-1)</f>
        <v>0</v>
      </c>
    </row>
    <row r="313" spans="1:22" x14ac:dyDescent="0.25">
      <c r="A313" s="4">
        <v>46057</v>
      </c>
      <c r="B313" t="s">
        <v>32</v>
      </c>
      <c r="C313">
        <v>1000328</v>
      </c>
      <c r="D313" t="s">
        <v>1230</v>
      </c>
      <c r="E313" t="s">
        <v>1230</v>
      </c>
      <c r="G313" t="s">
        <v>1231</v>
      </c>
      <c r="H313">
        <v>3164366889</v>
      </c>
      <c r="I313">
        <v>240</v>
      </c>
      <c r="J313">
        <v>480</v>
      </c>
      <c r="K313">
        <v>3360</v>
      </c>
      <c r="L313">
        <v>14</v>
      </c>
      <c r="M313">
        <v>7</v>
      </c>
      <c r="N313">
        <v>46064</v>
      </c>
      <c r="O313">
        <v>1000328</v>
      </c>
      <c r="P313">
        <v>81607.142857142855</v>
      </c>
      <c r="Q313">
        <v>3360</v>
      </c>
      <c r="R313">
        <v>274200</v>
      </c>
      <c r="S313" t="s">
        <v>1232</v>
      </c>
      <c r="U313" s="1">
        <f>+_xlfn.XLOOKUP(C313,[1]!ESTADO_CUENTA[ID_CLIENTE],[1]!ESTADO_CUENTA[TOTAL SALDOS],0,0,-1)</f>
        <v>0</v>
      </c>
      <c r="V313" s="1">
        <f>_xlfn.XLOOKUP(C313,[1]!ESTADO_CUENTA[ID_CLIENTE],[1]!ESTADO_CUENTA[TOTAL DEUDAS],0,0,-1)</f>
        <v>0</v>
      </c>
    </row>
    <row r="314" spans="1:22" x14ac:dyDescent="0.25">
      <c r="A314" s="4">
        <v>46059</v>
      </c>
      <c r="B314" t="s">
        <v>32</v>
      </c>
      <c r="C314">
        <v>1000332</v>
      </c>
      <c r="D314" t="s">
        <v>1233</v>
      </c>
      <c r="E314" t="s">
        <v>1233</v>
      </c>
      <c r="G314" t="s">
        <v>1234</v>
      </c>
      <c r="H314">
        <v>3142449979</v>
      </c>
      <c r="I314">
        <v>140</v>
      </c>
      <c r="J314">
        <v>280</v>
      </c>
      <c r="K314">
        <v>1960</v>
      </c>
      <c r="L314">
        <v>14</v>
      </c>
      <c r="M314">
        <v>7</v>
      </c>
      <c r="N314">
        <v>46066</v>
      </c>
      <c r="O314">
        <v>1000332</v>
      </c>
      <c r="P314">
        <v>7653.0612244897948</v>
      </c>
      <c r="Q314">
        <v>1960</v>
      </c>
      <c r="R314">
        <v>15000</v>
      </c>
      <c r="S314" t="s">
        <v>1235</v>
      </c>
      <c r="U314" s="1">
        <f>+_xlfn.XLOOKUP(C314,[1]!ESTADO_CUENTA[ID_CLIENTE],[1]!ESTADO_CUENTA[TOTAL SALDOS],0,0,-1)</f>
        <v>0</v>
      </c>
      <c r="V314" s="1">
        <f>_xlfn.XLOOKUP(C314,[1]!ESTADO_CUENTA[ID_CLIENTE],[1]!ESTADO_CUENTA[TOTAL DEUDAS],0,0,-1)</f>
        <v>0</v>
      </c>
    </row>
    <row r="315" spans="1:22" x14ac:dyDescent="0.25">
      <c r="A315" s="4">
        <v>46062</v>
      </c>
      <c r="B315" t="s">
        <v>32</v>
      </c>
      <c r="C315">
        <v>1000333</v>
      </c>
      <c r="D315" t="s">
        <v>1236</v>
      </c>
      <c r="E315" t="s">
        <v>1236</v>
      </c>
      <c r="G315" t="s">
        <v>1237</v>
      </c>
      <c r="H315">
        <v>3117070509</v>
      </c>
      <c r="I315">
        <v>32</v>
      </c>
      <c r="J315">
        <v>63</v>
      </c>
      <c r="K315">
        <v>441</v>
      </c>
      <c r="L315">
        <v>13.78125</v>
      </c>
      <c r="M315">
        <v>7</v>
      </c>
      <c r="N315">
        <v>46069</v>
      </c>
      <c r="O315">
        <v>1000333</v>
      </c>
      <c r="P315">
        <v>142857.14285714287</v>
      </c>
      <c r="Q315">
        <v>441</v>
      </c>
      <c r="R315">
        <v>63000</v>
      </c>
      <c r="S315" t="s">
        <v>1238</v>
      </c>
      <c r="U315" s="1">
        <f>+_xlfn.XLOOKUP(C315,[1]!ESTADO_CUENTA[ID_CLIENTE],[1]!ESTADO_CUENTA[TOTAL SALDOS],0,0,-1)</f>
        <v>0</v>
      </c>
      <c r="V315" s="1">
        <f>_xlfn.XLOOKUP(C315,[1]!ESTADO_CUENTA[ID_CLIENTE],[1]!ESTADO_CUENTA[TOTAL DEUDAS],0,0,-1)</f>
        <v>0</v>
      </c>
    </row>
    <row r="316" spans="1:22" x14ac:dyDescent="0.25">
      <c r="A316" s="4">
        <v>46062</v>
      </c>
      <c r="B316" t="s">
        <v>32</v>
      </c>
      <c r="C316">
        <v>1000334</v>
      </c>
      <c r="D316" t="s">
        <v>1239</v>
      </c>
      <c r="E316" t="s">
        <v>1239</v>
      </c>
      <c r="G316" t="s">
        <v>1240</v>
      </c>
      <c r="H316">
        <v>3009485868</v>
      </c>
      <c r="I316">
        <v>63</v>
      </c>
      <c r="J316">
        <v>190</v>
      </c>
      <c r="K316">
        <v>1330</v>
      </c>
      <c r="L316">
        <v>21.111111111111111</v>
      </c>
      <c r="M316">
        <v>7</v>
      </c>
      <c r="N316">
        <v>46069</v>
      </c>
      <c r="O316">
        <v>1000334</v>
      </c>
      <c r="P316">
        <v>92180.451127819557</v>
      </c>
      <c r="Q316">
        <v>1330</v>
      </c>
      <c r="R316">
        <v>122600</v>
      </c>
      <c r="S316" t="s">
        <v>1241</v>
      </c>
      <c r="U316" s="1">
        <f>+_xlfn.XLOOKUP(C316,[1]!ESTADO_CUENTA[ID_CLIENTE],[1]!ESTADO_CUENTA[TOTAL SALDOS],0,0,-1)</f>
        <v>0</v>
      </c>
      <c r="V316" s="1">
        <f>_xlfn.XLOOKUP(C316,[1]!ESTADO_CUENTA[ID_CLIENTE],[1]!ESTADO_CUENTA[TOTAL DEUDAS],0,0,-1)</f>
        <v>0</v>
      </c>
    </row>
    <row r="317" spans="1:22" x14ac:dyDescent="0.25">
      <c r="A317" s="4">
        <v>46062</v>
      </c>
      <c r="B317" t="s">
        <v>32</v>
      </c>
      <c r="C317">
        <v>1000335</v>
      </c>
      <c r="D317" t="s">
        <v>1242</v>
      </c>
      <c r="E317" t="s">
        <v>1242</v>
      </c>
      <c r="G317" t="s">
        <v>1243</v>
      </c>
      <c r="H317">
        <v>3162225095</v>
      </c>
      <c r="I317">
        <v>90</v>
      </c>
      <c r="J317">
        <v>180</v>
      </c>
      <c r="K317">
        <v>1260</v>
      </c>
      <c r="L317">
        <v>14</v>
      </c>
      <c r="M317">
        <v>7</v>
      </c>
      <c r="N317">
        <v>46069</v>
      </c>
      <c r="O317">
        <v>1000335</v>
      </c>
      <c r="P317">
        <v>93015.873015873018</v>
      </c>
      <c r="Q317">
        <v>1260</v>
      </c>
      <c r="R317">
        <v>117200</v>
      </c>
      <c r="S317" t="s">
        <v>1244</v>
      </c>
      <c r="U317" s="1">
        <f>+_xlfn.XLOOKUP(C317,[1]!ESTADO_CUENTA[ID_CLIENTE],[1]!ESTADO_CUENTA[TOTAL SALDOS],0,0,-1)</f>
        <v>0</v>
      </c>
      <c r="V317" s="1">
        <f>_xlfn.XLOOKUP(C317,[1]!ESTADO_CUENTA[ID_CLIENTE],[1]!ESTADO_CUENTA[TOTAL DEUDAS],0,0,-1)</f>
        <v>0</v>
      </c>
    </row>
    <row r="318" spans="1:22" x14ac:dyDescent="0.25">
      <c r="A318" s="4">
        <v>46064</v>
      </c>
      <c r="B318" t="s">
        <v>32</v>
      </c>
      <c r="C318">
        <v>1000338</v>
      </c>
      <c r="D318" t="s">
        <v>1245</v>
      </c>
      <c r="E318" t="s">
        <v>1245</v>
      </c>
      <c r="G318" t="s">
        <v>1246</v>
      </c>
      <c r="H318">
        <v>3182545192</v>
      </c>
      <c r="I318">
        <v>240</v>
      </c>
      <c r="J318">
        <v>480</v>
      </c>
      <c r="K318">
        <v>3360</v>
      </c>
      <c r="L318">
        <v>14</v>
      </c>
      <c r="M318">
        <v>7</v>
      </c>
      <c r="N318">
        <v>46071</v>
      </c>
      <c r="O318">
        <v>1000338</v>
      </c>
      <c r="P318">
        <v>81607.142857142855</v>
      </c>
      <c r="Q318">
        <v>3360</v>
      </c>
      <c r="R318">
        <v>274200</v>
      </c>
      <c r="S318" t="s">
        <v>1247</v>
      </c>
      <c r="U318" s="1">
        <f>+_xlfn.XLOOKUP(C318,[1]!ESTADO_CUENTA[ID_CLIENTE],[1]!ESTADO_CUENTA[TOTAL SALDOS],0,0,-1)</f>
        <v>0</v>
      </c>
      <c r="V318" s="1">
        <f>_xlfn.XLOOKUP(C318,[1]!ESTADO_CUENTA[ID_CLIENTE],[1]!ESTADO_CUENTA[TOTAL DEUDAS],0,0,-1)</f>
        <v>0</v>
      </c>
    </row>
    <row r="319" spans="1:22" x14ac:dyDescent="0.25">
      <c r="A319" s="4">
        <v>46063</v>
      </c>
      <c r="B319" t="s">
        <v>32</v>
      </c>
      <c r="C319">
        <v>1000339</v>
      </c>
      <c r="D319" t="s">
        <v>1248</v>
      </c>
      <c r="E319" t="s">
        <v>1248</v>
      </c>
      <c r="G319" t="s">
        <v>1249</v>
      </c>
      <c r="H319">
        <v>3114786136</v>
      </c>
      <c r="I319">
        <v>186</v>
      </c>
      <c r="J319">
        <v>560</v>
      </c>
      <c r="K319">
        <v>3920</v>
      </c>
      <c r="L319">
        <v>21.0752688172043</v>
      </c>
      <c r="M319">
        <v>7</v>
      </c>
      <c r="N319">
        <v>46070</v>
      </c>
      <c r="O319">
        <v>1000339</v>
      </c>
      <c r="P319">
        <v>61683.673469387759</v>
      </c>
      <c r="Q319">
        <v>3920</v>
      </c>
      <c r="R319">
        <v>241800</v>
      </c>
      <c r="S319" t="s">
        <v>1250</v>
      </c>
      <c r="U319" s="1">
        <f>+_xlfn.XLOOKUP(C319,[1]!ESTADO_CUENTA[ID_CLIENTE],[1]!ESTADO_CUENTA[TOTAL SALDOS],0,0,-1)</f>
        <v>0</v>
      </c>
      <c r="V319" s="1">
        <f>_xlfn.XLOOKUP(C319,[1]!ESTADO_CUENTA[ID_CLIENTE],[1]!ESTADO_CUENTA[TOTAL DEUDAS],0,0,-1)</f>
        <v>0</v>
      </c>
    </row>
    <row r="320" spans="1:22" x14ac:dyDescent="0.25">
      <c r="A320" s="4">
        <v>46063</v>
      </c>
      <c r="B320" t="s">
        <v>32</v>
      </c>
      <c r="C320">
        <v>1000340</v>
      </c>
      <c r="D320" t="s">
        <v>1251</v>
      </c>
      <c r="E320" t="s">
        <v>1251</v>
      </c>
      <c r="G320" t="s">
        <v>1252</v>
      </c>
      <c r="H320">
        <v>3195776916</v>
      </c>
      <c r="I320">
        <v>93</v>
      </c>
      <c r="J320">
        <v>280</v>
      </c>
      <c r="K320">
        <v>1960</v>
      </c>
      <c r="L320">
        <v>21.0752688172043</v>
      </c>
      <c r="M320">
        <v>7</v>
      </c>
      <c r="N320">
        <v>46070</v>
      </c>
      <c r="O320">
        <v>1000340</v>
      </c>
      <c r="P320">
        <v>84795.918367346938</v>
      </c>
      <c r="Q320">
        <v>1960</v>
      </c>
      <c r="R320">
        <v>166200</v>
      </c>
      <c r="S320" t="s">
        <v>1253</v>
      </c>
      <c r="U320" s="1">
        <f>+_xlfn.XLOOKUP(C320,[1]!ESTADO_CUENTA[ID_CLIENTE],[1]!ESTADO_CUENTA[TOTAL SALDOS],0,0,-1)</f>
        <v>0</v>
      </c>
      <c r="V320" s="1">
        <f>_xlfn.XLOOKUP(C320,[1]!ESTADO_CUENTA[ID_CLIENTE],[1]!ESTADO_CUENTA[TOTAL DEUDAS],0,0,-1)</f>
        <v>0</v>
      </c>
    </row>
    <row r="321" spans="1:22" x14ac:dyDescent="0.25">
      <c r="A321" s="4">
        <v>46063</v>
      </c>
      <c r="B321" t="s">
        <v>32</v>
      </c>
      <c r="C321">
        <v>1000341</v>
      </c>
      <c r="D321" t="s">
        <v>1254</v>
      </c>
      <c r="E321" t="s">
        <v>1254</v>
      </c>
      <c r="G321" t="s">
        <v>1255</v>
      </c>
      <c r="H321">
        <v>3203684898</v>
      </c>
      <c r="I321">
        <v>175</v>
      </c>
      <c r="J321">
        <v>350</v>
      </c>
      <c r="K321">
        <v>2450</v>
      </c>
      <c r="L321">
        <v>14</v>
      </c>
      <c r="M321">
        <v>7</v>
      </c>
      <c r="N321">
        <v>46070</v>
      </c>
      <c r="O321">
        <v>1000341</v>
      </c>
      <c r="P321">
        <v>85306.1224489796</v>
      </c>
      <c r="Q321">
        <v>2450</v>
      </c>
      <c r="R321">
        <v>209000</v>
      </c>
      <c r="S321" t="s">
        <v>1256</v>
      </c>
      <c r="U321" s="1">
        <f>+_xlfn.XLOOKUP(C321,[1]!ESTADO_CUENTA[ID_CLIENTE],[1]!ESTADO_CUENTA[TOTAL SALDOS],0,0,-1)</f>
        <v>0</v>
      </c>
      <c r="V321" s="1">
        <f>_xlfn.XLOOKUP(C321,[1]!ESTADO_CUENTA[ID_CLIENTE],[1]!ESTADO_CUENTA[TOTAL DEUDAS],0,0,-1)</f>
        <v>0</v>
      </c>
    </row>
    <row r="322" spans="1:22" x14ac:dyDescent="0.25">
      <c r="A322" s="4">
        <v>46076</v>
      </c>
      <c r="B322" t="s">
        <v>32</v>
      </c>
      <c r="C322">
        <v>342</v>
      </c>
      <c r="D322" t="s">
        <v>1257</v>
      </c>
      <c r="E322" t="s">
        <v>1258</v>
      </c>
      <c r="G322" t="s">
        <v>1259</v>
      </c>
      <c r="H322">
        <v>3006547409</v>
      </c>
      <c r="I322">
        <v>225</v>
      </c>
      <c r="J322">
        <v>450</v>
      </c>
      <c r="K322">
        <v>6750</v>
      </c>
      <c r="L322">
        <v>30</v>
      </c>
      <c r="M322">
        <v>15</v>
      </c>
      <c r="N322">
        <v>46091</v>
      </c>
      <c r="O322">
        <v>342</v>
      </c>
      <c r="P322">
        <v>38222.222222222219</v>
      </c>
      <c r="Q322">
        <v>6750</v>
      </c>
      <c r="R322">
        <v>258000</v>
      </c>
      <c r="S322" t="s">
        <v>1260</v>
      </c>
      <c r="U322" s="1">
        <f>+_xlfn.XLOOKUP(C322,[1]!ESTADO_CUENTA[ID_CLIENTE],[1]!ESTADO_CUENTA[TOTAL SALDOS],0,0,-1)</f>
        <v>0</v>
      </c>
      <c r="V322" s="1">
        <f>_xlfn.XLOOKUP(C322,[1]!ESTADO_CUENTA[ID_CLIENTE],[1]!ESTADO_CUENTA[TOTAL DEUDAS],0,0,-1)</f>
        <v>0</v>
      </c>
    </row>
    <row r="323" spans="1:22" x14ac:dyDescent="0.25">
      <c r="A323" s="4">
        <v>46076</v>
      </c>
      <c r="B323" t="s">
        <v>32</v>
      </c>
      <c r="C323">
        <v>343</v>
      </c>
      <c r="D323" t="s">
        <v>1261</v>
      </c>
      <c r="E323" t="s">
        <v>1261</v>
      </c>
      <c r="G323" t="s">
        <v>1262</v>
      </c>
      <c r="H323">
        <v>3196688204</v>
      </c>
      <c r="I323">
        <v>30</v>
      </c>
      <c r="J323">
        <v>60</v>
      </c>
      <c r="K323">
        <v>900</v>
      </c>
      <c r="L323">
        <v>30</v>
      </c>
      <c r="M323">
        <v>15</v>
      </c>
      <c r="N323">
        <v>46091</v>
      </c>
      <c r="O323">
        <v>343</v>
      </c>
      <c r="P323">
        <v>65833.333333333328</v>
      </c>
      <c r="Q323">
        <v>900</v>
      </c>
      <c r="R323">
        <v>59250</v>
      </c>
      <c r="S323" t="s">
        <v>1263</v>
      </c>
      <c r="U323" s="1">
        <f>+_xlfn.XLOOKUP(C323,[1]!ESTADO_CUENTA[ID_CLIENTE],[1]!ESTADO_CUENTA[TOTAL SALDOS],0,0,-1)</f>
        <v>0</v>
      </c>
      <c r="V323" s="1">
        <f>_xlfn.XLOOKUP(C323,[1]!ESTADO_CUENTA[ID_CLIENTE],[1]!ESTADO_CUENTA[TOTAL DEUDAS],0,0,-1)</f>
        <v>0</v>
      </c>
    </row>
    <row r="324" spans="1:22" x14ac:dyDescent="0.25">
      <c r="B324" t="s">
        <v>28</v>
      </c>
      <c r="C324">
        <v>272</v>
      </c>
      <c r="D324" t="s">
        <v>1395</v>
      </c>
      <c r="E324" t="s">
        <v>1031</v>
      </c>
      <c r="G324" t="s">
        <v>1032</v>
      </c>
      <c r="H324">
        <v>3103055919</v>
      </c>
      <c r="I324">
        <v>150</v>
      </c>
      <c r="J324">
        <v>300</v>
      </c>
      <c r="K324">
        <v>4500</v>
      </c>
      <c r="L324">
        <v>30</v>
      </c>
      <c r="M324">
        <v>15</v>
      </c>
      <c r="O324">
        <v>272</v>
      </c>
      <c r="P324">
        <v>26000</v>
      </c>
      <c r="Q324">
        <v>4500</v>
      </c>
      <c r="R324">
        <v>117000</v>
      </c>
      <c r="S324" t="s">
        <v>1033</v>
      </c>
      <c r="T324" t="s">
        <v>1034</v>
      </c>
      <c r="U324" s="1">
        <f>+_xlfn.XLOOKUP(C324,[1]!ESTADO_CUENTA[ID_CLIENTE],[1]!ESTADO_CUENTA[TOTAL SALDOS],0,0,-1)</f>
        <v>0</v>
      </c>
      <c r="V324" s="1">
        <f>_xlfn.XLOOKUP(C324,[1]!ESTADO_CUENTA[ID_CLIENTE],[1]!ESTADO_CUENTA[TOTAL DEUDAS],0,0,-1)</f>
        <v>0</v>
      </c>
    </row>
    <row r="325" spans="1:22" x14ac:dyDescent="0.25">
      <c r="A325" s="4">
        <v>46065</v>
      </c>
      <c r="B325" t="s">
        <v>32</v>
      </c>
      <c r="C325">
        <v>345</v>
      </c>
      <c r="D325" t="s">
        <v>1267</v>
      </c>
      <c r="E325" t="s">
        <v>1267</v>
      </c>
      <c r="G325" t="s">
        <v>1268</v>
      </c>
      <c r="H325">
        <v>3106661732</v>
      </c>
      <c r="I325">
        <v>230</v>
      </c>
      <c r="J325">
        <v>460</v>
      </c>
      <c r="K325">
        <v>2300</v>
      </c>
      <c r="L325">
        <v>10</v>
      </c>
      <c r="M325">
        <v>5</v>
      </c>
      <c r="N325">
        <v>46070</v>
      </c>
      <c r="O325">
        <v>345</v>
      </c>
      <c r="P325">
        <v>42521.739130434784</v>
      </c>
      <c r="Q325">
        <v>2300</v>
      </c>
      <c r="R325">
        <v>97800</v>
      </c>
      <c r="S325" t="s">
        <v>1269</v>
      </c>
      <c r="U325" s="1">
        <f>+_xlfn.XLOOKUP(C325,[1]!ESTADO_CUENTA[ID_CLIENTE],[1]!ESTADO_CUENTA[TOTAL SALDOS],0,0,-1)</f>
        <v>0</v>
      </c>
      <c r="V325" s="1">
        <f>_xlfn.XLOOKUP(C325,[1]!ESTADO_CUENTA[ID_CLIENTE],[1]!ESTADO_CUENTA[TOTAL DEUDAS],0,0,-1)</f>
        <v>0</v>
      </c>
    </row>
    <row r="326" spans="1:22" x14ac:dyDescent="0.25">
      <c r="A326" s="4">
        <v>46065</v>
      </c>
      <c r="B326" t="s">
        <v>32</v>
      </c>
      <c r="C326">
        <v>1000346</v>
      </c>
      <c r="D326" t="s">
        <v>1270</v>
      </c>
      <c r="E326" t="s">
        <v>1270</v>
      </c>
      <c r="G326" t="s">
        <v>1271</v>
      </c>
      <c r="H326">
        <v>3236329056</v>
      </c>
      <c r="I326">
        <v>175</v>
      </c>
      <c r="J326">
        <v>350</v>
      </c>
      <c r="K326">
        <v>5250</v>
      </c>
      <c r="L326">
        <v>30</v>
      </c>
      <c r="M326">
        <v>15</v>
      </c>
      <c r="N326">
        <v>46080</v>
      </c>
      <c r="O326">
        <v>1000346</v>
      </c>
      <c r="P326">
        <v>35000</v>
      </c>
      <c r="Q326">
        <v>5250</v>
      </c>
      <c r="R326">
        <v>183750</v>
      </c>
      <c r="S326" t="s">
        <v>1272</v>
      </c>
      <c r="U326" s="1">
        <f>+_xlfn.XLOOKUP(C326,[1]!ESTADO_CUENTA[ID_CLIENTE],[1]!ESTADO_CUENTA[TOTAL SALDOS],0,0,-1)</f>
        <v>0</v>
      </c>
      <c r="V326" s="1">
        <f>_xlfn.XLOOKUP(C326,[1]!ESTADO_CUENTA[ID_CLIENTE],[1]!ESTADO_CUENTA[TOTAL DEUDAS],0,0,-1)</f>
        <v>0</v>
      </c>
    </row>
    <row r="327" spans="1:22" x14ac:dyDescent="0.25">
      <c r="A327" s="4">
        <v>46066</v>
      </c>
      <c r="B327" t="s">
        <v>32</v>
      </c>
      <c r="C327">
        <v>1000347</v>
      </c>
      <c r="D327" t="s">
        <v>1273</v>
      </c>
      <c r="E327" t="s">
        <v>1274</v>
      </c>
      <c r="G327" t="s">
        <v>1275</v>
      </c>
      <c r="H327">
        <v>3188889001</v>
      </c>
      <c r="I327">
        <v>206</v>
      </c>
      <c r="J327">
        <v>620</v>
      </c>
      <c r="K327">
        <v>9300</v>
      </c>
      <c r="L327">
        <v>45.145631067961162</v>
      </c>
      <c r="M327">
        <v>15</v>
      </c>
      <c r="N327">
        <v>46081</v>
      </c>
      <c r="O327">
        <v>1000347</v>
      </c>
      <c r="P327">
        <v>29244.87594390507</v>
      </c>
      <c r="Q327">
        <v>9270</v>
      </c>
      <c r="R327">
        <v>271100</v>
      </c>
      <c r="S327" t="s">
        <v>1276</v>
      </c>
      <c r="U327" s="1">
        <f>+_xlfn.XLOOKUP(C327,[1]!ESTADO_CUENTA[ID_CLIENTE],[1]!ESTADO_CUENTA[TOTAL SALDOS],0,0,-1)</f>
        <v>0</v>
      </c>
      <c r="V327" s="1">
        <f>_xlfn.XLOOKUP(C327,[1]!ESTADO_CUENTA[ID_CLIENTE],[1]!ESTADO_CUENTA[TOTAL DEUDAS],0,0,-1)</f>
        <v>0</v>
      </c>
    </row>
    <row r="328" spans="1:22" x14ac:dyDescent="0.25">
      <c r="A328" s="4">
        <v>0</v>
      </c>
      <c r="B328" t="s">
        <v>20</v>
      </c>
      <c r="C328">
        <v>1000348</v>
      </c>
      <c r="D328" t="s">
        <v>1277</v>
      </c>
      <c r="E328" t="s">
        <v>1277</v>
      </c>
      <c r="G328" t="s">
        <v>6</v>
      </c>
      <c r="I328">
        <v>40</v>
      </c>
      <c r="J328">
        <v>80</v>
      </c>
      <c r="K328">
        <v>560</v>
      </c>
      <c r="L328">
        <v>14</v>
      </c>
      <c r="M328">
        <v>7</v>
      </c>
      <c r="N328">
        <v>7</v>
      </c>
      <c r="O328">
        <v>1000348</v>
      </c>
      <c r="P328">
        <v>26785.714285714286</v>
      </c>
      <c r="Q328">
        <v>560</v>
      </c>
      <c r="R328">
        <v>15000</v>
      </c>
      <c r="U328" s="1">
        <f>+_xlfn.XLOOKUP(C328,[1]!ESTADO_CUENTA[ID_CLIENTE],[1]!ESTADO_CUENTA[TOTAL SALDOS],0,0,-1)</f>
        <v>0</v>
      </c>
      <c r="V328" s="1">
        <f>_xlfn.XLOOKUP(C328,[1]!ESTADO_CUENTA[ID_CLIENTE],[1]!ESTADO_CUENTA[TOTAL DEUDAS],0,0,-1)</f>
        <v>15000</v>
      </c>
    </row>
    <row r="329" spans="1:22" x14ac:dyDescent="0.25">
      <c r="A329" s="4">
        <v>46073</v>
      </c>
      <c r="B329" t="s">
        <v>32</v>
      </c>
      <c r="C329">
        <v>235</v>
      </c>
      <c r="D329" t="s">
        <v>1278</v>
      </c>
      <c r="E329" t="s">
        <v>1278</v>
      </c>
      <c r="G329" t="s">
        <v>1279</v>
      </c>
      <c r="H329">
        <v>3153499818</v>
      </c>
      <c r="I329">
        <v>60</v>
      </c>
      <c r="J329">
        <v>180</v>
      </c>
      <c r="K329">
        <v>2700</v>
      </c>
      <c r="L329">
        <v>45</v>
      </c>
      <c r="M329">
        <v>15</v>
      </c>
      <c r="N329">
        <v>46088</v>
      </c>
      <c r="O329">
        <v>235</v>
      </c>
      <c r="P329">
        <v>33000</v>
      </c>
      <c r="Q329">
        <v>2700</v>
      </c>
      <c r="R329">
        <v>89100</v>
      </c>
      <c r="S329" t="s">
        <v>1280</v>
      </c>
      <c r="U329" s="1">
        <f>+_xlfn.XLOOKUP(C329,[1]!ESTADO_CUENTA[ID_CLIENTE],[1]!ESTADO_CUENTA[TOTAL SALDOS],0,0,-1)</f>
        <v>0</v>
      </c>
      <c r="V329" s="1">
        <f>_xlfn.XLOOKUP(C329,[1]!ESTADO_CUENTA[ID_CLIENTE],[1]!ESTADO_CUENTA[TOTAL DEUDAS],0,0,-1)</f>
        <v>89100</v>
      </c>
    </row>
    <row r="330" spans="1:22" x14ac:dyDescent="0.25">
      <c r="A330" s="4">
        <v>46069</v>
      </c>
      <c r="B330" t="s">
        <v>32</v>
      </c>
      <c r="C330">
        <v>1000350</v>
      </c>
      <c r="D330" t="s">
        <v>1281</v>
      </c>
      <c r="E330" t="s">
        <v>1281</v>
      </c>
      <c r="G330" t="s">
        <v>1282</v>
      </c>
      <c r="H330">
        <v>3104162147</v>
      </c>
      <c r="I330">
        <v>43</v>
      </c>
      <c r="J330">
        <v>130</v>
      </c>
      <c r="K330">
        <v>1950</v>
      </c>
      <c r="L330">
        <v>45.348837209302317</v>
      </c>
      <c r="M330">
        <v>15</v>
      </c>
      <c r="N330">
        <v>46084</v>
      </c>
      <c r="O330">
        <v>1000350</v>
      </c>
      <c r="P330">
        <v>54160.20671834625</v>
      </c>
      <c r="Q330">
        <v>1935</v>
      </c>
      <c r="R330">
        <v>104800</v>
      </c>
      <c r="S330" t="s">
        <v>1283</v>
      </c>
      <c r="U330" s="1">
        <f>+_xlfn.XLOOKUP(C330,[1]!ESTADO_CUENTA[ID_CLIENTE],[1]!ESTADO_CUENTA[TOTAL SALDOS],0,0,-1)</f>
        <v>0</v>
      </c>
      <c r="V330" s="1">
        <f>_xlfn.XLOOKUP(C330,[1]!ESTADO_CUENTA[ID_CLIENTE],[1]!ESTADO_CUENTA[TOTAL DEUDAS],0,0,-1)</f>
        <v>0</v>
      </c>
    </row>
    <row r="331" spans="1:22" x14ac:dyDescent="0.25">
      <c r="A331" s="4">
        <v>0</v>
      </c>
      <c r="B331" t="s">
        <v>20</v>
      </c>
      <c r="C331">
        <v>1000351</v>
      </c>
      <c r="D331" t="s">
        <v>1284</v>
      </c>
      <c r="E331" t="s">
        <v>1284</v>
      </c>
      <c r="G331" t="s">
        <v>6</v>
      </c>
      <c r="K331">
        <v>0</v>
      </c>
      <c r="O331">
        <v>1000351</v>
      </c>
      <c r="Q331">
        <v>0</v>
      </c>
      <c r="U331" s="1">
        <f>+_xlfn.XLOOKUP(C331,[1]!ESTADO_CUENTA[ID_CLIENTE],[1]!ESTADO_CUENTA[TOTAL SALDOS],0,0,-1)</f>
        <v>0</v>
      </c>
      <c r="V331" s="1">
        <f>_xlfn.XLOOKUP(C331,[1]!ESTADO_CUENTA[ID_CLIENTE],[1]!ESTADO_CUENTA[TOTAL DEUDAS],0,0,-1)</f>
        <v>0</v>
      </c>
    </row>
    <row r="332" spans="1:22" x14ac:dyDescent="0.25">
      <c r="A332" s="4">
        <v>0</v>
      </c>
      <c r="B332" t="s">
        <v>20</v>
      </c>
      <c r="C332">
        <v>316</v>
      </c>
      <c r="D332" t="s">
        <v>1285</v>
      </c>
      <c r="E332" t="s">
        <v>1285</v>
      </c>
      <c r="G332" t="s">
        <v>6</v>
      </c>
      <c r="I332">
        <v>130</v>
      </c>
      <c r="J332">
        <v>260</v>
      </c>
      <c r="K332">
        <v>7800</v>
      </c>
      <c r="L332">
        <v>60</v>
      </c>
      <c r="M332">
        <v>30</v>
      </c>
      <c r="N332">
        <v>30</v>
      </c>
      <c r="O332">
        <v>316</v>
      </c>
      <c r="P332">
        <v>24000</v>
      </c>
      <c r="Q332">
        <v>7800</v>
      </c>
      <c r="R332">
        <v>187200</v>
      </c>
      <c r="S332" t="s">
        <v>1286</v>
      </c>
      <c r="U332" s="1">
        <f>+_xlfn.XLOOKUP(C332,[1]!ESTADO_CUENTA[ID_CLIENTE],[1]!ESTADO_CUENTA[TOTAL SALDOS],0,0,-1)</f>
        <v>0</v>
      </c>
      <c r="V332" s="1">
        <f>_xlfn.XLOOKUP(C332,[1]!ESTADO_CUENTA[ID_CLIENTE],[1]!ESTADO_CUENTA[TOTAL DEUDAS],0,0,-1)</f>
        <v>187200</v>
      </c>
    </row>
    <row r="333" spans="1:22" x14ac:dyDescent="0.25">
      <c r="A333" s="4">
        <v>46071</v>
      </c>
      <c r="B333" t="s">
        <v>32</v>
      </c>
      <c r="C333">
        <v>1000352</v>
      </c>
      <c r="D333" t="s">
        <v>1287</v>
      </c>
      <c r="E333" t="s">
        <v>1287</v>
      </c>
      <c r="G333" t="s">
        <v>1288</v>
      </c>
      <c r="H333">
        <v>3133427846</v>
      </c>
      <c r="I333">
        <v>205</v>
      </c>
      <c r="J333">
        <v>410</v>
      </c>
      <c r="K333">
        <v>2870</v>
      </c>
      <c r="L333">
        <v>14</v>
      </c>
      <c r="M333">
        <v>7</v>
      </c>
      <c r="N333">
        <v>46078</v>
      </c>
      <c r="O333">
        <v>1000352</v>
      </c>
      <c r="P333">
        <v>75000</v>
      </c>
      <c r="Q333">
        <v>2870</v>
      </c>
      <c r="R333">
        <v>215250</v>
      </c>
      <c r="S333" t="s">
        <v>1289</v>
      </c>
      <c r="U333" s="1">
        <f>+_xlfn.XLOOKUP(C333,[1]!ESTADO_CUENTA[ID_CLIENTE],[1]!ESTADO_CUENTA[TOTAL SALDOS],0,0,-1)</f>
        <v>0</v>
      </c>
      <c r="V333" s="1">
        <f>_xlfn.XLOOKUP(C333,[1]!ESTADO_CUENTA[ID_CLIENTE],[1]!ESTADO_CUENTA[TOTAL DEUDAS],0,0,-1)</f>
        <v>0</v>
      </c>
    </row>
    <row r="334" spans="1:22" x14ac:dyDescent="0.25">
      <c r="A334" s="4">
        <v>46071</v>
      </c>
      <c r="B334" t="s">
        <v>32</v>
      </c>
      <c r="C334">
        <v>1000353</v>
      </c>
      <c r="D334" t="s">
        <v>1290</v>
      </c>
      <c r="E334" t="s">
        <v>1290</v>
      </c>
      <c r="G334" t="s">
        <v>1291</v>
      </c>
      <c r="H334">
        <v>3214938536</v>
      </c>
      <c r="I334">
        <v>200</v>
      </c>
      <c r="J334">
        <v>400</v>
      </c>
      <c r="K334">
        <v>6000</v>
      </c>
      <c r="L334">
        <v>30</v>
      </c>
      <c r="M334">
        <v>15</v>
      </c>
      <c r="N334">
        <v>46086</v>
      </c>
      <c r="O334">
        <v>1000353</v>
      </c>
      <c r="P334">
        <v>38500</v>
      </c>
      <c r="Q334">
        <v>6000</v>
      </c>
      <c r="R334">
        <v>231000</v>
      </c>
      <c r="S334" t="s">
        <v>1292</v>
      </c>
      <c r="U334" s="1">
        <f>+_xlfn.XLOOKUP(C334,[1]!ESTADO_CUENTA[ID_CLIENTE],[1]!ESTADO_CUENTA[TOTAL SALDOS],0,0,-1)</f>
        <v>0</v>
      </c>
      <c r="V334" s="1">
        <f>_xlfn.XLOOKUP(C334,[1]!ESTADO_CUENTA[ID_CLIENTE],[1]!ESTADO_CUENTA[TOTAL DEUDAS],0,0,-1)</f>
        <v>0</v>
      </c>
    </row>
    <row r="335" spans="1:22" x14ac:dyDescent="0.25">
      <c r="A335" s="4">
        <v>46073</v>
      </c>
      <c r="B335" t="s">
        <v>32</v>
      </c>
      <c r="C335">
        <v>1000354</v>
      </c>
      <c r="D335" t="s">
        <v>1293</v>
      </c>
      <c r="E335" t="s">
        <v>1293</v>
      </c>
      <c r="G335" t="s">
        <v>1294</v>
      </c>
      <c r="H335">
        <v>3197643090</v>
      </c>
      <c r="I335">
        <v>125</v>
      </c>
      <c r="J335">
        <v>250</v>
      </c>
      <c r="K335">
        <v>3750</v>
      </c>
      <c r="L335">
        <v>30</v>
      </c>
      <c r="M335">
        <v>15</v>
      </c>
      <c r="N335">
        <v>46088</v>
      </c>
      <c r="O335">
        <v>1000354</v>
      </c>
      <c r="P335">
        <v>40000</v>
      </c>
      <c r="Q335">
        <v>3750</v>
      </c>
      <c r="R335">
        <v>150000</v>
      </c>
      <c r="S335" t="s">
        <v>1295</v>
      </c>
      <c r="U335" s="1">
        <f>+_xlfn.XLOOKUP(C335,[1]!ESTADO_CUENTA[ID_CLIENTE],[1]!ESTADO_CUENTA[TOTAL SALDOS],0,0,-1)</f>
        <v>15000</v>
      </c>
      <c r="V335" s="1">
        <f>_xlfn.XLOOKUP(C335,[1]!ESTADO_CUENTA[ID_CLIENTE],[1]!ESTADO_CUENTA[TOTAL DEUDAS],0,0,-1)</f>
        <v>0</v>
      </c>
    </row>
    <row r="336" spans="1:22" x14ac:dyDescent="0.25">
      <c r="B336" t="s">
        <v>28</v>
      </c>
      <c r="C336">
        <v>281</v>
      </c>
      <c r="D336" t="s">
        <v>1396</v>
      </c>
      <c r="E336" t="s">
        <v>1070</v>
      </c>
      <c r="G336" t="s">
        <v>1071</v>
      </c>
      <c r="H336">
        <v>3172207542</v>
      </c>
      <c r="I336">
        <v>165</v>
      </c>
      <c r="J336">
        <v>330</v>
      </c>
      <c r="K336">
        <v>2310</v>
      </c>
      <c r="L336">
        <v>14</v>
      </c>
      <c r="M336">
        <v>7</v>
      </c>
      <c r="O336">
        <v>281</v>
      </c>
      <c r="P336">
        <v>79696.969696969696</v>
      </c>
      <c r="Q336">
        <v>2310</v>
      </c>
      <c r="R336">
        <v>184100</v>
      </c>
      <c r="S336" t="s">
        <v>1072</v>
      </c>
      <c r="T336" t="s">
        <v>1073</v>
      </c>
      <c r="U336" s="1">
        <f>+_xlfn.XLOOKUP(C336,[1]!ESTADO_CUENTA[ID_CLIENTE],[1]!ESTADO_CUENTA[TOTAL SALDOS],0,0,-1)</f>
        <v>0</v>
      </c>
      <c r="V336" s="1">
        <f>_xlfn.XLOOKUP(C336,[1]!ESTADO_CUENTA[ID_CLIENTE],[1]!ESTADO_CUENTA[TOTAL DEUDAS],0,0,-1)</f>
        <v>0</v>
      </c>
    </row>
    <row r="337" spans="1:22" x14ac:dyDescent="0.25">
      <c r="A337" s="4">
        <v>46043</v>
      </c>
      <c r="B337" t="s">
        <v>20</v>
      </c>
      <c r="C337">
        <v>283</v>
      </c>
      <c r="D337" t="s">
        <v>1397</v>
      </c>
      <c r="E337" t="s">
        <v>1077</v>
      </c>
      <c r="G337" t="s">
        <v>1078</v>
      </c>
      <c r="H337">
        <v>3122570708</v>
      </c>
      <c r="I337">
        <v>240</v>
      </c>
      <c r="J337">
        <v>240</v>
      </c>
      <c r="K337">
        <v>7200</v>
      </c>
      <c r="L337">
        <v>30</v>
      </c>
      <c r="M337">
        <v>30</v>
      </c>
      <c r="N337">
        <v>46073</v>
      </c>
      <c r="O337">
        <v>283</v>
      </c>
      <c r="P337">
        <v>32777.777777777781</v>
      </c>
      <c r="Q337">
        <v>7200</v>
      </c>
      <c r="R337">
        <v>236000</v>
      </c>
      <c r="S337" t="s">
        <v>1079</v>
      </c>
      <c r="T337" t="s">
        <v>126</v>
      </c>
      <c r="U337" s="1">
        <f>+_xlfn.XLOOKUP(C337,[1]!ESTADO_CUENTA[ID_CLIENTE],[1]!ESTADO_CUENTA[TOTAL SALDOS],0,0,-1)</f>
        <v>0</v>
      </c>
      <c r="V337" s="1">
        <f>_xlfn.XLOOKUP(C337,[1]!ESTADO_CUENTA[ID_CLIENTE],[1]!ESTADO_CUENTA[TOTAL DEUDAS],0,0,-1)</f>
        <v>0</v>
      </c>
    </row>
    <row r="338" spans="1:22" x14ac:dyDescent="0.25">
      <c r="A338" s="4">
        <v>46059</v>
      </c>
      <c r="B338" t="s">
        <v>32</v>
      </c>
      <c r="C338">
        <v>287</v>
      </c>
      <c r="D338" t="s">
        <v>1398</v>
      </c>
      <c r="E338" t="s">
        <v>1089</v>
      </c>
      <c r="G338" t="s">
        <v>1090</v>
      </c>
      <c r="H338">
        <v>3114997643</v>
      </c>
      <c r="I338">
        <v>150</v>
      </c>
      <c r="J338">
        <v>150</v>
      </c>
      <c r="K338">
        <v>2250</v>
      </c>
      <c r="L338">
        <v>15</v>
      </c>
      <c r="M338">
        <v>15</v>
      </c>
      <c r="N338">
        <v>46074</v>
      </c>
      <c r="O338">
        <v>287</v>
      </c>
      <c r="P338">
        <v>16888.888888888891</v>
      </c>
      <c r="Q338">
        <v>2250</v>
      </c>
      <c r="R338">
        <v>38000</v>
      </c>
      <c r="S338" t="s">
        <v>1091</v>
      </c>
      <c r="T338" t="s">
        <v>1092</v>
      </c>
      <c r="U338" s="1">
        <f>+_xlfn.XLOOKUP(C338,[1]!ESTADO_CUENTA[ID_CLIENTE],[1]!ESTADO_CUENTA[TOTAL SALDOS],0,0,-1)</f>
        <v>0</v>
      </c>
      <c r="V338" s="1">
        <f>_xlfn.XLOOKUP(C338,[1]!ESTADO_CUENTA[ID_CLIENTE],[1]!ESTADO_CUENTA[TOTAL DEUDAS],0,0,-1)</f>
        <v>0</v>
      </c>
    </row>
    <row r="339" spans="1:22" x14ac:dyDescent="0.25">
      <c r="A339" s="4">
        <v>46040</v>
      </c>
      <c r="B339" t="s">
        <v>20</v>
      </c>
      <c r="C339">
        <v>193</v>
      </c>
      <c r="D339" t="s">
        <v>1303</v>
      </c>
      <c r="E339" t="s">
        <v>1303</v>
      </c>
      <c r="G339" t="s">
        <v>1304</v>
      </c>
      <c r="H339" t="s">
        <v>1305</v>
      </c>
      <c r="I339">
        <v>500</v>
      </c>
      <c r="J339">
        <v>500</v>
      </c>
      <c r="K339">
        <v>5000</v>
      </c>
      <c r="L339">
        <v>10</v>
      </c>
      <c r="M339">
        <v>10</v>
      </c>
      <c r="N339">
        <v>46050</v>
      </c>
      <c r="P339">
        <v>21000</v>
      </c>
      <c r="Q339">
        <v>5000</v>
      </c>
      <c r="R339">
        <v>105000</v>
      </c>
      <c r="S339" t="s">
        <v>1306</v>
      </c>
      <c r="T339" t="s">
        <v>1307</v>
      </c>
      <c r="U339" s="1">
        <f>+_xlfn.XLOOKUP(C339,[1]!ESTADO_CUENTA[ID_CLIENTE],[1]!ESTADO_CUENTA[TOTAL SALDOS],0,0,-1)</f>
        <v>0</v>
      </c>
      <c r="V339" s="1">
        <f>_xlfn.XLOOKUP(C339,[1]!ESTADO_CUENTA[ID_CLIENTE],[1]!ESTADO_CUENTA[TOTAL DEUDAS],0,0,-1)</f>
        <v>0</v>
      </c>
    </row>
    <row r="340" spans="1:22" x14ac:dyDescent="0.25">
      <c r="A340" s="4">
        <v>46071</v>
      </c>
      <c r="B340" t="s">
        <v>32</v>
      </c>
      <c r="C340">
        <v>288</v>
      </c>
      <c r="D340" t="s">
        <v>1399</v>
      </c>
      <c r="E340" t="s">
        <v>1093</v>
      </c>
      <c r="G340" t="s">
        <v>1094</v>
      </c>
      <c r="H340" t="s">
        <v>1095</v>
      </c>
      <c r="I340">
        <v>250</v>
      </c>
      <c r="J340">
        <v>250</v>
      </c>
      <c r="K340">
        <v>3750</v>
      </c>
      <c r="L340">
        <v>15</v>
      </c>
      <c r="M340">
        <v>15</v>
      </c>
      <c r="N340">
        <v>46086</v>
      </c>
      <c r="O340">
        <v>288</v>
      </c>
      <c r="P340">
        <v>24000</v>
      </c>
      <c r="Q340">
        <v>3750</v>
      </c>
      <c r="R340">
        <v>90000</v>
      </c>
      <c r="S340" t="s">
        <v>1096</v>
      </c>
      <c r="T340" t="s">
        <v>1097</v>
      </c>
      <c r="U340" s="1">
        <f>+_xlfn.XLOOKUP(C340,[1]!ESTADO_CUENTA[ID_CLIENTE],[1]!ESTADO_CUENTA[TOTAL SALDOS],0,0,-1)</f>
        <v>0</v>
      </c>
      <c r="V340" s="1">
        <f>_xlfn.XLOOKUP(C340,[1]!ESTADO_CUENTA[ID_CLIENTE],[1]!ESTADO_CUENTA[TOTAL DEUDAS],0,0,-1)</f>
        <v>270000</v>
      </c>
    </row>
    <row r="341" spans="1:22" x14ac:dyDescent="0.25">
      <c r="A341" s="4">
        <v>46034</v>
      </c>
      <c r="B341" t="s">
        <v>20</v>
      </c>
      <c r="C341">
        <v>41</v>
      </c>
      <c r="D341" t="s">
        <v>1310</v>
      </c>
      <c r="E341" t="s">
        <v>1310</v>
      </c>
      <c r="G341" t="s">
        <v>1311</v>
      </c>
      <c r="H341">
        <v>3183623443</v>
      </c>
      <c r="I341">
        <v>40</v>
      </c>
      <c r="J341">
        <v>120</v>
      </c>
      <c r="K341">
        <v>1800</v>
      </c>
      <c r="L341">
        <v>45</v>
      </c>
      <c r="M341">
        <v>15</v>
      </c>
      <c r="N341">
        <v>46049</v>
      </c>
      <c r="O341">
        <v>41</v>
      </c>
      <c r="P341">
        <v>43333.333333333336</v>
      </c>
      <c r="Q341">
        <v>1800</v>
      </c>
      <c r="R341">
        <v>78000</v>
      </c>
      <c r="S341" t="s">
        <v>1312</v>
      </c>
      <c r="T341" t="s">
        <v>1313</v>
      </c>
      <c r="U341" s="1">
        <f>+_xlfn.XLOOKUP(C341,[1]!ESTADO_CUENTA[ID_CLIENTE],[1]!ESTADO_CUENTA[TOTAL SALDOS],0,0,-1)</f>
        <v>0</v>
      </c>
      <c r="V341" s="1">
        <f>_xlfn.XLOOKUP(C341,[1]!ESTADO_CUENTA[ID_CLIENTE],[1]!ESTADO_CUENTA[TOTAL DEUDAS],0,0,-1)</f>
        <v>0</v>
      </c>
    </row>
    <row r="342" spans="1:22" x14ac:dyDescent="0.25">
      <c r="A342" s="4">
        <v>46048</v>
      </c>
      <c r="B342" t="s">
        <v>20</v>
      </c>
      <c r="C342">
        <v>169</v>
      </c>
      <c r="D342" t="s">
        <v>1314</v>
      </c>
      <c r="E342" t="s">
        <v>1314</v>
      </c>
      <c r="G342" t="s">
        <v>1315</v>
      </c>
      <c r="H342">
        <v>3502149870</v>
      </c>
      <c r="I342">
        <v>300</v>
      </c>
      <c r="J342">
        <v>600</v>
      </c>
      <c r="K342">
        <v>6000</v>
      </c>
      <c r="L342">
        <v>20</v>
      </c>
      <c r="M342">
        <v>10</v>
      </c>
      <c r="N342">
        <v>46058</v>
      </c>
      <c r="O342">
        <v>169</v>
      </c>
      <c r="P342">
        <v>25000</v>
      </c>
      <c r="Q342">
        <v>6000</v>
      </c>
      <c r="R342">
        <v>150000</v>
      </c>
      <c r="S342" t="s">
        <v>1316</v>
      </c>
      <c r="T342" t="s">
        <v>1317</v>
      </c>
      <c r="U342" s="1">
        <f>+_xlfn.XLOOKUP(C342,[1]!ESTADO_CUENTA[ID_CLIENTE],[1]!ESTADO_CUENTA[TOTAL SALDOS],0,0,-1)</f>
        <v>0</v>
      </c>
      <c r="V342" s="1">
        <f>_xlfn.XLOOKUP(C342,[1]!ESTADO_CUENTA[ID_CLIENTE],[1]!ESTADO_CUENTA[TOTAL DEUDAS],0,0,-1)</f>
        <v>21000</v>
      </c>
    </row>
    <row r="343" spans="1:22" x14ac:dyDescent="0.25">
      <c r="A343" s="4">
        <v>46052</v>
      </c>
      <c r="B343" t="s">
        <v>20</v>
      </c>
      <c r="C343">
        <v>188</v>
      </c>
      <c r="D343" t="s">
        <v>1318</v>
      </c>
      <c r="E343" t="s">
        <v>1319</v>
      </c>
      <c r="G343" t="s">
        <v>1320</v>
      </c>
      <c r="H343">
        <v>3002926752</v>
      </c>
      <c r="I343">
        <v>80</v>
      </c>
      <c r="J343">
        <v>160</v>
      </c>
      <c r="O343">
        <v>188</v>
      </c>
      <c r="R343">
        <v>20800</v>
      </c>
      <c r="S343" t="s">
        <v>1321</v>
      </c>
      <c r="U343" s="1">
        <f>+_xlfn.XLOOKUP(C343,[1]!ESTADO_CUENTA[ID_CLIENTE],[1]!ESTADO_CUENTA[TOTAL SALDOS],0,0,-1)</f>
        <v>0</v>
      </c>
      <c r="V343" s="1">
        <f>_xlfn.XLOOKUP(C343,[1]!ESTADO_CUENTA[ID_CLIENTE],[1]!ESTADO_CUENTA[TOTAL DEUDAS],0,0,-1)</f>
        <v>0</v>
      </c>
    </row>
    <row r="344" spans="1:22" x14ac:dyDescent="0.25">
      <c r="A344" s="4">
        <v>0</v>
      </c>
      <c r="B344" t="s">
        <v>20</v>
      </c>
      <c r="C344">
        <v>59</v>
      </c>
      <c r="D344" t="s">
        <v>1322</v>
      </c>
      <c r="E344" t="s">
        <v>1322</v>
      </c>
      <c r="G344" t="s">
        <v>6</v>
      </c>
      <c r="I344">
        <v>225</v>
      </c>
      <c r="J344">
        <v>450</v>
      </c>
      <c r="K344">
        <v>3150</v>
      </c>
      <c r="L344">
        <v>14</v>
      </c>
      <c r="M344">
        <v>7</v>
      </c>
      <c r="N344">
        <v>7</v>
      </c>
      <c r="O344">
        <v>59</v>
      </c>
      <c r="P344">
        <v>0</v>
      </c>
      <c r="Q344">
        <v>3150</v>
      </c>
      <c r="S344" t="s">
        <v>1323</v>
      </c>
      <c r="T344" t="s">
        <v>1324</v>
      </c>
      <c r="U344" s="1">
        <f>+_xlfn.XLOOKUP(C344,[1]!ESTADO_CUENTA[ID_CLIENTE],[1]!ESTADO_CUENTA[TOTAL SALDOS],0,0,-1)</f>
        <v>0</v>
      </c>
      <c r="V344" s="1">
        <f>_xlfn.XLOOKUP(C344,[1]!ESTADO_CUENTA[ID_CLIENTE],[1]!ESTADO_CUENTA[TOTAL DEUDAS],0,0,-1)</f>
        <v>0</v>
      </c>
    </row>
    <row r="345" spans="1:22" x14ac:dyDescent="0.25">
      <c r="A345" s="4">
        <v>0</v>
      </c>
      <c r="B345" t="s">
        <v>20</v>
      </c>
      <c r="C345">
        <v>104</v>
      </c>
      <c r="D345" t="s">
        <v>1325</v>
      </c>
      <c r="E345" t="s">
        <v>1325</v>
      </c>
      <c r="G345" t="s">
        <v>6</v>
      </c>
      <c r="I345">
        <v>177</v>
      </c>
      <c r="J345">
        <v>354</v>
      </c>
      <c r="K345">
        <v>2478</v>
      </c>
      <c r="L345">
        <v>14</v>
      </c>
      <c r="M345">
        <v>7</v>
      </c>
      <c r="N345">
        <v>7</v>
      </c>
      <c r="O345">
        <v>104</v>
      </c>
      <c r="P345">
        <v>0</v>
      </c>
      <c r="Q345">
        <v>2478</v>
      </c>
      <c r="S345" t="s">
        <v>1326</v>
      </c>
      <c r="T345" t="s">
        <v>1327</v>
      </c>
      <c r="U345" s="1">
        <f>+_xlfn.XLOOKUP(C345,[1]!ESTADO_CUENTA[ID_CLIENTE],[1]!ESTADO_CUENTA[TOTAL SALDOS],0,0,-1)</f>
        <v>0</v>
      </c>
      <c r="V345" s="1">
        <f>_xlfn.XLOOKUP(C345,[1]!ESTADO_CUENTA[ID_CLIENTE],[1]!ESTADO_CUENTA[TOTAL DEUDAS],0,0,-1)</f>
        <v>0</v>
      </c>
    </row>
    <row r="346" spans="1:22" x14ac:dyDescent="0.25">
      <c r="A346" s="4">
        <v>0</v>
      </c>
      <c r="B346" t="s">
        <v>20</v>
      </c>
      <c r="C346">
        <v>1000322</v>
      </c>
      <c r="D346" t="s">
        <v>1328</v>
      </c>
      <c r="E346" t="s">
        <v>1329</v>
      </c>
      <c r="G346" t="s">
        <v>6</v>
      </c>
      <c r="I346">
        <v>70</v>
      </c>
      <c r="J346">
        <v>70</v>
      </c>
      <c r="K346">
        <v>980</v>
      </c>
      <c r="L346">
        <v>14</v>
      </c>
      <c r="M346">
        <v>14</v>
      </c>
      <c r="N346">
        <v>14</v>
      </c>
      <c r="O346">
        <v>1000322</v>
      </c>
      <c r="P346">
        <v>10204.08163265306</v>
      </c>
      <c r="Q346">
        <v>980</v>
      </c>
      <c r="R346">
        <v>10000</v>
      </c>
      <c r="S346" t="s">
        <v>1330</v>
      </c>
      <c r="U346" s="1">
        <f>+_xlfn.XLOOKUP(C346,[1]!ESTADO_CUENTA[ID_CLIENTE],[1]!ESTADO_CUENTA[TOTAL SALDOS],0,0,-1)</f>
        <v>0</v>
      </c>
      <c r="V346" s="1">
        <f>_xlfn.XLOOKUP(C346,[1]!ESTADO_CUENTA[ID_CLIENTE],[1]!ESTADO_CUENTA[TOTAL DEUDAS],0,0,-1)</f>
        <v>0</v>
      </c>
    </row>
    <row r="347" spans="1:22" x14ac:dyDescent="0.25">
      <c r="A347" s="4">
        <v>0</v>
      </c>
      <c r="B347" t="s">
        <v>20</v>
      </c>
      <c r="C347">
        <v>1000327</v>
      </c>
      <c r="D347" t="s">
        <v>1331</v>
      </c>
      <c r="E347" t="s">
        <v>1332</v>
      </c>
      <c r="G347" t="s">
        <v>6</v>
      </c>
      <c r="I347">
        <v>70</v>
      </c>
      <c r="J347">
        <v>140</v>
      </c>
      <c r="K347">
        <v>980</v>
      </c>
      <c r="L347">
        <v>14</v>
      </c>
      <c r="M347">
        <v>7</v>
      </c>
      <c r="N347">
        <v>7</v>
      </c>
      <c r="O347">
        <v>1000327</v>
      </c>
      <c r="P347">
        <v>0</v>
      </c>
      <c r="Q347">
        <v>980</v>
      </c>
      <c r="S347" t="s">
        <v>1333</v>
      </c>
      <c r="U347" s="1">
        <f>+_xlfn.XLOOKUP(C347,[1]!ESTADO_CUENTA[ID_CLIENTE],[1]!ESTADO_CUENTA[TOTAL SALDOS],0,0,-1)</f>
        <v>0</v>
      </c>
      <c r="V347" s="1">
        <f>_xlfn.XLOOKUP(C347,[1]!ESTADO_CUENTA[ID_CLIENTE],[1]!ESTADO_CUENTA[TOTAL DEUDAS],0,0,-1)</f>
        <v>0</v>
      </c>
    </row>
    <row r="348" spans="1:22" x14ac:dyDescent="0.25">
      <c r="A348" s="4">
        <v>46040</v>
      </c>
      <c r="B348" t="s">
        <v>20</v>
      </c>
      <c r="C348">
        <v>115</v>
      </c>
      <c r="D348" t="s">
        <v>1334</v>
      </c>
      <c r="E348" t="s">
        <v>1334</v>
      </c>
      <c r="G348" t="s">
        <v>1335</v>
      </c>
      <c r="H348">
        <v>3508608264</v>
      </c>
      <c r="I348">
        <v>250</v>
      </c>
      <c r="J348">
        <v>500</v>
      </c>
      <c r="K348">
        <v>7500</v>
      </c>
      <c r="L348">
        <v>30</v>
      </c>
      <c r="M348">
        <v>15</v>
      </c>
      <c r="N348">
        <v>46055</v>
      </c>
      <c r="O348">
        <v>115</v>
      </c>
      <c r="P348">
        <v>27000</v>
      </c>
      <c r="Q348">
        <v>7500</v>
      </c>
      <c r="R348">
        <v>202500</v>
      </c>
      <c r="S348" t="s">
        <v>1336</v>
      </c>
      <c r="T348" t="s">
        <v>1337</v>
      </c>
      <c r="U348" s="1">
        <f>+_xlfn.XLOOKUP(C348,[1]!ESTADO_CUENTA[ID_CLIENTE],[1]!ESTADO_CUENTA[TOTAL SALDOS],0,0,-1)</f>
        <v>0</v>
      </c>
      <c r="V348" s="1">
        <f>_xlfn.XLOOKUP(C348,[1]!ESTADO_CUENTA[ID_CLIENTE],[1]!ESTADO_CUENTA[TOTAL DEUDAS],0,0,-1)</f>
        <v>0</v>
      </c>
    </row>
    <row r="349" spans="1:22" x14ac:dyDescent="0.25">
      <c r="A349" s="4">
        <v>46041</v>
      </c>
      <c r="B349" t="s">
        <v>20</v>
      </c>
      <c r="C349">
        <v>156</v>
      </c>
      <c r="D349" t="s">
        <v>1338</v>
      </c>
      <c r="E349" t="s">
        <v>1339</v>
      </c>
      <c r="G349" t="s">
        <v>1340</v>
      </c>
      <c r="H349">
        <v>3239334278</v>
      </c>
      <c r="I349">
        <v>164</v>
      </c>
      <c r="J349">
        <v>492</v>
      </c>
      <c r="K349">
        <v>7380</v>
      </c>
      <c r="L349">
        <v>45</v>
      </c>
      <c r="M349">
        <v>15</v>
      </c>
      <c r="N349">
        <v>46056</v>
      </c>
      <c r="O349">
        <v>156</v>
      </c>
      <c r="P349">
        <v>36260.162601626012</v>
      </c>
      <c r="Q349">
        <v>7380</v>
      </c>
      <c r="R349">
        <v>267600</v>
      </c>
      <c r="S349" t="s">
        <v>1341</v>
      </c>
      <c r="U349" s="1">
        <f>+_xlfn.XLOOKUP(C349,[1]!ESTADO_CUENTA[ID_CLIENTE],[1]!ESTADO_CUENTA[TOTAL SALDOS],0,0,-1)</f>
        <v>0</v>
      </c>
      <c r="V349" s="1">
        <f>_xlfn.XLOOKUP(C349,[1]!ESTADO_CUENTA[ID_CLIENTE],[1]!ESTADO_CUENTA[TOTAL DEUDAS],0,0,-1)</f>
        <v>0</v>
      </c>
    </row>
    <row r="350" spans="1:22" x14ac:dyDescent="0.25">
      <c r="A350" s="4">
        <v>46042</v>
      </c>
      <c r="B350" t="s">
        <v>20</v>
      </c>
      <c r="C350">
        <v>129</v>
      </c>
      <c r="D350" t="s">
        <v>1342</v>
      </c>
      <c r="E350" t="s">
        <v>1342</v>
      </c>
      <c r="G350" t="s">
        <v>1343</v>
      </c>
      <c r="H350">
        <v>3057672267</v>
      </c>
      <c r="I350">
        <v>200</v>
      </c>
      <c r="J350">
        <v>600</v>
      </c>
      <c r="K350">
        <v>6000</v>
      </c>
      <c r="L350">
        <v>30</v>
      </c>
      <c r="M350">
        <v>10</v>
      </c>
      <c r="N350">
        <v>46052</v>
      </c>
      <c r="O350">
        <v>129</v>
      </c>
      <c r="P350">
        <v>20000</v>
      </c>
      <c r="Q350">
        <v>6000</v>
      </c>
      <c r="R350">
        <v>120000</v>
      </c>
      <c r="S350" t="s">
        <v>1344</v>
      </c>
      <c r="T350" t="s">
        <v>51</v>
      </c>
      <c r="U350" s="1">
        <f>+_xlfn.XLOOKUP(C350,[1]!ESTADO_CUENTA[ID_CLIENTE],[1]!ESTADO_CUENTA[TOTAL SALDOS],0,0,-1)</f>
        <v>0</v>
      </c>
      <c r="V350" s="1">
        <f>_xlfn.XLOOKUP(C350,[1]!ESTADO_CUENTA[ID_CLIENTE],[1]!ESTADO_CUENTA[TOTAL DEUDAS],0,0,-1)</f>
        <v>0</v>
      </c>
    </row>
    <row r="351" spans="1:22" x14ac:dyDescent="0.25">
      <c r="A351" s="4">
        <v>46042</v>
      </c>
      <c r="B351" t="s">
        <v>20</v>
      </c>
      <c r="C351">
        <v>310</v>
      </c>
      <c r="D351" t="s">
        <v>1345</v>
      </c>
      <c r="E351" t="s">
        <v>1346</v>
      </c>
      <c r="G351" t="s">
        <v>1347</v>
      </c>
      <c r="H351">
        <v>3163365535</v>
      </c>
      <c r="I351">
        <v>100</v>
      </c>
      <c r="J351">
        <v>300</v>
      </c>
      <c r="K351">
        <v>2100</v>
      </c>
      <c r="L351">
        <v>21</v>
      </c>
      <c r="M351">
        <v>7</v>
      </c>
      <c r="N351">
        <v>46049</v>
      </c>
      <c r="O351">
        <v>310</v>
      </c>
      <c r="P351">
        <v>4761.9047619047615</v>
      </c>
      <c r="Q351">
        <v>2100</v>
      </c>
      <c r="R351">
        <v>10000</v>
      </c>
      <c r="S351" t="s">
        <v>1348</v>
      </c>
      <c r="U351" s="1">
        <f>+_xlfn.XLOOKUP(C351,[1]!ESTADO_CUENTA[ID_CLIENTE],[1]!ESTADO_CUENTA[TOTAL SALDOS],0,0,-1)</f>
        <v>0</v>
      </c>
      <c r="V351" s="1">
        <f>_xlfn.XLOOKUP(C351,[1]!ESTADO_CUENTA[ID_CLIENTE],[1]!ESTADO_CUENTA[TOTAL DEUDAS],0,0,-1)</f>
        <v>10000</v>
      </c>
    </row>
    <row r="352" spans="1:22" x14ac:dyDescent="0.25">
      <c r="A352" s="4">
        <v>46044</v>
      </c>
      <c r="B352" t="s">
        <v>20</v>
      </c>
      <c r="C352">
        <v>1000313</v>
      </c>
      <c r="D352" t="s">
        <v>1349</v>
      </c>
      <c r="E352" t="s">
        <v>1349</v>
      </c>
      <c r="G352" t="s">
        <v>1350</v>
      </c>
      <c r="H352">
        <v>3124955069</v>
      </c>
      <c r="I352">
        <v>39</v>
      </c>
      <c r="J352">
        <v>78</v>
      </c>
      <c r="K352">
        <v>546</v>
      </c>
      <c r="L352">
        <v>14</v>
      </c>
      <c r="M352">
        <v>7</v>
      </c>
      <c r="N352">
        <v>46051</v>
      </c>
      <c r="O352">
        <v>1000313</v>
      </c>
      <c r="P352">
        <v>36630.03663003663</v>
      </c>
      <c r="Q352">
        <v>546</v>
      </c>
      <c r="R352">
        <v>20000</v>
      </c>
      <c r="S352" t="s">
        <v>1351</v>
      </c>
      <c r="T352" t="s">
        <v>1352</v>
      </c>
      <c r="U352" s="1">
        <f>+_xlfn.XLOOKUP(C352,[1]!ESTADO_CUENTA[ID_CLIENTE],[1]!ESTADO_CUENTA[TOTAL SALDOS],0,0,-1)</f>
        <v>0</v>
      </c>
      <c r="V352" s="1">
        <f>_xlfn.XLOOKUP(C352,[1]!ESTADO_CUENTA[ID_CLIENTE],[1]!ESTADO_CUENTA[TOTAL DEUDAS],0,0,-1)</f>
        <v>0</v>
      </c>
    </row>
    <row r="353" spans="1:22" x14ac:dyDescent="0.25">
      <c r="A353" s="4">
        <v>46063</v>
      </c>
      <c r="B353" t="s">
        <v>32</v>
      </c>
      <c r="C353">
        <v>297</v>
      </c>
      <c r="D353" t="s">
        <v>1400</v>
      </c>
      <c r="E353" t="s">
        <v>1130</v>
      </c>
      <c r="G353" t="s">
        <v>1131</v>
      </c>
      <c r="H353">
        <v>3012354331</v>
      </c>
      <c r="I353">
        <v>150</v>
      </c>
      <c r="J353">
        <v>450</v>
      </c>
      <c r="K353">
        <v>6750</v>
      </c>
      <c r="L353">
        <v>45</v>
      </c>
      <c r="M353">
        <v>15</v>
      </c>
      <c r="N353">
        <v>46078</v>
      </c>
      <c r="O353">
        <v>297</v>
      </c>
      <c r="P353">
        <v>25000</v>
      </c>
      <c r="Q353">
        <v>6750</v>
      </c>
      <c r="R353">
        <v>168750</v>
      </c>
      <c r="S353" t="s">
        <v>1132</v>
      </c>
      <c r="T353" t="s">
        <v>1133</v>
      </c>
      <c r="U353" s="1">
        <f>+_xlfn.XLOOKUP(C353,[1]!ESTADO_CUENTA[ID_CLIENTE],[1]!ESTADO_CUENTA[TOTAL SALDOS],0,0,-1)</f>
        <v>206000</v>
      </c>
      <c r="V353" s="1">
        <f>_xlfn.XLOOKUP(C353,[1]!ESTADO_CUENTA[ID_CLIENTE],[1]!ESTADO_CUENTA[TOTAL DEUDAS],0,0,-1)</f>
        <v>0</v>
      </c>
    </row>
    <row r="354" spans="1:22" x14ac:dyDescent="0.25">
      <c r="U354" s="2"/>
      <c r="V354" s="3"/>
    </row>
  </sheetData>
  <pageMargins left="0.7" right="0.7" top="0.75" bottom="0.75" header="0.3" footer="0.3"/>
  <ignoredErrors>
    <ignoredError sqref="U2:U18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EF8334-432F-43EF-8D85-E194BAEB80E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Clientes activos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Chefibio</cp:lastModifiedBy>
  <dcterms:created xsi:type="dcterms:W3CDTF">2026-02-20T00:30:05Z</dcterms:created>
  <dcterms:modified xsi:type="dcterms:W3CDTF">2026-02-20T01:50:12Z</dcterms:modified>
</cp:coreProperties>
</file>